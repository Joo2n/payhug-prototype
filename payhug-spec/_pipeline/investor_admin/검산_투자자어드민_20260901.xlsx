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표시값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화면대조!H172</f>
        <v/>
      </c>
      <c r="D2" s="5" t="inlineStr">
        <is>
          <t>화면대조 172행</t>
        </is>
      </c>
      <c r="E2" s="6">
        <f>화면대조!C172</f>
        <v/>
      </c>
      <c r="F2" s="7">
        <f>화면대조!E172</f>
        <v/>
      </c>
      <c r="G2" s="7">
        <f>화면대조!F172</f>
        <v/>
      </c>
    </row>
    <row r="3">
      <c r="A3" s="2" t="n">
        <v>2</v>
      </c>
      <c r="B3" s="3" t="inlineStr">
        <is>
          <t>조회기간 ⑤(%)</t>
        </is>
      </c>
      <c r="C3" s="4">
        <f>화면대조!H173</f>
        <v/>
      </c>
      <c r="D3" s="5" t="inlineStr">
        <is>
          <t>화면대조 173행</t>
        </is>
      </c>
      <c r="E3" s="6">
        <f>화면대조!C173</f>
        <v/>
      </c>
      <c r="F3" s="7">
        <f>화면대조!E173</f>
        <v/>
      </c>
      <c r="G3" s="7">
        <f>화면대조!F173</f>
        <v/>
      </c>
    </row>
    <row r="4">
      <c r="A4" s="2" t="n">
        <v>3</v>
      </c>
      <c r="B4" s="3" t="inlineStr">
        <is>
          <t>조회기간 PA</t>
        </is>
      </c>
      <c r="C4" s="4">
        <f>화면대조!H169</f>
        <v/>
      </c>
      <c r="D4" s="5" t="inlineStr">
        <is>
          <t>화면대조 169행</t>
        </is>
      </c>
      <c r="E4" s="8">
        <f>화면대조!C169</f>
        <v/>
      </c>
      <c r="F4" s="2">
        <f>화면대조!E169</f>
        <v/>
      </c>
      <c r="G4" s="2">
        <f>화면대조!F169</f>
        <v/>
      </c>
    </row>
    <row r="5">
      <c r="A5" s="2" t="n">
        <v>4</v>
      </c>
      <c r="B5" s="3" t="inlineStr">
        <is>
          <t>조회기간 PwD</t>
        </is>
      </c>
      <c r="C5" s="4">
        <f>화면대조!H170</f>
        <v/>
      </c>
      <c r="D5" s="5" t="inlineStr">
        <is>
          <t>화면대조 170행</t>
        </is>
      </c>
      <c r="E5" s="9">
        <f>화면대조!C170</f>
        <v/>
      </c>
      <c r="F5" s="10">
        <f>화면대조!E170</f>
        <v/>
      </c>
      <c r="G5" s="10">
        <f>화면대조!F170</f>
        <v/>
      </c>
    </row>
    <row r="6">
      <c r="A6" s="2" t="n">
        <v>5</v>
      </c>
      <c r="B6" s="3" t="inlineStr">
        <is>
          <t>S입금부족율 raw(%)</t>
        </is>
      </c>
      <c r="C6" s="4">
        <f>화면대조!H178</f>
        <v/>
      </c>
      <c r="D6" s="5" t="inlineStr">
        <is>
          <t>화면대조 178행</t>
        </is>
      </c>
      <c r="E6" s="9">
        <f>화면대조!C178</f>
        <v/>
      </c>
      <c r="F6" s="10">
        <f>화면대조!E178</f>
        <v/>
      </c>
      <c r="G6" s="10">
        <f>화면대조!F178</f>
        <v/>
      </c>
    </row>
    <row r="7">
      <c r="A7" s="2" t="n">
        <v>6</v>
      </c>
      <c r="B7" s="3" t="inlineStr">
        <is>
          <t>채권 건수</t>
        </is>
      </c>
      <c r="C7" s="4">
        <f>화면대조!H179</f>
        <v/>
      </c>
      <c r="D7" s="5" t="inlineStr">
        <is>
          <t>화면대조 179행</t>
        </is>
      </c>
      <c r="E7" s="8">
        <f>화면대조!C179</f>
        <v/>
      </c>
      <c r="F7" s="2">
        <f>화면대조!E179</f>
        <v/>
      </c>
      <c r="G7" s="2">
        <f>화면대조!F179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표시값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투자실행액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t>(가맹점 x 플랫폼 x 선정산일 40일) 1,280건 원장 — 값 셀은 금융일수 Di 하나뿐</t>
        </is>
      </c>
      <c r="D14" s="5" t="inlineStr">
        <is>
          <t>H열 Di · J열 Ai · Q열 미회수 · S열 Ai x Di</t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표시값 원본 42행 · 불변식 · 화면 정합 164행 · 모델 잔차 29행</t>
        </is>
      </c>
      <c r="D18" s="5" t="inlineStr">
        <is>
          <t>E열 화면 표시값 · G열 판정 · 168~196행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표시값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어제 마감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갈래</t>
        </is>
      </c>
      <c r="D40" s="11" t="inlineStr">
        <is>
          <t>뜻</t>
        </is>
      </c>
      <c r="E40" s="11" t="inlineStr">
        <is>
          <t>이 통합문서의 자리</t>
        </is>
      </c>
      <c r="F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5" t="inlineStr"/>
      <c r="D41" s="4" t="inlineStr">
        <is>
          <t>오늘</t>
        </is>
      </c>
      <c r="E41" s="5" t="inlineStr">
        <is>
          <t>입력 C10 어제 마감 + 1일</t>
        </is>
      </c>
      <c r="F41" s="5" t="inlineStr">
        <is>
          <t>dm_0901/symbol_rule_0901.md</t>
        </is>
      </c>
    </row>
    <row r="42">
      <c r="A42" s="2" t="n">
        <v>2</v>
      </c>
      <c r="B42" s="3" t="inlineStr">
        <is>
          <t>r</t>
        </is>
      </c>
      <c r="C42" s="5" t="inlineStr"/>
      <c r="D42" s="4" t="inlineStr">
        <is>
          <t>유동화투자자의 할인율</t>
        </is>
      </c>
      <c r="E42" s="5" t="inlineStr">
        <is>
          <t>입력 C2 · C3</t>
        </is>
      </c>
      <c r="F42" s="5" t="inlineStr">
        <is>
          <t>dm_0901/symbol_rule_0901.md</t>
        </is>
      </c>
    </row>
    <row r="43">
      <c r="A43" s="2" t="n">
        <v>3</v>
      </c>
      <c r="B43" s="3" t="inlineStr">
        <is>
          <t>D</t>
        </is>
      </c>
      <c r="C43" s="5" t="inlineStr">
        <is>
          <t>개념</t>
        </is>
      </c>
      <c r="D43" s="4" t="inlineStr">
        <is>
          <t>금융일수</t>
        </is>
      </c>
      <c r="E43" s="5" t="inlineStr">
        <is>
          <t>채권 H열</t>
        </is>
      </c>
      <c r="F43" s="5" t="inlineStr">
        <is>
          <t>dm_0901/symbol_rule_0901.md</t>
        </is>
      </c>
    </row>
    <row r="44">
      <c r="A44" s="2" t="n">
        <v>4</v>
      </c>
      <c r="B44" s="3" t="inlineStr">
        <is>
          <t>Y</t>
        </is>
      </c>
      <c r="C44" s="5" t="inlineStr">
        <is>
          <t>개념</t>
        </is>
      </c>
      <c r="D44" s="4" t="inlineStr">
        <is>
          <t>연환산 수익률. Yr · YMR(d-1) · PYMR · wPYMR 로 갈린다</t>
        </is>
      </c>
      <c r="E44" s="5" t="inlineStr">
        <is>
          <t>기간집계 B43 · 일별 I열 · 기간집계 B13 · B17</t>
        </is>
      </c>
      <c r="F44" s="5" t="inlineStr">
        <is>
          <t>dm_0901/symbol_rule_0901.md</t>
        </is>
      </c>
    </row>
    <row r="45">
      <c r="A45" s="2" t="n">
        <v>5</v>
      </c>
      <c r="B45" s="3" t="inlineStr">
        <is>
          <t>i</t>
        </is>
      </c>
      <c r="C45" s="5" t="inlineStr">
        <is>
          <t>ID가 i인 대상정산금채권</t>
        </is>
      </c>
      <c r="D45" s="4" t="inlineStr">
        <is>
          <t>채권번호. 가맹점ID &amp; 플랫폼ID &amp; 매출일자</t>
        </is>
      </c>
      <c r="E45" s="5" t="inlineStr">
        <is>
          <t>채권 A열</t>
        </is>
      </c>
      <c r="F45" s="5" t="inlineStr">
        <is>
          <t>dm_0901/symbol_rule_0901.md</t>
        </is>
      </c>
    </row>
    <row r="46">
      <c r="A46" s="2" t="n">
        <v>6</v>
      </c>
      <c r="B46" s="3" t="inlineStr">
        <is>
          <t>Di</t>
        </is>
      </c>
      <c r="C46" s="5" t="inlineStr">
        <is>
          <t>ID가 i인 대상정산금채권</t>
        </is>
      </c>
      <c r="D46" s="4" t="inlineStr">
        <is>
          <t>ID가 i인 대상정산금채권의 금융일수</t>
        </is>
      </c>
      <c r="E46" s="5" t="inlineStr">
        <is>
          <t>채권 H열</t>
        </is>
      </c>
      <c r="F46" s="5" t="inlineStr">
        <is>
          <t>dm_0901/symbol_rule_0901.md</t>
        </is>
      </c>
    </row>
    <row r="47">
      <c r="A47" s="2" t="n">
        <v>7</v>
      </c>
      <c r="B47" s="3" t="inlineStr">
        <is>
          <t>Ai</t>
        </is>
      </c>
      <c r="C47" s="5" t="inlineStr">
        <is>
          <t>ID가 i인 대상정산금채권</t>
        </is>
      </c>
      <c r="D47" s="4" t="inlineStr">
        <is>
          <t>ID가 i인 대상정산금채권의 투자 실행액 = 순지급액 x (1 - r)</t>
        </is>
      </c>
      <c r="E47" s="5" t="inlineStr">
        <is>
          <t>채권 J열</t>
        </is>
      </c>
      <c r="F47" s="5" t="inlineStr">
        <is>
          <t>dm_0901/symbol_rule_0901.md</t>
        </is>
      </c>
    </row>
    <row r="48">
      <c r="A48" s="2" t="n">
        <v>8</v>
      </c>
      <c r="B48" s="3" t="inlineStr">
        <is>
          <t>Li</t>
        </is>
      </c>
      <c r="C48" s="5" t="inlineStr">
        <is>
          <t>ID가 i인 대상정산금채권</t>
        </is>
      </c>
      <c r="D48" s="4" t="inlineStr">
        <is>
          <t>ID가 i인 대상정산금채권의 입금부족액 = 미지급금 - 과지급금</t>
        </is>
      </c>
      <c r="E48" s="5" t="inlineStr">
        <is>
          <t>채권 L열 - M열</t>
        </is>
      </c>
      <c r="F48" s="5" t="inlineStr">
        <is>
          <t>dm_0901/symbol_rule_0901.md</t>
        </is>
      </c>
    </row>
    <row r="49">
      <c r="A49" s="2" t="n">
        <v>9</v>
      </c>
      <c r="B49" s="3" t="inlineStr">
        <is>
          <t>Mi</t>
        </is>
      </c>
      <c r="C49" s="5" t="inlineStr">
        <is>
          <t>ID가 i인 대상정산금채권</t>
        </is>
      </c>
      <c r="D49" s="4" t="inlineStr">
        <is>
          <t>ID가 i인 대상정산금채권의 투자수익 = 채권매입수수료 - max(0, Li)</t>
        </is>
      </c>
      <c r="E49" s="5" t="inlineStr">
        <is>
          <t>채권 O열</t>
        </is>
      </c>
      <c r="F49" s="5" t="inlineStr">
        <is>
          <t>dm_0901/symbol_rule_0901.md</t>
        </is>
      </c>
    </row>
    <row r="50">
      <c r="A50" s="2" t="n">
        <v>10</v>
      </c>
      <c r="B50" s="3" t="inlineStr">
        <is>
          <t>Bi</t>
        </is>
      </c>
      <c r="C50" s="5" t="inlineStr">
        <is>
          <t>ID가 i인 대상정산금채권</t>
        </is>
      </c>
      <c r="D50" s="4" t="inlineStr">
        <is>
          <t>ID가 i인 대상정산금채권의 상환액 = 순지급액 - max(0, Li)</t>
        </is>
      </c>
      <c r="E50" s="5" t="inlineStr">
        <is>
          <t>채권 P열</t>
        </is>
      </c>
      <c r="F50" s="5" t="inlineStr">
        <is>
          <t>dm_0901/symbol_rule_0901.md</t>
        </is>
      </c>
    </row>
    <row r="51">
      <c r="A51" s="2" t="n">
        <v>11</v>
      </c>
      <c r="B51" s="3" t="inlineStr">
        <is>
          <t>Σ Ai</t>
        </is>
      </c>
      <c r="C51" s="5" t="inlineStr">
        <is>
          <t>집계</t>
        </is>
      </c>
      <c r="D51" s="4" t="inlineStr">
        <is>
          <t>투자 실행액 (i 는 미회수 대상정산금채권)</t>
        </is>
      </c>
      <c r="E51" s="5" t="inlineStr">
        <is>
          <t>기간집계 B44</t>
        </is>
      </c>
      <c r="F51" s="5" t="inlineStr">
        <is>
          <t>dm_0901/symbol_rule_0901.md</t>
        </is>
      </c>
    </row>
    <row r="52">
      <c r="A52" s="2" t="n">
        <v>12</v>
      </c>
      <c r="B52" s="3" t="inlineStr">
        <is>
          <t>wD</t>
        </is>
      </c>
      <c r="C52" s="5" t="inlineStr">
        <is>
          <t>집계</t>
        </is>
      </c>
      <c r="D52" s="4" t="inlineStr">
        <is>
          <t>가중평균 금융일수 = Σ(Ai x Di) / Σ Ai</t>
        </is>
      </c>
      <c r="E52" s="5" t="inlineStr">
        <is>
          <t>기간집계 B41 · B42</t>
        </is>
      </c>
      <c r="F52" s="5" t="inlineStr">
        <is>
          <t>dm_0901/symbol_rule_0901.md</t>
        </is>
      </c>
    </row>
    <row r="53">
      <c r="A53" s="2" t="n">
        <v>13</v>
      </c>
      <c r="B53" s="3" t="inlineStr">
        <is>
          <t>EC</t>
        </is>
      </c>
      <c r="C53" s="5" t="inlineStr">
        <is>
          <t>집계</t>
        </is>
      </c>
      <c r="D53" s="4" t="inlineStr">
        <is>
          <t>순현금</t>
        </is>
      </c>
      <c r="E53" s="5" t="inlineStr">
        <is>
          <t>입력 C8 · 일별 J열</t>
        </is>
      </c>
      <c r="F53" s="5" t="inlineStr">
        <is>
          <t>dm_0901/symbol_rule_0901.md</t>
        </is>
      </c>
    </row>
    <row r="54">
      <c r="A54" s="2" t="n">
        <v>14</v>
      </c>
      <c r="B54" s="3" t="inlineStr">
        <is>
          <t>Σ Ai + EC</t>
        </is>
      </c>
      <c r="C54" s="5" t="inlineStr">
        <is>
          <t>집계</t>
        </is>
      </c>
      <c r="D54" s="4" t="inlineStr">
        <is>
          <t>투자자산</t>
        </is>
      </c>
      <c r="E54" s="5" t="inlineStr">
        <is>
          <t>기간집계 B46</t>
        </is>
      </c>
      <c r="F54" s="5" t="inlineStr">
        <is>
          <t>dm_0901/symbol_rule_0901.md</t>
        </is>
      </c>
    </row>
    <row r="55">
      <c r="A55" s="2" t="n">
        <v>15</v>
      </c>
      <c r="B55" s="3" t="inlineStr">
        <is>
          <t>LR</t>
        </is>
      </c>
      <c r="C55" s="5" t="inlineStr">
        <is>
          <t>집계</t>
        </is>
      </c>
      <c r="D55" s="4" t="inlineStr">
        <is>
          <t>입금부족률 = Σ Li / Σ Ai (i 는 선정산일 d-20 ~ d-11)</t>
        </is>
      </c>
      <c r="E55" s="5" t="inlineStr">
        <is>
          <t>기간집계 B51 · 채권 T열</t>
        </is>
      </c>
      <c r="F55" s="5" t="inlineStr">
        <is>
          <t>dm_0901/symbol_rule_0901.md</t>
        </is>
      </c>
    </row>
    <row r="56">
      <c r="A56" s="2" t="n">
        <v>16</v>
      </c>
      <c r="B56" s="3" t="inlineStr">
        <is>
          <t>Yr</t>
        </is>
      </c>
      <c r="C56" s="5" t="inlineStr">
        <is>
          <t>집계</t>
        </is>
      </c>
      <c r="D56" s="4" t="inlineStr">
        <is>
          <t>예상 연환산 수익률 = r x 365 / wD</t>
        </is>
      </c>
      <c r="E56" s="5" t="inlineStr">
        <is>
          <t>기간집계 B43</t>
        </is>
      </c>
      <c r="F56" s="5" t="inlineStr">
        <is>
          <t>dm_0901/symbol_rule_0901.md</t>
        </is>
      </c>
    </row>
    <row r="57">
      <c r="A57" s="2" t="n">
        <v>17</v>
      </c>
      <c r="B57" s="3" t="inlineStr">
        <is>
          <t>P</t>
        </is>
      </c>
      <c r="C57" s="5" t="inlineStr">
        <is>
          <t>범위</t>
        </is>
      </c>
      <c r="D57" s="4" t="inlineStr">
        <is>
          <t>기간. 정산예정일이 고른 기간에 드는 것들</t>
        </is>
      </c>
      <c r="E57" s="5" t="inlineStr">
        <is>
          <t>기간집계 2~29행</t>
        </is>
      </c>
      <c r="F57" s="5" t="inlineStr">
        <is>
          <t>dm_0901/symbol_rule_0901.md</t>
        </is>
      </c>
    </row>
    <row r="58">
      <c r="A58" s="2" t="n">
        <v>18</v>
      </c>
      <c r="B58" s="3" t="inlineStr">
        <is>
          <t>d-1</t>
        </is>
      </c>
      <c r="C58" s="5" t="inlineStr">
        <is>
          <t>범위</t>
        </is>
      </c>
      <c r="D58" s="4" t="inlineStr">
        <is>
          <t>하루. 정산예정일이 그 날인 대상정산금채권. 날짜가 아니라 조건이다</t>
        </is>
      </c>
      <c r="E58" s="5" t="inlineStr">
        <is>
          <t>일별 시트 한 줄</t>
        </is>
      </c>
      <c r="F58" s="5" t="inlineStr">
        <is>
          <t>dm_0901/symbol_rule_0901.md</t>
        </is>
      </c>
    </row>
    <row r="59">
      <c r="A59" s="2" t="n">
        <v>19</v>
      </c>
      <c r="B59" s="3" t="inlineStr">
        <is>
          <t>B(d-1)</t>
        </is>
      </c>
      <c r="C59" s="5" t="inlineStr">
        <is>
          <t>집계</t>
        </is>
      </c>
      <c r="D59" s="4" t="inlineStr">
        <is>
          <t>하루 상환액 = Σ Bi (i ∈ d-1)</t>
        </is>
      </c>
      <c r="E59" s="5" t="inlineStr">
        <is>
          <t>일별 C열</t>
        </is>
      </c>
      <c r="F59" s="5" t="inlineStr">
        <is>
          <t>dm_0901/symbol_rule_0901.md</t>
        </is>
      </c>
    </row>
    <row r="60">
      <c r="A60" s="2" t="n">
        <v>20</v>
      </c>
      <c r="B60" s="3" t="inlineStr">
        <is>
          <t>A(d-1)</t>
        </is>
      </c>
      <c r="C60" s="5" t="inlineStr">
        <is>
          <t>집계</t>
        </is>
      </c>
      <c r="D60" s="4" t="inlineStr">
        <is>
          <t>하루 투자실행금 = Σ Ai (i ∈ d-1)</t>
        </is>
      </c>
      <c r="E60" s="5" t="inlineStr">
        <is>
          <t>일별 D열</t>
        </is>
      </c>
      <c r="F60" s="5" t="inlineStr">
        <is>
          <t>dm_0901/symbol_rule_0901.md</t>
        </is>
      </c>
    </row>
    <row r="61">
      <c r="A61" s="2" t="n">
        <v>21</v>
      </c>
      <c r="B61" s="3" t="inlineStr">
        <is>
          <t>M(d-1)</t>
        </is>
      </c>
      <c r="C61" s="5" t="inlineStr">
        <is>
          <t>집계</t>
        </is>
      </c>
      <c r="D61" s="4" t="inlineStr">
        <is>
          <t>하루 투자수익 = Σ Mi (i ∈ d-1)</t>
        </is>
      </c>
      <c r="E61" s="5" t="inlineStr">
        <is>
          <t>일별 E열</t>
        </is>
      </c>
      <c r="F61" s="5" t="inlineStr">
        <is>
          <t>dm_0901/symbol_rule_0901.md</t>
        </is>
      </c>
    </row>
    <row r="62">
      <c r="A62" s="2" t="n">
        <v>22</v>
      </c>
      <c r="B62" s="3" t="inlineStr">
        <is>
          <t>MR(d-1)</t>
        </is>
      </c>
      <c r="C62" s="5" t="inlineStr">
        <is>
          <t>집계</t>
        </is>
      </c>
      <c r="D62" s="4" t="inlineStr">
        <is>
          <t>하루 투자수익율 = M(d-1) / A(d-1)</t>
        </is>
      </c>
      <c r="E62" s="5" t="inlineStr">
        <is>
          <t>일별 G열</t>
        </is>
      </c>
      <c r="F62" s="5" t="inlineStr">
        <is>
          <t>dm_0901/symbol_rule_0901.md</t>
        </is>
      </c>
    </row>
    <row r="63">
      <c r="A63" s="2" t="n">
        <v>23</v>
      </c>
      <c r="B63" s="3" t="inlineStr">
        <is>
          <t>wD(d-1)</t>
        </is>
      </c>
      <c r="C63" s="5" t="inlineStr">
        <is>
          <t>집계</t>
        </is>
      </c>
      <c r="D63" s="4" t="inlineStr">
        <is>
          <t>하루 가중평균 금융일수 = Σ(Ai x Di) / A(d-1)</t>
        </is>
      </c>
      <c r="E63" s="5" t="inlineStr">
        <is>
          <t>일별 H열</t>
        </is>
      </c>
      <c r="F63" s="5" t="inlineStr">
        <is>
          <t>dm_0901/symbol_rule_0901.md</t>
        </is>
      </c>
    </row>
    <row r="64">
      <c r="A64" s="2" t="n">
        <v>24</v>
      </c>
      <c r="B64" s="3" t="inlineStr">
        <is>
          <t>YMR(d-1)</t>
        </is>
      </c>
      <c r="C64" s="5" t="inlineStr">
        <is>
          <t>집계</t>
        </is>
      </c>
      <c r="D64" s="4" t="inlineStr">
        <is>
          <t>일별 연환산 수익률 = MR(d-1) x 365 / wD(d-1)</t>
        </is>
      </c>
      <c r="E64" s="5" t="inlineStr">
        <is>
          <t>일별 I열</t>
        </is>
      </c>
      <c r="F64" s="5" t="inlineStr">
        <is>
          <t>dm_0901/symbol_rule_0901.md</t>
        </is>
      </c>
    </row>
    <row r="65">
      <c r="A65" s="2" t="n">
        <v>25</v>
      </c>
      <c r="B65" s="3" t="inlineStr">
        <is>
          <t>EC(d-1)</t>
        </is>
      </c>
      <c r="C65" s="5" t="inlineStr">
        <is>
          <t>집계</t>
        </is>
      </c>
      <c r="D65" s="4" t="inlineStr">
        <is>
          <t>하루 순현금</t>
        </is>
      </c>
      <c r="E65" s="5" t="inlineStr">
        <is>
          <t>일별 J열</t>
        </is>
      </c>
      <c r="F65" s="5" t="inlineStr">
        <is>
          <t>dm_0901/symbol_rule_0901.md</t>
        </is>
      </c>
    </row>
    <row r="66">
      <c r="A66" s="2" t="n">
        <v>26</v>
      </c>
      <c r="B66" s="3" t="inlineStr">
        <is>
          <t>PA</t>
        </is>
      </c>
      <c r="C66" s="5" t="inlineStr">
        <is>
          <t>집계</t>
        </is>
      </c>
      <c r="D66" s="4" t="inlineStr">
        <is>
          <t>기간 투자실행금 = Σ A(d-1)</t>
        </is>
      </c>
      <c r="E66" s="5" t="inlineStr">
        <is>
          <t>기간집계 B5</t>
        </is>
      </c>
      <c r="F66" s="5" t="inlineStr">
        <is>
          <t>dm_0901/symbol_rule_0901.md</t>
        </is>
      </c>
    </row>
    <row r="67">
      <c r="A67" s="2" t="n">
        <v>27</v>
      </c>
      <c r="B67" s="3" t="inlineStr">
        <is>
          <t>PB</t>
        </is>
      </c>
      <c r="C67" s="5" t="inlineStr">
        <is>
          <t>집계</t>
        </is>
      </c>
      <c r="D67" s="4" t="inlineStr">
        <is>
          <t>기간 상환액 = Σ B(d-1)</t>
        </is>
      </c>
      <c r="E67" s="5" t="inlineStr">
        <is>
          <t>기간집계 B8</t>
        </is>
      </c>
      <c r="F67" s="5" t="inlineStr">
        <is>
          <t>dm_0901/symbol_rule_0901.md</t>
        </is>
      </c>
    </row>
    <row r="68">
      <c r="A68" s="2" t="n">
        <v>28</v>
      </c>
      <c r="B68" s="3" t="inlineStr">
        <is>
          <t>PM</t>
        </is>
      </c>
      <c r="C68" s="5" t="inlineStr">
        <is>
          <t>집계</t>
        </is>
      </c>
      <c r="D68" s="4" t="inlineStr">
        <is>
          <t>기간 투자수익 = Σ M(d-1)</t>
        </is>
      </c>
      <c r="E68" s="5" t="inlineStr">
        <is>
          <t>기간집계 B6</t>
        </is>
      </c>
      <c r="F68" s="5" t="inlineStr">
        <is>
          <t>dm_0901/symbol_rule_0901.md</t>
        </is>
      </c>
    </row>
    <row r="69">
      <c r="A69" s="2" t="n">
        <v>29</v>
      </c>
      <c r="B69" s="3" t="inlineStr">
        <is>
          <t>PMR</t>
        </is>
      </c>
      <c r="C69" s="5" t="inlineStr">
        <is>
          <t>집계</t>
        </is>
      </c>
      <c r="D69" s="4" t="inlineStr">
        <is>
          <t>기간 투자수익율 = PM / PA</t>
        </is>
      </c>
      <c r="E69" s="5" t="inlineStr">
        <is>
          <t>기간집계 B10</t>
        </is>
      </c>
      <c r="F69" s="5" t="inlineStr">
        <is>
          <t>dm_0901/symbol_rule_0901.md</t>
        </is>
      </c>
    </row>
    <row r="70">
      <c r="A70" s="2" t="n">
        <v>30</v>
      </c>
      <c r="B70" s="3" t="inlineStr">
        <is>
          <t>PwD</t>
        </is>
      </c>
      <c r="C70" s="5" t="inlineStr">
        <is>
          <t>집계</t>
        </is>
      </c>
      <c r="D70" s="4" t="inlineStr">
        <is>
          <t>기간 가중평균 금융일수 = Σ(Ai x Di) / PA (i ∈ P)</t>
        </is>
      </c>
      <c r="E70" s="5" t="inlineStr">
        <is>
          <t>기간집계 B12</t>
        </is>
      </c>
      <c r="F70" s="5" t="inlineStr">
        <is>
          <t>dm_0901/symbol_rule_0901.md</t>
        </is>
      </c>
    </row>
    <row r="71">
      <c r="A71" s="2" t="n">
        <v>31</v>
      </c>
      <c r="B71" s="3" t="inlineStr">
        <is>
          <t>PEC</t>
        </is>
      </c>
      <c r="C71" s="5" t="inlineStr">
        <is>
          <t>집계</t>
        </is>
      </c>
      <c r="D71" s="4" t="inlineStr">
        <is>
          <t>기간 순현금 = Σ EC(d-1)</t>
        </is>
      </c>
      <c r="E71" s="5" t="inlineStr">
        <is>
          <t>기간집계 B15</t>
        </is>
      </c>
      <c r="F71" s="5" t="inlineStr">
        <is>
          <t>dm_0901/symbol_rule_0901.md</t>
        </is>
      </c>
    </row>
    <row r="72">
      <c r="A72" s="2" t="n">
        <v>32</v>
      </c>
      <c r="B72" s="3" t="inlineStr">
        <is>
          <t>PYMR</t>
        </is>
      </c>
      <c r="C72" s="5" t="inlineStr">
        <is>
          <t>집계</t>
        </is>
      </c>
      <c r="D72" s="4" t="inlineStr">
        <is>
          <t>투자실행금액 대비 연환산 수익률(④) = PMR x 365 / PwD</t>
        </is>
      </c>
      <c r="E72" s="5" t="inlineStr">
        <is>
          <t>기간집계 B13</t>
        </is>
      </c>
      <c r="F72" s="5" t="inlineStr">
        <is>
          <t>dm_0901/symbol_rule_0901.md</t>
        </is>
      </c>
    </row>
    <row r="73">
      <c r="A73" s="2" t="n">
        <v>33</v>
      </c>
      <c r="B73" s="3" t="inlineStr">
        <is>
          <t>wPYMR</t>
        </is>
      </c>
      <c r="C73" s="5" t="inlineStr">
        <is>
          <t>집계</t>
        </is>
      </c>
      <c r="D73" s="4" t="inlineStr">
        <is>
          <t>투자 자산 대비 연환산 수익률(⑤) = PM x 365 / (Σ(Ai x Di) + PEC) = PYMR x Σ(Ai x Di) / (Σ(Ai x Di) + PEC)</t>
        </is>
      </c>
      <c r="E73" s="5" t="inlineStr">
        <is>
          <t>기간집계 B17 ← 입력 C19</t>
        </is>
      </c>
      <c r="F73" s="5" t="inlineStr">
        <is>
          <t>dm_0901/symbol_rule_0901.md</t>
        </is>
      </c>
    </row>
    <row r="74">
      <c r="A74" s="2" t="n">
        <v>34</v>
      </c>
      <c r="B74" s="3" t="inlineStr">
        <is>
          <t>원문 표기</t>
        </is>
      </c>
      <c r="C74" s="5" t="inlineStr">
        <is>
          <t>인용</t>
        </is>
      </c>
      <c r="D74" s="4" t="inlineStr">
        <is>
          <t>대표 정의서 원문은 옛 표기를 쓴다. 인용이라 그대로 둔다</t>
        </is>
      </c>
      <c r="E74" s="5" t="inlineStr">
        <is>
          <t>산식 B열</t>
        </is>
      </c>
      <c r="F74" s="5" t="inlineStr">
        <is>
          <t>dm_0901/symbol_rule_0901.md</t>
        </is>
      </c>
    </row>
    <row r="76" ht="30" customHeight="1">
      <c r="A76" s="11" t="inlineStr">
        <is>
          <t>#</t>
        </is>
      </c>
      <c r="B76" s="11" t="inlineStr">
        <is>
          <t>DM 시각</t>
        </is>
      </c>
      <c r="C76" s="11" t="inlineStr">
        <is>
          <t>대표 원문</t>
        </is>
      </c>
      <c r="D76" s="11" t="inlineStr">
        <is>
          <t>이 통합문서의 자리</t>
        </is>
      </c>
      <c r="E76" s="11" t="inlineStr">
        <is>
          <t>이 통합문서의 값</t>
        </is>
      </c>
    </row>
    <row r="77">
      <c r="A77" s="2" t="n">
        <v>1</v>
      </c>
      <c r="B77" s="3" t="inlineStr">
        <is>
          <t>2026-08-31 16:45</t>
        </is>
      </c>
      <c r="C77" s="4" t="inlineStr">
        <is>
          <t>ty수익률이 위는 할인율, 아래는 투자수익률 smr인 이유는 위는 예상치 아래는 실제 결과치라서 실제로 얻은 수익률(할인율)을 나타내는 것.</t>
        </is>
      </c>
      <c r="D77" s="4" t="inlineStr">
        <is>
          <t>위 = 기간집계 B43 Ty수익율(할인율 기준 예상치) · 아래 = 기간집계 B10 PMR(실적치)</t>
        </is>
      </c>
      <c r="E77" s="5" t="inlineStr"/>
    </row>
    <row r="78">
      <c r="A78" s="2" t="n">
        <v>2</v>
      </c>
      <c r="B78" s="3" t="inlineStr">
        <is>
          <t>2026-08-31 16:45</t>
        </is>
      </c>
      <c r="C78" s="4" t="inlineStr">
        <is>
          <t>투자수익률은 할인율 -max(0, 미지급금-과지급금)/투자실행액 이므로 미지급-과지급이 0이면 할인율이 되므로 같다.</t>
        </is>
      </c>
      <c r="D78" s="4" t="inlineStr">
        <is>
          <t>기간집계 B22 (가) 대표 근사식(%) · B23 (나) 원식 PMR(%) · B24 차 · B25 실측 갈림 배수 · B26 이론 1/(1-할인율) · B27 차감합 · B28·B29 차감합 0 일 때 두 값. 두 식은 분모가 달라 갈린다 — 어느 쪽이 정본인지는 대표 확인 대기</t>
        </is>
      </c>
      <c r="E78" s="13">
        <f>기간집계!B24</f>
        <v/>
      </c>
    </row>
    <row r="79">
      <c r="A79" s="2" t="n">
        <v>3</v>
      </c>
      <c r="B79" s="3" t="inlineStr">
        <is>
          <t>2026-08-31 16:27</t>
        </is>
      </c>
      <c r="C79" s="4" t="inlineStr">
        <is>
          <t>365를 w 금융일수로 나누면 1년동안 몇 번 굴릴 수 있는가 =&gt; 여기에 수익률(할인율) 곱하면 이게 ty 수익률이다.</t>
        </is>
      </c>
      <c r="D79" s="4" t="inlineStr">
        <is>
          <t>기간집계 B57 1년 회전수 · B58 Ty 연 환산</t>
        </is>
      </c>
      <c r="E79" s="5" t="inlineStr"/>
    </row>
    <row r="80">
      <c r="A80" s="2" t="n">
        <v>4</v>
      </c>
      <c r="B80" s="3" t="inlineStr">
        <is>
          <t>2026-08-31 16:27</t>
        </is>
      </c>
      <c r="C80" s="4" t="inlineStr">
        <is>
          <t>2. ty 수익률 → 일 환산 수익률</t>
        </is>
      </c>
      <c r="D80" s="4" t="inlineStr">
        <is>
          <t>기간집계 B59 Ty 일 환산 · B60 검산(일 환산 x 365 - 연 환산)</t>
        </is>
      </c>
      <c r="E80" s="13">
        <f>기간집계!B60</f>
        <v/>
      </c>
    </row>
    <row r="81">
      <c r="A81" s="2" t="n">
        <v>5</v>
      </c>
      <c r="B81" s="3" t="inlineStr">
        <is>
          <t>2026-08-31 16:19</t>
        </is>
      </c>
      <c r="C81" s="4" t="inlineStr">
        <is>
          <t>(가맹점에서 채권을 사올 때는 1%를 떼고 사오므로)</t>
        </is>
      </c>
      <c r="D81" s="4" t="inlineStr">
        <is>
          <t>요율 미확정 (C1). 입력 C2 할인율은 ledger_facts.json rate 그대로다. 1% 를 이 통합문서 어디에도 넣지 않았다</t>
        </is>
      </c>
      <c r="E81" s="5" t="inlineStr"/>
    </row>
    <row r="82">
      <c r="A82" s="2" t="n">
        <v>6</v>
      </c>
      <c r="B82" s="3" t="inlineStr">
        <is>
          <t>2026-08-31 16:19</t>
        </is>
      </c>
      <c r="C82" s="4" t="inlineStr">
        <is>
          <t>실제로는 이 금액보다 선정산 실행액이 작다.</t>
        </is>
      </c>
      <c r="D82" s="4" t="inlineStr">
        <is>
          <t>같은 자리 — 선정산 제외액 · 이체/플랫폼 수수료는 이 통합문서 모집단 밖이다</t>
        </is>
      </c>
      <c r="E8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어제 마감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어제 마감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어제 마감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C10+1-20</f>
        <v/>
      </c>
      <c r="D16" s="5" t="inlineStr">
        <is>
          <t>날짜</t>
        </is>
      </c>
      <c r="E16" s="5" t="inlineStr">
        <is>
          <t>ceo_definitions.md 표본집합 d-20 (d = 오늘 = 어제 마감 + 1)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C10+1-11</f>
        <v/>
      </c>
      <c r="D17" s="5" t="inlineStr">
        <is>
          <t>날짜</t>
        </is>
      </c>
      <c r="E17" s="5" t="inlineStr">
        <is>
          <t>ceo_definitions.md 표본집합 d-11 (d = 오늘 = 어제 마감 + 1)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IF(기간집계!B9+기간집계!B15=0,0,ROUND(기간집계!B13*기간집계!B9/(기간집계!B9+기간집계!B15),6))</f>
        <v/>
      </c>
      <c r="D19" s="5" t="inlineStr">
        <is>
          <t>%</t>
        </is>
      </c>
      <c r="E19" s="5" t="inlineStr">
        <is>
          <t>⑤ = PM x 365 / (Σ(Ai x Di) + PEC) · daily_ledger.TY5_EXPR — 이 칸 하나만 갈아 끼우면 기간집계 ⑤ 와 ⑥ 이 따라온다. 대표 확인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</v>
      </c>
      <c r="E28" s="9" t="n">
        <v>0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</v>
      </c>
      <c r="E29" s="9" t="n">
        <v>0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</v>
      </c>
      <c r="E30" s="9" t="n">
        <v>0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</v>
      </c>
      <c r="E31" s="9" t="n">
        <v>0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하루 선정산액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ROUND(SUMPRODUCT(구성비범위,평균금융일수범위),6)</f>
        <v/>
      </c>
      <c r="C17" s="5" t="inlineStr">
        <is>
          <t>ROUND(Σ 구성비 x 평균 금융일수, 6)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ROUND(B20/B17,6)</f>
        <v/>
      </c>
      <c r="C21" s="5" t="inlineStr">
        <is>
          <t>ROUND(가중 E[d²] / W, 6)</t>
        </is>
      </c>
    </row>
    <row r="22">
      <c r="A22" s="3" t="inlineStr">
        <is>
          <t>Ty수익율(%) — 구성비 W 기준</t>
        </is>
      </c>
      <c r="B22" s="6">
        <f>ROUND(할인율퍼센트*연일수/ROUND(B17,SW_자릿수),6)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하루 선정산액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투자실행액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IF(G2=0,"",ROUND(ROUND(O2,6),SW_자릿수))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IF(G2=0,"",ROUND((U2-V2)/(1-할인율)*100,6))</f>
        <v/>
      </c>
      <c r="X2" s="7">
        <f>IF(G2=0,"",ROUND(할인율퍼센트*연일수/ROUND(O2,6),6))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IF(G3=0,"",ROUND(ROUND(O3,6),SW_자릿수))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IF(G3=0,"",ROUND((U3-V3)/(1-할인율)*100,6))</f>
        <v/>
      </c>
      <c r="X3" s="7">
        <f>IF(G3=0,"",ROUND(할인율퍼센트*연일수/ROUND(O3,6),6))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IF(G4=0,"",ROUND(ROUND(O4,6),SW_자릿수))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IF(G4=0,"",ROUND((U4-V4)/(1-할인율)*100,6))</f>
        <v/>
      </c>
      <c r="X4" s="7">
        <f>IF(G4=0,"",ROUND(할인율퍼센트*연일수/ROUND(O4,6),6))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IF(G5=0,"",ROUND(ROUND(O5,6),SW_자릿수))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IF(G5=0,"",ROUND((U5-V5)/(1-할인율)*100,6))</f>
        <v/>
      </c>
      <c r="X5" s="7">
        <f>IF(G5=0,"",ROUND(할인율퍼센트*연일수/ROUND(O5,6),6))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IF(G6=0,"",ROUND(ROUND(O6,6),SW_자릿수))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IF(G6=0,"",ROUND((U6-V6)/(1-할인율)*100,6))</f>
        <v/>
      </c>
      <c r="X6" s="7">
        <f>IF(G6=0,"",ROUND(할인율퍼센트*연일수/ROUND(O6,6),6))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IF(G7=0,"",ROUND(ROUND(O7,6),SW_자릿수))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IF(G7=0,"",ROUND((U7-V7)/(1-할인율)*100,6))</f>
        <v/>
      </c>
      <c r="X7" s="7">
        <f>IF(G7=0,"",ROUND(할인율퍼센트*연일수/ROUND(O7,6),6))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IF(G8=0,"",ROUND(ROUND(O8,6),SW_자릿수))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IF(G8=0,"",ROUND((U8-V8)/(1-할인율)*100,6))</f>
        <v/>
      </c>
      <c r="X8" s="7">
        <f>IF(G8=0,"",ROUND(할인율퍼센트*연일수/ROUND(O8,6),6))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IF(G9=0,"",ROUND(ROUND(O9,6),SW_자릿수))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IF(G9=0,"",ROUND((U9-V9)/(1-할인율)*100,6))</f>
        <v/>
      </c>
      <c r="X9" s="7">
        <f>IF(G9=0,"",ROUND(할인율퍼센트*연일수/ROUND(O9,6),6))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ROUND(ROUND(O10,6),SW_자릿수)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B(d-1) 상환액</t>
        </is>
      </c>
      <c r="D1" s="1" t="inlineStr">
        <is>
          <t>A(d-1) 투자실행금</t>
        </is>
      </c>
      <c r="E1" s="1" t="inlineStr">
        <is>
          <t>M(d-1) 투자수익 (화면 표시값)</t>
        </is>
      </c>
      <c r="F1" s="1" t="inlineStr">
        <is>
          <t>M(d-1) 투자수익(차감 제외 · 참고)</t>
        </is>
      </c>
      <c r="G1" s="1" t="inlineStr">
        <is>
          <t>MR(d-1) 투자수익율(%)</t>
        </is>
      </c>
      <c r="H1" s="1" t="inlineStr">
        <is>
          <t>wD(d-1) W금융일수</t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t>Σ(Ai x Di)</t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PEC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0">
        <f>IF(D2=0,0,ROUND(E2/D2*100,6))</f>
        <v/>
      </c>
      <c r="H2" s="10">
        <f>IF(D2=0,0,ROUND(K2/D2,6))</f>
        <v/>
      </c>
      <c r="I2" s="7">
        <f>IF(H2=0,0,ROUND(G2*연일수/H2,6))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0">
        <f>IF(D3=0,0,ROUND(E3/D3*100,6))</f>
        <v/>
      </c>
      <c r="H3" s="10">
        <f>IF(D3=0,0,ROUND(K3/D3,6))</f>
        <v/>
      </c>
      <c r="I3" s="7">
        <f>IF(H3=0,0,ROUND(G3*연일수/H3,6))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0">
        <f>IF(D4=0,0,ROUND(E4/D4*100,6))</f>
        <v/>
      </c>
      <c r="H4" s="10">
        <f>IF(D4=0,0,ROUND(K4/D4,6))</f>
        <v/>
      </c>
      <c r="I4" s="7">
        <f>IF(H4=0,0,ROUND(G4*연일수/H4,6))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0">
        <f>IF(D5=0,0,ROUND(E5/D5*100,6))</f>
        <v/>
      </c>
      <c r="H5" s="10">
        <f>IF(D5=0,0,ROUND(K5/D5,6))</f>
        <v/>
      </c>
      <c r="I5" s="7">
        <f>IF(H5=0,0,ROUND(G5*연일수/H5,6))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0">
        <f>IF(D6=0,0,ROUND(E6/D6*100,6))</f>
        <v/>
      </c>
      <c r="H6" s="10">
        <f>IF(D6=0,0,ROUND(K6/D6,6))</f>
        <v/>
      </c>
      <c r="I6" s="7">
        <f>IF(H6=0,0,ROUND(G6*연일수/H6,6))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0">
        <f>IF(D7=0,0,ROUND(E7/D7*100,6))</f>
        <v/>
      </c>
      <c r="H7" s="10">
        <f>IF(D7=0,0,ROUND(K7/D7,6))</f>
        <v/>
      </c>
      <c r="I7" s="7">
        <f>IF(H7=0,0,ROUND(G7*연일수/H7,6))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0">
        <f>IF(D8=0,0,ROUND(E8/D8*100,6))</f>
        <v/>
      </c>
      <c r="H8" s="10">
        <f>IF(D8=0,0,ROUND(K8/D8,6))</f>
        <v/>
      </c>
      <c r="I8" s="7">
        <f>IF(H8=0,0,ROUND(G8*연일수/H8,6))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0">
        <f>IF(D9=0,0,ROUND(E9/D9*100,6))</f>
        <v/>
      </c>
      <c r="H9" s="10">
        <f>IF(D9=0,0,ROUND(K9/D9,6))</f>
        <v/>
      </c>
      <c r="I9" s="7">
        <f>IF(H9=0,0,ROUND(G9*연일수/H9,6))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0">
        <f>IF(D10=0,0,ROUND(E10/D10*100,6))</f>
        <v/>
      </c>
      <c r="H10" s="10">
        <f>IF(D10=0,0,ROUND(K10/D10,6))</f>
        <v/>
      </c>
      <c r="I10" s="7">
        <f>IF(H10=0,0,ROUND(G10*연일수/H10,6))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0">
        <f>IF(D11=0,0,ROUND(E11/D11*100,6))</f>
        <v/>
      </c>
      <c r="H11" s="10">
        <f>IF(D11=0,0,ROUND(K11/D11,6))</f>
        <v/>
      </c>
      <c r="I11" s="7">
        <f>IF(H11=0,0,ROUND(G11*연일수/H11,6))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0">
        <f>IF(D12=0,0,ROUND(E12/D12*100,6))</f>
        <v/>
      </c>
      <c r="H12" s="10">
        <f>IF(D12=0,0,ROUND(K12/D12,6))</f>
        <v/>
      </c>
      <c r="I12" s="7">
        <f>IF(H12=0,0,ROUND(G12*연일수/H12,6))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0">
        <f>IF(D13=0,0,ROUND(E13/D13*100,6))</f>
        <v/>
      </c>
      <c r="H13" s="10">
        <f>IF(D13=0,0,ROUND(K13/D13,6))</f>
        <v/>
      </c>
      <c r="I13" s="7">
        <f>IF(H13=0,0,ROUND(G13*연일수/H13,6))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0">
        <f>IF(D14=0,0,ROUND(E14/D14*100,6))</f>
        <v/>
      </c>
      <c r="H14" s="10">
        <f>IF(D14=0,0,ROUND(K14/D14,6))</f>
        <v/>
      </c>
      <c r="I14" s="7">
        <f>IF(H14=0,0,ROUND(G14*연일수/H14,6))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0">
        <f>IF(D15=0,0,ROUND(E15/D15*100,6))</f>
        <v/>
      </c>
      <c r="H15" s="10">
        <f>IF(D15=0,0,ROUND(K15/D15,6))</f>
        <v/>
      </c>
      <c r="I15" s="7">
        <f>IF(H15=0,0,ROUND(G15*연일수/H15,6))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0">
        <f>IF(D16=0,0,ROUND(E16/D16*100,6))</f>
        <v/>
      </c>
      <c r="H16" s="10">
        <f>IF(D16=0,0,ROUND(K16/D16,6))</f>
        <v/>
      </c>
      <c r="I16" s="7">
        <f>IF(H16=0,0,ROUND(G16*연일수/H16,6))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0">
        <f>IF(D17=0,0,ROUND(E17/D17*100,6))</f>
        <v/>
      </c>
      <c r="H17" s="10">
        <f>IF(D17=0,0,ROUND(K17/D17,6))</f>
        <v/>
      </c>
      <c r="I17" s="7">
        <f>IF(H17=0,0,ROUND(G17*연일수/H17,6))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0">
        <f>IF(D18=0,0,ROUND(E18/D18*100,6))</f>
        <v/>
      </c>
      <c r="H18" s="10">
        <f>IF(D18=0,0,ROUND(K18/D18,6))</f>
        <v/>
      </c>
      <c r="I18" s="7">
        <f>IF(H18=0,0,ROUND(G18*연일수/H18,6))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0">
        <f>IF(D19=0,0,ROUND(E19/D19*100,6))</f>
        <v/>
      </c>
      <c r="H19" s="10">
        <f>IF(D19=0,0,ROUND(K19/D19,6))</f>
        <v/>
      </c>
      <c r="I19" s="7">
        <f>IF(H19=0,0,ROUND(G19*연일수/H19,6))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0">
        <f>IF(D20=0,0,ROUND(E20/D20*100,6))</f>
        <v/>
      </c>
      <c r="H20" s="10">
        <f>IF(D20=0,0,ROUND(K20/D20,6))</f>
        <v/>
      </c>
      <c r="I20" s="7">
        <f>IF(H20=0,0,ROUND(G20*연일수/H20,6))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0">
        <f>IF(D21=0,0,ROUND(E21/D21*100,6))</f>
        <v/>
      </c>
      <c r="H21" s="10">
        <f>IF(D21=0,0,ROUND(K21/D21,6))</f>
        <v/>
      </c>
      <c r="I21" s="7">
        <f>IF(H21=0,0,ROUND(G21*연일수/H21,6))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0">
        <f>IF(D22=0,0,ROUND(E22/D22*100,6))</f>
        <v/>
      </c>
      <c r="H22" s="10">
        <f>IF(D22=0,0,ROUND(K22/D22,6))</f>
        <v/>
      </c>
      <c r="I22" s="7">
        <f>IF(H22=0,0,ROUND(G22*연일수/H22,6))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0">
        <f>IF(D23=0,0,ROUND(E23/D23*100,6))</f>
        <v/>
      </c>
      <c r="H23" s="10">
        <f>IF(D23=0,0,ROUND(K23/D23,6))</f>
        <v/>
      </c>
      <c r="I23" s="7">
        <f>IF(H23=0,0,ROUND(G23*연일수/H23,6))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0">
        <f>IF(D24=0,0,ROUND(E24/D24*100,6))</f>
        <v/>
      </c>
      <c r="H24" s="10">
        <f>IF(D24=0,0,ROUND(K24/D24,6))</f>
        <v/>
      </c>
      <c r="I24" s="7">
        <f>IF(H24=0,0,ROUND(G24*연일수/H24,6))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0">
        <f>IF(D25=0,0,ROUND(E25/D25*100,6))</f>
        <v/>
      </c>
      <c r="H25" s="10">
        <f>IF(D25=0,0,ROUND(K25/D25,6))</f>
        <v/>
      </c>
      <c r="I25" s="7">
        <f>IF(H25=0,0,ROUND(G25*연일수/H25,6))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0">
        <f>IF(D26=0,0,ROUND(E26/D26*100,6))</f>
        <v/>
      </c>
      <c r="H26" s="10">
        <f>IF(D26=0,0,ROUND(K26/D26,6))</f>
        <v/>
      </c>
      <c r="I26" s="7">
        <f>IF(H26=0,0,ROUND(G26*연일수/H26,6))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0">
        <f>IF(D27=0,0,ROUND(E27/D27*100,6))</f>
        <v/>
      </c>
      <c r="H27" s="10">
        <f>IF(D27=0,0,ROUND(K27/D27,6))</f>
        <v/>
      </c>
      <c r="I27" s="7">
        <f>IF(H27=0,0,ROUND(G27*연일수/H27,6))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0">
        <f>IF(D28=0,0,ROUND(E28/D28*100,6))</f>
        <v/>
      </c>
      <c r="H28" s="10">
        <f>IF(D28=0,0,ROUND(K28/D28,6))</f>
        <v/>
      </c>
      <c r="I28" s="7">
        <f>IF(H28=0,0,ROUND(G28*연일수/H28,6))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t>Σ A(d-1)</t>
        </is>
      </c>
      <c r="D5" s="5" t="inlineStr">
        <is>
          <t>ceo_definitions.md [2번] 투자 실행금(PA)</t>
        </is>
      </c>
      <c r="E5" s="32" t="inlineStr">
        <is>
          <t>정본</t>
        </is>
      </c>
    </row>
    <row r="6">
      <c r="A6" s="3" t="inlineStr">
        <is>
          <t>PM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t>Σ M(d-1) = Σ(수수료 - max(0,미지급-과지급))</t>
        </is>
      </c>
      <c r="D6" s="5" t="inlineStr">
        <is>
          <t>ceo_definitions.md [2번] Mi</t>
        </is>
      </c>
      <c r="E6" s="32" t="inlineStr">
        <is>
          <t>정본</t>
        </is>
      </c>
    </row>
    <row r="7">
      <c r="A7" s="3" t="inlineStr">
        <is>
          <t>PM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t>Σ B(d-1)</t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t>Σ(Ai x Di)</t>
        </is>
      </c>
      <c r="B9" s="8">
        <f>SUMIFS(일별!$K$2:$K$28,일별!$A$2:$A$28,"&gt;="&amp;조회시작,일별!$A$2:$A$28,"&lt;="&amp;조회종료)</f>
        <v/>
      </c>
      <c r="C9" s="5" t="inlineStr">
        <is>
          <t>Σ 일별 Σ(Ai x Di)</t>
        </is>
      </c>
      <c r="D9" s="5" t="inlineStr"/>
      <c r="E9" s="5" t="inlineStr"/>
    </row>
    <row r="10">
      <c r="A10" s="3" t="inlineStr">
        <is>
          <t>PMR (정의)(%)</t>
        </is>
      </c>
      <c r="B10" s="9">
        <f>IF(B5=0,0,ROUND(B6/B5*100,6))</f>
        <v/>
      </c>
      <c r="C10" s="5" t="inlineStr">
        <is>
          <t>ROUND(PM / PA x 100, 6)</t>
        </is>
      </c>
      <c r="D10" s="5" t="inlineStr">
        <is>
          <t>ceo_definitions.md [2번] PMR</t>
        </is>
      </c>
      <c r="E10" s="32" t="inlineStr">
        <is>
          <t>정본</t>
        </is>
      </c>
    </row>
    <row r="11">
      <c r="A11" s="3" t="inlineStr">
        <is>
          <t>PMR (차감 제외)(%)</t>
        </is>
      </c>
      <c r="B11" s="9">
        <f>IF(B5=0,0,ROUND(B7/B5*100,6))</f>
        <v/>
      </c>
      <c r="C11" s="5" t="inlineStr">
        <is>
          <t>ROUND(PM(차감 제외) / PA x 100, 6)</t>
        </is>
      </c>
      <c r="D11" s="5" t="inlineStr"/>
      <c r="E11" s="5" t="inlineStr">
        <is>
          <t>참고</t>
        </is>
      </c>
    </row>
    <row r="12">
      <c r="A12" s="3" t="inlineStr">
        <is>
          <t>PwD</t>
        </is>
      </c>
      <c r="B12" s="9">
        <f>IF(B5=0,0,ROUND(B9/B5,6))</f>
        <v/>
      </c>
      <c r="C12" s="5" t="inlineStr">
        <is>
          <t>ROUND(Σ(Ai x Di) / PA, 6)</t>
        </is>
      </c>
      <c r="D12" s="5" t="inlineStr">
        <is>
          <t>ceo_definitions.md [2번] PwD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IF(B12=0,0,ROUND(B10*연일수/B12,6))</f>
        <v/>
      </c>
      <c r="C13" s="5" t="inlineStr">
        <is>
          <t>ROUND(PMR(%) x 365 / PwD, 6)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IF(B12=0,0,ROUND(B11*연일수/B12,6))</f>
        <v/>
      </c>
      <c r="C14" s="5" t="inlineStr">
        <is>
          <t>ROUND(PMR(차감 제외)(%) x 365 / PwD, 6)</t>
        </is>
      </c>
      <c r="D14" s="5" t="inlineStr"/>
      <c r="E14" s="5" t="inlineStr">
        <is>
          <t>참고</t>
        </is>
      </c>
    </row>
    <row r="15">
      <c r="A15" s="3" t="inlineStr">
        <is>
          <t>PEC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PEC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wPYMR 투자 자산 대비 연환산 수익률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t>ceo_definitions.md [2번] Mi</t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PMR(%)</t>
        </is>
      </c>
      <c r="B23" s="9">
        <f>B10</f>
        <v/>
      </c>
      <c r="C23" s="5" t="inlineStr">
        <is>
          <t>PM / PA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t>대상정산금채권 Σ Ai</t>
        </is>
      </c>
      <c r="B32" s="8">
        <f>SUM(채권!$J$2:$J$1281)</f>
        <v/>
      </c>
      <c r="C32" s="5" t="inlineStr">
        <is>
          <t>Σ Ai (선정산일 축 전량)</t>
        </is>
      </c>
      <c r="D32" s="5" t="inlineStr"/>
    </row>
    <row r="33">
      <c r="A33" s="3" t="inlineStr">
        <is>
          <t>대상정산금채권 Σ(Ai x Di)</t>
        </is>
      </c>
      <c r="B33" s="8">
        <f>SUM(채권!$S$2:$S$1281)</f>
        <v/>
      </c>
      <c r="C33" s="5" t="inlineStr">
        <is>
          <t>Σ Ai x Di</t>
        </is>
      </c>
      <c r="D33" s="5" t="inlineStr"/>
    </row>
    <row r="34">
      <c r="A34" s="3" t="inlineStr">
        <is>
          <t>W금융일수 — 대상정산금채권 전체</t>
        </is>
      </c>
      <c r="B34" s="14">
        <f>ROUND(B33/B32,6)</f>
        <v/>
      </c>
      <c r="C34" s="5" t="inlineStr">
        <is>
          <t>ROUND(Σ(Ai x Di) / Σ Ai, 6)</t>
        </is>
      </c>
      <c r="D34" s="5" t="inlineStr">
        <is>
          <t>ceo_definitions.md [1번] w금융일수</t>
        </is>
      </c>
    </row>
    <row r="35">
      <c r="A35" s="3" t="inlineStr">
        <is>
          <t>만기 도래분 Σ Ai</t>
        </is>
      </c>
      <c r="B35" s="8">
        <f>SUMPRODUCT(채권!$J$2:$J$1281,채권!$R$2:$R$1281)</f>
        <v/>
      </c>
      <c r="C35" s="5" t="inlineStr">
        <is>
          <t>Σ Ai x 도래</t>
        </is>
      </c>
      <c r="D35" s="5" t="inlineStr">
        <is>
          <t>조어 — 원문 대응 낱말 없음</t>
        </is>
      </c>
    </row>
    <row r="36">
      <c r="A36" s="3" t="inlineStr">
        <is>
          <t>만기 도래분 Σ(Ai x Di)</t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IF(B35=0,0,ROUND(B36/B35,6))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t>미회수 Σ Ai</t>
        </is>
      </c>
      <c r="B38" s="8">
        <f>SUMPRODUCT(채권!$J$2:$J$1281,채권!$Q$2:$Q$1281)</f>
        <v/>
      </c>
      <c r="C38" s="5" t="inlineStr">
        <is>
          <t>Σ Ai x 미회수</t>
        </is>
      </c>
      <c r="D38" s="5" t="inlineStr">
        <is>
          <t>ceo_definitions.md [1번] 투자 실행액</t>
        </is>
      </c>
    </row>
    <row r="39">
      <c r="A39" s="3" t="inlineStr">
        <is>
          <t>미회수 Σ(Ai x Di)</t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IF(B38=0,0,ROUND(B39/B38,6))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ROUND(할인율퍼센트*연일수/B42,6)</f>
        <v/>
      </c>
      <c r="C43" s="5" t="inlineStr">
        <is>
          <t>ROUND(할인율 x 365 / 표기 W, 6)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t>미회수 Σ Ai</t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t>Σ Li</t>
        </is>
      </c>
      <c r="D49" s="5" t="inlineStr">
        <is>
          <t>ceo_definitions.md [1번] Li</t>
        </is>
      </c>
    </row>
    <row r="50">
      <c r="A50" s="3" t="inlineStr">
        <is>
          <t>S표본 Σ Ai</t>
        </is>
      </c>
      <c r="B50" s="8">
        <f>SUMPRODUCT(채권!$J$2:$J$1281,채권!$T$2:$T$1281)</f>
        <v/>
      </c>
      <c r="C50" s="5" t="inlineStr">
        <is>
          <t>Σ Ai</t>
        </is>
      </c>
      <c r="D50" s="5" t="inlineStr"/>
    </row>
    <row r="51">
      <c r="A51" s="3" t="inlineStr">
        <is>
          <t>S입금부족율(%)</t>
        </is>
      </c>
      <c r="B51" s="6">
        <f>IF(B50=0,0,ROUND(B49/B50*100,6))</f>
        <v/>
      </c>
      <c r="C51" s="5" t="inlineStr">
        <is>
          <t>ROUND(Σ Li / Σ Ai, 6)</t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ROUND(할인율퍼센트*연일수/ROUND(B34,SW_자릿수),6)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IF(B37=0,0,ROUND(할인율퍼센트*연일수/ROUND(B37,SW_자릿수),6))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IF(B40=0,0,ROUND(할인율퍼센트*연일수/ROUND(B40,SW_자릿수),6))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ROUND(할인율퍼센트/B42*연일수,6)-B43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t>w금융일수 = Σ Ai x Di / Σ Ai</t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t>Ai 정의</t>
        </is>
      </c>
      <c r="C3" s="4" t="inlineStr">
        <is>
          <t>Ai = ID가 i인 대상정산금채권의 순지급액 x (1- 유동화투자자의 할인율)</t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t>Di 정의</t>
        </is>
      </c>
      <c r="C4" s="4" t="inlineStr">
        <is>
          <t>Di = ID가 i인 다상정산금채권의 금융일수</t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t>금액(Ai)</t>
        </is>
      </c>
      <c r="D5" s="34" t="n"/>
      <c r="E5" s="34" t="n"/>
      <c r="F5" s="34" t="n"/>
      <c r="G5" s="35" t="n"/>
      <c r="H5" s="5" t="inlineStr">
        <is>
          <t>Σ Ai x Di / Σ Ai 의 분모가 금액이다</t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ROUND(SUMPRODUCT(평균금융일수범위,C12:C15),6)</f>
        <v/>
      </c>
      <c r="D17" s="37">
        <f>ROUND(SUMPRODUCT(평균금융일수범위,D12:D15),6)</f>
        <v/>
      </c>
      <c r="E17" s="37">
        <f>ROUND(SUMPRODUCT(평균금융일수범위,E12:E15),6)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ROUND(할인율퍼센트*연일수/C18,6)</f>
        <v/>
      </c>
      <c r="D19" s="38">
        <f>ROUND(할인율퍼센트*연일수/D18,6)</f>
        <v/>
      </c>
      <c r="E19" s="38">
        <f>ROUND(할인율퍼센트*연일수/E18,6)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ROUND(SUMPRODUCT(Ed2범위,C12:C15)/C17,6)</f>
        <v/>
      </c>
      <c r="D20" s="22">
        <f>ROUND(SUMPRODUCT(Ed2범위,D12:D15)/D17,6)</f>
        <v/>
      </c>
      <c r="E20" s="22">
        <f>ROUND(SUMPRODUCT(Ed2범위,E12:E15)/E17,6)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ROUND(할인율퍼센트*연일수/ROUND(C20,SW_자릿수),6)</f>
        <v/>
      </c>
      <c r="D21" s="31">
        <f>ROUND(할인율퍼센트*연일수/ROUND(D20,SW_자릿수),6)</f>
        <v/>
      </c>
      <c r="E21" s="31">
        <f>ROUND(할인율퍼센트*연일수/ROUND(E20,SW_자릿수),6)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ROUND(B29*INDEX(평균금융일수범위,1)+C29*INDEX(평균금융일수범위,2)+D29*INDEX(평균금융일수범위,3)+E29*INDEX(평균금융일수범위,4),6)</f>
        <v/>
      </c>
      <c r="G29" s="31">
        <f>ROUND(할인율퍼센트*연일수/ROUND(F29,SW_자릿수),6)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ROUND(B30*INDEX(평균금융일수범위,1)+C30*INDEX(평균금융일수범위,2)+D30*INDEX(평균금융일수범위,3)+E30*INDEX(평균금융일수범위,4),6)</f>
        <v/>
      </c>
      <c r="G30" s="31">
        <f>ROUND(할인율퍼센트*연일수/ROUND(F30,SW_자릿수),6)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ROUND(B31*INDEX(평균금융일수범위,1)+C31*INDEX(평균금융일수범위,2)+D31*INDEX(평균금융일수범위,3)+E31*INDEX(평균금융일수범위,4),6)</f>
        <v/>
      </c>
      <c r="G31" s="31">
        <f>ROUND(할인율퍼센트*연일수/ROUND(F31,SW_자릿수),6)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ROUND(B32*INDEX(평균금융일수범위,1)+C32*INDEX(평균금융일수범위,2)+D32*INDEX(평균금융일수범위,3)+E32*INDEX(평균금융일수범위,4),6)</f>
        <v/>
      </c>
      <c r="G32" s="31">
        <f>ROUND(할인율퍼센트*연일수/ROUND(F32,SW_자릿수),6)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ROUND(B33*INDEX(평균금융일수범위,1)+C33*INDEX(평균금융일수범위,2)+D33*INDEX(평균금융일수범위,3)+E33*INDEX(평균금융일수범위,4),6)</f>
        <v/>
      </c>
      <c r="G33" s="31">
        <f>ROUND(할인율퍼센트*연일수/ROUND(F33,SW_자릿수),6)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표시값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표시값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표시값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표시값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표시값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표시값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표시값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표시값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표시값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표시값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</v>
      </c>
      <c r="H10" s="5" t="inlineStr">
        <is>
          <t>ledger_facts.json</t>
        </is>
      </c>
    </row>
    <row r="11">
      <c r="A11" s="5" t="inlineStr">
        <is>
          <t>화면 표시값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</v>
      </c>
      <c r="H11" s="5" t="inlineStr">
        <is>
          <t>ledger_facts.json</t>
        </is>
      </c>
    </row>
    <row r="12">
      <c r="A12" s="5" t="inlineStr">
        <is>
          <t>화면 표시값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표시값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표시값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표시값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표시값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표시값 원본</t>
        </is>
      </c>
      <c r="B17" s="3" t="inlineStr">
        <is>
          <t>채권 Di 최소</t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표시값 원본</t>
        </is>
      </c>
      <c r="B18" s="3" t="inlineStr">
        <is>
          <t>채권 Di 최대</t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표시값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표시값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표시값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표시값 원본</t>
        </is>
      </c>
      <c r="B22" s="3" t="inlineStr">
        <is>
          <t>주간 PA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표시값 원본</t>
        </is>
      </c>
      <c r="B23" s="3" t="inlineStr">
        <is>
          <t>주간 PM</t>
        </is>
      </c>
      <c r="D23" s="5" t="inlineStr">
        <is>
          <t>ledger_facts.json weekProfit</t>
        </is>
      </c>
      <c r="E23" s="8" t="n">
        <v>198184</v>
      </c>
      <c r="H23" s="5" t="inlineStr">
        <is>
          <t>ledger_facts.json</t>
        </is>
      </c>
    </row>
    <row r="24">
      <c r="A24" s="5" t="inlineStr">
        <is>
          <t>화면 표시값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180169120</v>
      </c>
      <c r="H24" s="5" t="inlineStr">
        <is>
          <t>ledger_facts.json</t>
        </is>
      </c>
    </row>
    <row r="25">
      <c r="A25" s="5" t="inlineStr">
        <is>
          <t>화면 표시값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표시값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0</v>
      </c>
      <c r="H26" s="5" t="inlineStr">
        <is>
          <t>ledger_facts.json</t>
        </is>
      </c>
    </row>
    <row r="27">
      <c r="A27" s="5" t="inlineStr">
        <is>
          <t>화면 표시값 원본</t>
        </is>
      </c>
      <c r="B27" s="3" t="inlineStr">
        <is>
          <t>주간 PwD raw</t>
        </is>
      </c>
      <c r="D27" s="5" t="inlineStr">
        <is>
          <t>ledger_facts.json weekWRaw</t>
        </is>
      </c>
      <c r="E27" s="9" t="n">
        <v>3.107588</v>
      </c>
      <c r="H27" s="5" t="inlineStr">
        <is>
          <t>ledger_facts.json</t>
        </is>
      </c>
    </row>
    <row r="28">
      <c r="A28" s="5" t="inlineStr">
        <is>
          <t>화면 표시값 원본</t>
        </is>
      </c>
      <c r="B28" s="3" t="inlineStr">
        <is>
          <t>주간 PwD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표시값 원본</t>
        </is>
      </c>
      <c r="B29" s="3" t="inlineStr">
        <is>
          <t>주간 PEC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표시값 원본</t>
        </is>
      </c>
      <c r="B30" s="3" t="inlineStr">
        <is>
          <t>주간 Σ(Ai x Di)</t>
        </is>
      </c>
      <c r="D30" s="5" t="inlineStr">
        <is>
          <t>ledger_facts.json weekAD</t>
        </is>
      </c>
      <c r="E30" s="8" t="n">
        <v>559275516</v>
      </c>
      <c r="H30" s="5" t="inlineStr">
        <is>
          <t>ledger_facts.json</t>
        </is>
      </c>
    </row>
    <row r="31">
      <c r="A31" s="5" t="inlineStr">
        <is>
          <t>화면 표시값 원본</t>
        </is>
      </c>
      <c r="B31" s="3" t="inlineStr">
        <is>
          <t>주간 ④(%)</t>
        </is>
      </c>
      <c r="D31" s="5" t="inlineStr">
        <is>
          <t>ledger_facts.json weekTy</t>
        </is>
      </c>
      <c r="E31" s="6" t="n">
        <v>12.93</v>
      </c>
      <c r="H31" s="5" t="inlineStr">
        <is>
          <t>ledger_facts.json</t>
        </is>
      </c>
    </row>
    <row r="32">
      <c r="A32" s="5" t="inlineStr">
        <is>
          <t>화면 표시값 원본</t>
        </is>
      </c>
      <c r="B32" s="3" t="inlineStr">
        <is>
          <t>주간 ⑤(%)</t>
        </is>
      </c>
      <c r="D32" s="5" t="inlineStr">
        <is>
          <t>ledger_facts.json weekTyAsset</t>
        </is>
      </c>
      <c r="E32" s="6" t="n">
        <v>10.34</v>
      </c>
      <c r="H32" s="5" t="inlineStr">
        <is>
          <t>ledger_facts.json</t>
        </is>
      </c>
    </row>
    <row r="33">
      <c r="A33" s="5" t="inlineStr">
        <is>
          <t>화면 표시값 원본</t>
        </is>
      </c>
      <c r="B33" s="3" t="inlineStr">
        <is>
          <t>전 구간 PA</t>
        </is>
      </c>
      <c r="D33" s="5" t="inlineStr">
        <is>
          <t>ledger_facts.json fullExec</t>
        </is>
      </c>
      <c r="E33" s="8" t="n">
        <v>4700503303</v>
      </c>
      <c r="H33" s="5" t="inlineStr">
        <is>
          <t>ledger_facts.json</t>
        </is>
      </c>
    </row>
    <row r="34">
      <c r="A34" s="5" t="inlineStr">
        <is>
          <t>화면 표시값 원본</t>
        </is>
      </c>
      <c r="B34" s="3" t="inlineStr">
        <is>
          <t>전 구간 PM</t>
        </is>
      </c>
      <c r="D34" s="5" t="inlineStr">
        <is>
          <t>ledger_facts.json fullProfit</t>
        </is>
      </c>
      <c r="E34" s="8" t="n">
        <v>5176160</v>
      </c>
      <c r="H34" s="5" t="inlineStr">
        <is>
          <t>ledger_facts.json</t>
        </is>
      </c>
    </row>
    <row r="35">
      <c r="A35" s="5" t="inlineStr">
        <is>
          <t>화면 표시값 원본</t>
        </is>
      </c>
      <c r="B35" s="3" t="inlineStr">
        <is>
          <t>전 구간 채권매입수수료</t>
        </is>
      </c>
      <c r="D35" s="5" t="inlineStr">
        <is>
          <t>ledger_facts.json tyByDate [5] 합</t>
        </is>
      </c>
      <c r="E35" s="8" t="n">
        <v>5176160</v>
      </c>
      <c r="H35" s="5" t="inlineStr">
        <is>
          <t>ledger_facts.json</t>
        </is>
      </c>
    </row>
    <row r="36">
      <c r="A36" s="5" t="inlineStr">
        <is>
          <t>화면 표시값 원본</t>
        </is>
      </c>
      <c r="B36" s="3" t="inlineStr">
        <is>
          <t>전 구간 부족액 차감</t>
        </is>
      </c>
      <c r="D36" s="5" t="inlineStr">
        <is>
          <t>ledger_facts.json tyByDate [6] 합</t>
        </is>
      </c>
      <c r="E36" s="8" t="n">
        <v>0</v>
      </c>
      <c r="H36" s="5" t="inlineStr">
        <is>
          <t>ledger_facts.json</t>
        </is>
      </c>
    </row>
    <row r="37">
      <c r="A37" s="5" t="inlineStr">
        <is>
          <t>화면 표시값 원본</t>
        </is>
      </c>
      <c r="B37" s="3" t="inlineStr">
        <is>
          <t>전 구간 차감/수수료(%)</t>
        </is>
      </c>
      <c r="D37" s="5" t="inlineStr">
        <is>
          <t>ledger_facts.json tyByDate [6] 합 ÷ [5] 합</t>
        </is>
      </c>
      <c r="E37" s="6" t="n">
        <v>0</v>
      </c>
      <c r="H37" s="5" t="inlineStr">
        <is>
          <t>ledger_facts.json</t>
        </is>
      </c>
    </row>
    <row r="38">
      <c r="A38" s="5" t="inlineStr">
        <is>
          <t>화면 표시값 원본</t>
        </is>
      </c>
      <c r="B38" s="3" t="inlineStr">
        <is>
          <t>전 구간 PwD raw</t>
        </is>
      </c>
      <c r="D38" s="5" t="inlineStr">
        <is>
          <t>daily_ledger.py LEDGER w6 · exec — Σ(w6 x 투자실행금) ÷ Σ 투자실행금</t>
        </is>
      </c>
      <c r="E38" s="9" t="n">
        <v>3.034222</v>
      </c>
      <c r="H38" s="5" t="inlineStr">
        <is>
          <t>daily_ledger.py</t>
        </is>
      </c>
    </row>
    <row r="39">
      <c r="A39" s="5" t="inlineStr">
        <is>
          <t>화면 표시값 원본</t>
        </is>
      </c>
      <c r="B39" s="3" t="inlineStr">
        <is>
          <t>전 구간 PwD 표기</t>
        </is>
      </c>
      <c r="D39" s="5" t="inlineStr">
        <is>
          <t>ledger_facts.json fullW</t>
        </is>
      </c>
      <c r="E39" s="6" t="n">
        <v>3.03</v>
      </c>
      <c r="H39" s="5" t="inlineStr">
        <is>
          <t>ledger_facts.json</t>
        </is>
      </c>
    </row>
    <row r="40">
      <c r="A40" s="5" t="inlineStr">
        <is>
          <t>화면 표시값 원본</t>
        </is>
      </c>
      <c r="B40" s="3" t="inlineStr">
        <is>
          <t>전 구간 PEC</t>
        </is>
      </c>
      <c r="D40" s="5" t="inlineStr">
        <is>
          <t>ledger_facts.json fullPsc</t>
        </is>
      </c>
      <c r="E40" s="8" t="n">
        <v>3600000000</v>
      </c>
      <c r="H40" s="5" t="inlineStr">
        <is>
          <t>ledger_facts.json</t>
        </is>
      </c>
    </row>
    <row r="41">
      <c r="A41" s="5" t="inlineStr">
        <is>
          <t>화면 표시값 원본</t>
        </is>
      </c>
      <c r="B41" s="3" t="inlineStr">
        <is>
          <t>전 구간 Σ(Ai x Di)</t>
        </is>
      </c>
      <c r="D41" s="5" t="inlineStr">
        <is>
          <t>ledger_facts.json fullAD</t>
        </is>
      </c>
      <c r="E41" s="8" t="n">
        <v>14262370838</v>
      </c>
      <c r="H41" s="5" t="inlineStr">
        <is>
          <t>ledger_facts.json</t>
        </is>
      </c>
    </row>
    <row r="42">
      <c r="A42" s="5" t="inlineStr">
        <is>
          <t>화면 표시값 원본</t>
        </is>
      </c>
      <c r="B42" s="3" t="inlineStr">
        <is>
          <t>전 구간 ④(%)</t>
        </is>
      </c>
      <c r="D42" s="5" t="inlineStr">
        <is>
          <t>ledger_facts.json fullTy</t>
        </is>
      </c>
      <c r="E42" s="6" t="n">
        <v>13.25</v>
      </c>
      <c r="H42" s="5" t="inlineStr">
        <is>
          <t>ledger_facts.json</t>
        </is>
      </c>
    </row>
    <row r="43">
      <c r="A43" s="5" t="inlineStr">
        <is>
          <t>화면 표시값 원본</t>
        </is>
      </c>
      <c r="B43" s="3" t="inlineStr">
        <is>
          <t>전 구간 ⑤(%)</t>
        </is>
      </c>
      <c r="D43" s="5" t="inlineStr">
        <is>
          <t>ledger_facts.json fullTyAsset</t>
        </is>
      </c>
      <c r="E43" s="6" t="n">
        <v>10.58</v>
      </c>
      <c r="H43" s="5" t="inlineStr">
        <is>
          <t>ledger_facts.json</t>
        </is>
      </c>
    </row>
    <row r="44">
      <c r="A44" s="5" t="inlineStr">
        <is>
          <t>화면 표시값 원본</t>
        </is>
      </c>
      <c r="B44" s="3" t="inlineStr">
        <is>
          <t>김성호떡볶이 본점 — 투자실행액</t>
        </is>
      </c>
      <c r="D44" s="5" t="inlineStr">
        <is>
          <t>ledger_facts.json merchants[0]</t>
        </is>
      </c>
      <c r="E44" s="8" t="n">
        <v>19334743</v>
      </c>
      <c r="H44" s="5" t="inlineStr">
        <is>
          <t>ledger_facts.json</t>
        </is>
      </c>
    </row>
    <row r="45">
      <c r="A45" s="5" t="inlineStr">
        <is>
          <t>화면 표시값 원본</t>
        </is>
      </c>
      <c r="B45" s="3" t="inlineStr">
        <is>
          <t>김성호떡볶이 본점 — W</t>
        </is>
      </c>
      <c r="D45" s="5" t="inlineStr">
        <is>
          <t>ledger_facts.json merchants[0]</t>
        </is>
      </c>
      <c r="E45" s="6" t="n">
        <v>3.02</v>
      </c>
      <c r="H45" s="5" t="inlineStr">
        <is>
          <t>ledger_facts.json</t>
        </is>
      </c>
    </row>
    <row r="46">
      <c r="A46" s="5" t="inlineStr">
        <is>
          <t>화면 표시값 원본</t>
        </is>
      </c>
      <c r="B46" s="3" t="inlineStr">
        <is>
          <t>김성호떡볶이 본점 — W raw</t>
        </is>
      </c>
      <c r="D46" s="5" t="inlineStr">
        <is>
          <t>daily_ledger.py MERCHANTS w6</t>
        </is>
      </c>
      <c r="E46" s="9" t="n">
        <v>3.020016</v>
      </c>
      <c r="H46" s="5" t="inlineStr">
        <is>
          <t>daily_ledger.py</t>
        </is>
      </c>
    </row>
    <row r="47">
      <c r="A47" s="5" t="inlineStr">
        <is>
          <t>화면 표시값 원본</t>
        </is>
      </c>
      <c r="B47" s="3" t="inlineStr">
        <is>
          <t>김성호떡볶이 본점 — Ty수익율(%)</t>
        </is>
      </c>
      <c r="D47" s="5" t="inlineStr">
        <is>
          <t>ledger_facts.json merchants[0]</t>
        </is>
      </c>
      <c r="E47" s="6" t="n">
        <v>13.29</v>
      </c>
      <c r="H47" s="5" t="inlineStr">
        <is>
          <t>ledger_facts.json</t>
        </is>
      </c>
    </row>
    <row r="48">
      <c r="A48" s="5" t="inlineStr">
        <is>
          <t>화면 표시값 원본</t>
        </is>
      </c>
      <c r="B48" s="3" t="inlineStr">
        <is>
          <t>김성호떡볶이 본점 — S입금부족율(%)</t>
        </is>
      </c>
      <c r="D48" s="5" t="inlineStr">
        <is>
          <t>ledger_facts.json merchants[0]</t>
        </is>
      </c>
      <c r="E48" s="6" t="n">
        <v>0</v>
      </c>
      <c r="H48" s="5" t="inlineStr">
        <is>
          <t>ledger_facts.json</t>
        </is>
      </c>
    </row>
    <row r="49">
      <c r="A49" s="5" t="inlineStr">
        <is>
          <t>화면 표시값 원본</t>
        </is>
      </c>
      <c r="B49" s="3" t="inlineStr">
        <is>
          <t>김성호떡볶이 본점 — 비중(%)</t>
        </is>
      </c>
      <c r="D49" s="5" t="inlineStr">
        <is>
          <t>ledger_facts.json merchants[0]</t>
        </is>
      </c>
      <c r="E49" s="25" t="n">
        <v>24.2</v>
      </c>
      <c r="H49" s="5" t="inlineStr">
        <is>
          <t>ledger_facts.json</t>
        </is>
      </c>
    </row>
    <row r="50">
      <c r="A50" s="5" t="inlineStr">
        <is>
          <t>화면 표시값 원본</t>
        </is>
      </c>
      <c r="B50" s="3" t="inlineStr">
        <is>
          <t>초록치킨 서초점 — 투자실행액</t>
        </is>
      </c>
      <c r="D50" s="5" t="inlineStr">
        <is>
          <t>ledger_facts.json merchants[1]</t>
        </is>
      </c>
      <c r="E50" s="8" t="n">
        <v>18070801</v>
      </c>
      <c r="H50" s="5" t="inlineStr">
        <is>
          <t>ledger_facts.json</t>
        </is>
      </c>
    </row>
    <row r="51">
      <c r="A51" s="5" t="inlineStr">
        <is>
          <t>화면 표시값 원본</t>
        </is>
      </c>
      <c r="B51" s="3" t="inlineStr">
        <is>
          <t>초록치킨 서초점 — W</t>
        </is>
      </c>
      <c r="D51" s="5" t="inlineStr">
        <is>
          <t>ledger_facts.json merchants[1]</t>
        </is>
      </c>
      <c r="E51" s="6" t="n">
        <v>3.45</v>
      </c>
      <c r="H51" s="5" t="inlineStr">
        <is>
          <t>ledger_facts.json</t>
        </is>
      </c>
    </row>
    <row r="52">
      <c r="A52" s="5" t="inlineStr">
        <is>
          <t>화면 표시값 원본</t>
        </is>
      </c>
      <c r="B52" s="3" t="inlineStr">
        <is>
          <t>초록치킨 서초점 — W raw</t>
        </is>
      </c>
      <c r="D52" s="5" t="inlineStr">
        <is>
          <t>daily_ledger.py MERCHANTS w6</t>
        </is>
      </c>
      <c r="E52" s="9" t="n">
        <v>3.448306</v>
      </c>
      <c r="H52" s="5" t="inlineStr">
        <is>
          <t>daily_ledger.py</t>
        </is>
      </c>
    </row>
    <row r="53">
      <c r="A53" s="5" t="inlineStr">
        <is>
          <t>화면 표시값 원본</t>
        </is>
      </c>
      <c r="B53" s="3" t="inlineStr">
        <is>
          <t>초록치킨 서초점 — Ty수익율(%)</t>
        </is>
      </c>
      <c r="D53" s="5" t="inlineStr">
        <is>
          <t>ledger_facts.json merchants[1]</t>
        </is>
      </c>
      <c r="E53" s="6" t="n">
        <v>11.64</v>
      </c>
      <c r="H53" s="5" t="inlineStr">
        <is>
          <t>ledger_facts.json</t>
        </is>
      </c>
    </row>
    <row r="54">
      <c r="A54" s="5" t="inlineStr">
        <is>
          <t>화면 표시값 원본</t>
        </is>
      </c>
      <c r="B54" s="3" t="inlineStr">
        <is>
          <t>초록치킨 서초점 — S입금부족율(%)</t>
        </is>
      </c>
      <c r="D54" s="5" t="inlineStr">
        <is>
          <t>ledger_facts.json merchants[1]</t>
        </is>
      </c>
      <c r="E54" s="6" t="n">
        <v>0</v>
      </c>
      <c r="H54" s="5" t="inlineStr">
        <is>
          <t>ledger_facts.json</t>
        </is>
      </c>
    </row>
    <row r="55">
      <c r="A55" s="5" t="inlineStr">
        <is>
          <t>화면 표시값 원본</t>
        </is>
      </c>
      <c r="B55" s="3" t="inlineStr">
        <is>
          <t>초록치킨 서초점 — 비중(%)</t>
        </is>
      </c>
      <c r="D55" s="5" t="inlineStr">
        <is>
          <t>ledger_facts.json merchants[1]</t>
        </is>
      </c>
      <c r="E55" s="25" t="n">
        <v>22.6</v>
      </c>
      <c r="H55" s="5" t="inlineStr">
        <is>
          <t>ledger_facts.json</t>
        </is>
      </c>
    </row>
    <row r="56">
      <c r="A56" s="5" t="inlineStr">
        <is>
          <t>화면 표시값 원본</t>
        </is>
      </c>
      <c r="B56" s="3" t="inlineStr">
        <is>
          <t>김밥나라 — 투자실행액</t>
        </is>
      </c>
      <c r="D56" s="5" t="inlineStr">
        <is>
          <t>ledger_facts.json merchants[2]</t>
        </is>
      </c>
      <c r="E56" s="8" t="n">
        <v>11827388</v>
      </c>
      <c r="H56" s="5" t="inlineStr">
        <is>
          <t>ledger_facts.json</t>
        </is>
      </c>
    </row>
    <row r="57">
      <c r="A57" s="5" t="inlineStr">
        <is>
          <t>화면 표시값 원본</t>
        </is>
      </c>
      <c r="B57" s="3" t="inlineStr">
        <is>
          <t>김밥나라 — W</t>
        </is>
      </c>
      <c r="D57" s="5" t="inlineStr">
        <is>
          <t>ledger_facts.json merchants[2]</t>
        </is>
      </c>
      <c r="E57" s="6" t="n">
        <v>3.27</v>
      </c>
      <c r="H57" s="5" t="inlineStr">
        <is>
          <t>ledger_facts.json</t>
        </is>
      </c>
    </row>
    <row r="58">
      <c r="A58" s="5" t="inlineStr">
        <is>
          <t>화면 표시값 원본</t>
        </is>
      </c>
      <c r="B58" s="3" t="inlineStr">
        <is>
          <t>김밥나라 — W raw</t>
        </is>
      </c>
      <c r="D58" s="5" t="inlineStr">
        <is>
          <t>daily_ledger.py MERCHANTS w6</t>
        </is>
      </c>
      <c r="E58" s="9" t="n">
        <v>3.269323</v>
      </c>
      <c r="H58" s="5" t="inlineStr">
        <is>
          <t>daily_ledger.py</t>
        </is>
      </c>
    </row>
    <row r="59">
      <c r="A59" s="5" t="inlineStr">
        <is>
          <t>화면 표시값 원본</t>
        </is>
      </c>
      <c r="B59" s="3" t="inlineStr">
        <is>
          <t>김밥나라 — Ty수익율(%)</t>
        </is>
      </c>
      <c r="D59" s="5" t="inlineStr">
        <is>
          <t>ledger_facts.json merchants[2]</t>
        </is>
      </c>
      <c r="E59" s="6" t="n">
        <v>12.28</v>
      </c>
      <c r="H59" s="5" t="inlineStr">
        <is>
          <t>ledger_facts.json</t>
        </is>
      </c>
    </row>
    <row r="60">
      <c r="A60" s="5" t="inlineStr">
        <is>
          <t>화면 표시값 원본</t>
        </is>
      </c>
      <c r="B60" s="3" t="inlineStr">
        <is>
          <t>김밥나라 — S입금부족율(%)</t>
        </is>
      </c>
      <c r="D60" s="5" t="inlineStr">
        <is>
          <t>ledger_facts.json merchants[2]</t>
        </is>
      </c>
      <c r="E60" s="6" t="n">
        <v>0</v>
      </c>
      <c r="H60" s="5" t="inlineStr">
        <is>
          <t>ledger_facts.json</t>
        </is>
      </c>
    </row>
    <row r="61">
      <c r="A61" s="5" t="inlineStr">
        <is>
          <t>화면 표시값 원본</t>
        </is>
      </c>
      <c r="B61" s="3" t="inlineStr">
        <is>
          <t>김밥나라 — 비중(%)</t>
        </is>
      </c>
      <c r="D61" s="5" t="inlineStr">
        <is>
          <t>ledger_facts.json merchants[2]</t>
        </is>
      </c>
      <c r="E61" s="25" t="n">
        <v>14.8</v>
      </c>
      <c r="H61" s="5" t="inlineStr">
        <is>
          <t>ledger_facts.json</t>
        </is>
      </c>
    </row>
    <row r="62">
      <c r="A62" s="5" t="inlineStr">
        <is>
          <t>화면 표시값 원본</t>
        </is>
      </c>
      <c r="B62" s="3" t="inlineStr">
        <is>
          <t>골목냉면 — 투자실행액</t>
        </is>
      </c>
      <c r="D62" s="5" t="inlineStr">
        <is>
          <t>ledger_facts.json merchants[3]</t>
        </is>
      </c>
      <c r="E62" s="8" t="n">
        <v>9286833</v>
      </c>
      <c r="H62" s="5" t="inlineStr">
        <is>
          <t>ledger_facts.json</t>
        </is>
      </c>
    </row>
    <row r="63">
      <c r="A63" s="5" t="inlineStr">
        <is>
          <t>화면 표시값 원본</t>
        </is>
      </c>
      <c r="B63" s="3" t="inlineStr">
        <is>
          <t>골목냉면 — W</t>
        </is>
      </c>
      <c r="D63" s="5" t="inlineStr">
        <is>
          <t>ledger_facts.json merchants[3]</t>
        </is>
      </c>
      <c r="E63" s="6" t="n">
        <v>3.09</v>
      </c>
      <c r="H63" s="5" t="inlineStr">
        <is>
          <t>ledger_facts.json</t>
        </is>
      </c>
    </row>
    <row r="64">
      <c r="A64" s="5" t="inlineStr">
        <is>
          <t>화면 표시값 원본</t>
        </is>
      </c>
      <c r="B64" s="3" t="inlineStr">
        <is>
          <t>골목냉면 — W raw</t>
        </is>
      </c>
      <c r="D64" s="5" t="inlineStr">
        <is>
          <t>daily_ledger.py MERCHANTS w6</t>
        </is>
      </c>
      <c r="E64" s="9" t="n">
        <v>3.09034</v>
      </c>
      <c r="H64" s="5" t="inlineStr">
        <is>
          <t>daily_ledger.py</t>
        </is>
      </c>
    </row>
    <row r="65">
      <c r="A65" s="5" t="inlineStr">
        <is>
          <t>화면 표시값 원본</t>
        </is>
      </c>
      <c r="B65" s="3" t="inlineStr">
        <is>
          <t>골목냉면 — Ty수익율(%)</t>
        </is>
      </c>
      <c r="D65" s="5" t="inlineStr">
        <is>
          <t>ledger_facts.json merchants[3]</t>
        </is>
      </c>
      <c r="E65" s="6" t="n">
        <v>12.99</v>
      </c>
      <c r="H65" s="5" t="inlineStr">
        <is>
          <t>ledger_facts.json</t>
        </is>
      </c>
    </row>
    <row r="66">
      <c r="A66" s="5" t="inlineStr">
        <is>
          <t>화면 표시값 원본</t>
        </is>
      </c>
      <c r="B66" s="3" t="inlineStr">
        <is>
          <t>골목냉면 — S입금부족율(%)</t>
        </is>
      </c>
      <c r="D66" s="5" t="inlineStr">
        <is>
          <t>ledger_facts.json merchants[3]</t>
        </is>
      </c>
      <c r="E66" s="6" t="n">
        <v>0</v>
      </c>
      <c r="H66" s="5" t="inlineStr">
        <is>
          <t>ledger_facts.json</t>
        </is>
      </c>
    </row>
    <row r="67">
      <c r="A67" s="5" t="inlineStr">
        <is>
          <t>화면 표시값 원본</t>
        </is>
      </c>
      <c r="B67" s="3" t="inlineStr">
        <is>
          <t>골목냉면 — 비중(%)</t>
        </is>
      </c>
      <c r="D67" s="5" t="inlineStr">
        <is>
          <t>ledger_facts.json merchants[3]</t>
        </is>
      </c>
      <c r="E67" s="25" t="n">
        <v>11.6</v>
      </c>
      <c r="H67" s="5" t="inlineStr">
        <is>
          <t>ledger_facts.json</t>
        </is>
      </c>
    </row>
    <row r="68">
      <c r="A68" s="5" t="inlineStr">
        <is>
          <t>화면 표시값 원본</t>
        </is>
      </c>
      <c r="B68" s="3" t="inlineStr">
        <is>
          <t>달빛곱창 홍대점 — 투자실행액</t>
        </is>
      </c>
      <c r="D68" s="5" t="inlineStr">
        <is>
          <t>ledger_facts.json merchants[4]</t>
        </is>
      </c>
      <c r="E68" s="8" t="n">
        <v>7074838</v>
      </c>
      <c r="H68" s="5" t="inlineStr">
        <is>
          <t>ledger_facts.json</t>
        </is>
      </c>
    </row>
    <row r="69">
      <c r="A69" s="5" t="inlineStr">
        <is>
          <t>화면 표시값 원본</t>
        </is>
      </c>
      <c r="B69" s="3" t="inlineStr">
        <is>
          <t>달빛곱창 홍대점 — W</t>
        </is>
      </c>
      <c r="D69" s="5" t="inlineStr">
        <is>
          <t>ledger_facts.json merchants[4]</t>
        </is>
      </c>
      <c r="E69" s="6" t="n">
        <v>2.84</v>
      </c>
      <c r="H69" s="5" t="inlineStr">
        <is>
          <t>ledger_facts.json</t>
        </is>
      </c>
    </row>
    <row r="70">
      <c r="A70" s="5" t="inlineStr">
        <is>
          <t>화면 표시값 원본</t>
        </is>
      </c>
      <c r="B70" s="3" t="inlineStr">
        <is>
          <t>달빛곱창 홍대점 — W raw</t>
        </is>
      </c>
      <c r="D70" s="5" t="inlineStr">
        <is>
          <t>daily_ledger.py MERCHANTS w6</t>
        </is>
      </c>
      <c r="E70" s="9" t="n">
        <v>2.839762</v>
      </c>
      <c r="H70" s="5" t="inlineStr">
        <is>
          <t>daily_ledger.py</t>
        </is>
      </c>
    </row>
    <row r="71">
      <c r="A71" s="5" t="inlineStr">
        <is>
          <t>화면 표시값 원본</t>
        </is>
      </c>
      <c r="B71" s="3" t="inlineStr">
        <is>
          <t>달빛곱창 홍대점 — Ty수익율(%)</t>
        </is>
      </c>
      <c r="D71" s="5" t="inlineStr">
        <is>
          <t>ledger_facts.json merchants[4]</t>
        </is>
      </c>
      <c r="E71" s="6" t="n">
        <v>14.14</v>
      </c>
      <c r="H71" s="5" t="inlineStr">
        <is>
          <t>ledger_facts.json</t>
        </is>
      </c>
    </row>
    <row r="72">
      <c r="A72" s="5" t="inlineStr">
        <is>
          <t>화면 표시값 원본</t>
        </is>
      </c>
      <c r="B72" s="3" t="inlineStr">
        <is>
          <t>달빛곱창 홍대점 — S입금부족율(%)</t>
        </is>
      </c>
      <c r="D72" s="5" t="inlineStr">
        <is>
          <t>ledger_facts.json merchants[4]</t>
        </is>
      </c>
      <c r="E72" s="6" t="n">
        <v>0</v>
      </c>
      <c r="H72" s="5" t="inlineStr">
        <is>
          <t>ledger_facts.json</t>
        </is>
      </c>
    </row>
    <row r="73">
      <c r="A73" s="5" t="inlineStr">
        <is>
          <t>화면 표시값 원본</t>
        </is>
      </c>
      <c r="B73" s="3" t="inlineStr">
        <is>
          <t>달빛곱창 홍대점 — 비중(%)</t>
        </is>
      </c>
      <c r="D73" s="5" t="inlineStr">
        <is>
          <t>ledger_facts.json merchants[4]</t>
        </is>
      </c>
      <c r="E73" s="25" t="n">
        <v>8.800000000000001</v>
      </c>
      <c r="H73" s="5" t="inlineStr">
        <is>
          <t>ledger_facts.json</t>
        </is>
      </c>
    </row>
    <row r="74">
      <c r="A74" s="5" t="inlineStr">
        <is>
          <t>화면 표시값 원본</t>
        </is>
      </c>
      <c r="B74" s="3" t="inlineStr">
        <is>
          <t>청춘포차 신촌점 — 투자실행액</t>
        </is>
      </c>
      <c r="D74" s="5" t="inlineStr">
        <is>
          <t>ledger_facts.json merchants[5]</t>
        </is>
      </c>
      <c r="E74" s="8" t="n">
        <v>5624058</v>
      </c>
      <c r="H74" s="5" t="inlineStr">
        <is>
          <t>ledger_facts.json</t>
        </is>
      </c>
    </row>
    <row r="75">
      <c r="A75" s="5" t="inlineStr">
        <is>
          <t>화면 표시값 원본</t>
        </is>
      </c>
      <c r="B75" s="3" t="inlineStr">
        <is>
          <t>청춘포차 신촌점 — W</t>
        </is>
      </c>
      <c r="D75" s="5" t="inlineStr">
        <is>
          <t>ledger_facts.json merchants[5]</t>
        </is>
      </c>
      <c r="E75" s="6" t="n">
        <v>2.7</v>
      </c>
      <c r="H75" s="5" t="inlineStr">
        <is>
          <t>ledger_facts.json</t>
        </is>
      </c>
    </row>
    <row r="76">
      <c r="A76" s="5" t="inlineStr">
        <is>
          <t>화면 표시값 원본</t>
        </is>
      </c>
      <c r="B76" s="3" t="inlineStr">
        <is>
          <t>청춘포차 신촌점 — W raw</t>
        </is>
      </c>
      <c r="D76" s="5" t="inlineStr">
        <is>
          <t>daily_ledger.py MERCHANTS w6</t>
        </is>
      </c>
      <c r="E76" s="9" t="n">
        <v>2.696576</v>
      </c>
      <c r="H76" s="5" t="inlineStr">
        <is>
          <t>daily_ledger.py</t>
        </is>
      </c>
    </row>
    <row r="77">
      <c r="A77" s="5" t="inlineStr">
        <is>
          <t>화면 표시값 원본</t>
        </is>
      </c>
      <c r="B77" s="3" t="inlineStr">
        <is>
          <t>청춘포차 신촌점 — Ty수익율(%)</t>
        </is>
      </c>
      <c r="D77" s="5" t="inlineStr">
        <is>
          <t>ledger_facts.json merchants[5]</t>
        </is>
      </c>
      <c r="E77" s="6" t="n">
        <v>14.89</v>
      </c>
      <c r="H77" s="5" t="inlineStr">
        <is>
          <t>ledger_facts.json</t>
        </is>
      </c>
    </row>
    <row r="78">
      <c r="A78" s="5" t="inlineStr">
        <is>
          <t>화면 표시값 원본</t>
        </is>
      </c>
      <c r="B78" s="3" t="inlineStr">
        <is>
          <t>청춘포차 신촌점 — S입금부족율(%)</t>
        </is>
      </c>
      <c r="D78" s="5" t="inlineStr">
        <is>
          <t>ledger_facts.json merchants[5]</t>
        </is>
      </c>
      <c r="E78" s="6" t="n">
        <v>0</v>
      </c>
      <c r="H78" s="5" t="inlineStr">
        <is>
          <t>ledger_facts.json</t>
        </is>
      </c>
    </row>
    <row r="79">
      <c r="A79" s="5" t="inlineStr">
        <is>
          <t>화면 표시값 원본</t>
        </is>
      </c>
      <c r="B79" s="3" t="inlineStr">
        <is>
          <t>청춘포차 신촌점 — 비중(%)</t>
        </is>
      </c>
      <c r="D79" s="5" t="inlineStr">
        <is>
          <t>ledger_facts.json merchants[5]</t>
        </is>
      </c>
      <c r="E79" s="25" t="n">
        <v>7</v>
      </c>
      <c r="H79" s="5" t="inlineStr">
        <is>
          <t>ledger_facts.json</t>
        </is>
      </c>
    </row>
    <row r="80">
      <c r="A80" s="5" t="inlineStr">
        <is>
          <t>화면 표시값 원본</t>
        </is>
      </c>
      <c r="B80" s="3" t="inlineStr">
        <is>
          <t>바다마루 횟집 — 투자실행액</t>
        </is>
      </c>
      <c r="D80" s="5" t="inlineStr">
        <is>
          <t>ledger_facts.json merchants[6]</t>
        </is>
      </c>
      <c r="E80" s="8" t="n">
        <v>4799968</v>
      </c>
      <c r="H80" s="5" t="inlineStr">
        <is>
          <t>ledger_facts.json</t>
        </is>
      </c>
    </row>
    <row r="81">
      <c r="A81" s="5" t="inlineStr">
        <is>
          <t>화면 표시값 원본</t>
        </is>
      </c>
      <c r="B81" s="3" t="inlineStr">
        <is>
          <t>바다마루 횟집 — W</t>
        </is>
      </c>
      <c r="D81" s="5" t="inlineStr">
        <is>
          <t>ledger_facts.json merchants[6]</t>
        </is>
      </c>
      <c r="E81" s="6" t="n">
        <v>2.55</v>
      </c>
      <c r="H81" s="5" t="inlineStr">
        <is>
          <t>ledger_facts.json</t>
        </is>
      </c>
    </row>
    <row r="82">
      <c r="A82" s="5" t="inlineStr">
        <is>
          <t>화면 표시값 원본</t>
        </is>
      </c>
      <c r="B82" s="3" t="inlineStr">
        <is>
          <t>바다마루 횟집 — W raw</t>
        </is>
      </c>
      <c r="D82" s="5" t="inlineStr">
        <is>
          <t>daily_ledger.py MERCHANTS w6</t>
        </is>
      </c>
      <c r="E82" s="9" t="n">
        <v>2.553388</v>
      </c>
      <c r="H82" s="5" t="inlineStr">
        <is>
          <t>daily_ledger.py</t>
        </is>
      </c>
    </row>
    <row r="83">
      <c r="A83" s="5" t="inlineStr">
        <is>
          <t>화면 표시값 원본</t>
        </is>
      </c>
      <c r="B83" s="3" t="inlineStr">
        <is>
          <t>바다마루 횟집 — Ty수익율(%)</t>
        </is>
      </c>
      <c r="D83" s="5" t="inlineStr">
        <is>
          <t>ledger_facts.json merchants[6]</t>
        </is>
      </c>
      <c r="E83" s="6" t="n">
        <v>15.72</v>
      </c>
      <c r="H83" s="5" t="inlineStr">
        <is>
          <t>ledger_facts.json</t>
        </is>
      </c>
    </row>
    <row r="84">
      <c r="A84" s="5" t="inlineStr">
        <is>
          <t>화면 표시값 원본</t>
        </is>
      </c>
      <c r="B84" s="3" t="inlineStr">
        <is>
          <t>바다마루 횟집 — S입금부족율(%)</t>
        </is>
      </c>
      <c r="D84" s="5" t="inlineStr">
        <is>
          <t>ledger_facts.json merchants[6]</t>
        </is>
      </c>
      <c r="E84" s="6" t="n">
        <v>0</v>
      </c>
      <c r="H84" s="5" t="inlineStr">
        <is>
          <t>ledger_facts.json</t>
        </is>
      </c>
    </row>
    <row r="85">
      <c r="A85" s="5" t="inlineStr">
        <is>
          <t>화면 표시값 원본</t>
        </is>
      </c>
      <c r="B85" s="3" t="inlineStr">
        <is>
          <t>바다마루 횟집 — 비중(%)</t>
        </is>
      </c>
      <c r="D85" s="5" t="inlineStr">
        <is>
          <t>ledger_facts.json merchants[6]</t>
        </is>
      </c>
      <c r="E85" s="25" t="n">
        <v>6</v>
      </c>
      <c r="H85" s="5" t="inlineStr">
        <is>
          <t>ledger_facts.json</t>
        </is>
      </c>
    </row>
    <row r="86">
      <c r="A86" s="5" t="inlineStr">
        <is>
          <t>화면 표시값 원본</t>
        </is>
      </c>
      <c r="B86" s="3" t="inlineStr">
        <is>
          <t>한강커피 잠원점 — 투자실행액</t>
        </is>
      </c>
      <c r="D86" s="5" t="inlineStr">
        <is>
          <t>ledger_facts.json merchants[7]</t>
        </is>
      </c>
      <c r="E86" s="8" t="n">
        <v>3981371</v>
      </c>
      <c r="H86" s="5" t="inlineStr">
        <is>
          <t>ledger_facts.json</t>
        </is>
      </c>
    </row>
    <row r="87">
      <c r="A87" s="5" t="inlineStr">
        <is>
          <t>화면 표시값 원본</t>
        </is>
      </c>
      <c r="B87" s="3" t="inlineStr">
        <is>
          <t>한강커피 잠원점 — W</t>
        </is>
      </c>
      <c r="D87" s="5" t="inlineStr">
        <is>
          <t>ledger_facts.json merchants[7]</t>
        </is>
      </c>
      <c r="E87" s="6" t="n">
        <v>2.52</v>
      </c>
      <c r="H87" s="5" t="inlineStr">
        <is>
          <t>ledger_facts.json</t>
        </is>
      </c>
    </row>
    <row r="88">
      <c r="A88" s="5" t="inlineStr">
        <is>
          <t>화면 표시값 원본</t>
        </is>
      </c>
      <c r="B88" s="3" t="inlineStr">
        <is>
          <t>한강커피 잠원점 — W raw</t>
        </is>
      </c>
      <c r="D88" s="5" t="inlineStr">
        <is>
          <t>daily_ledger.py MERCHANTS w6</t>
        </is>
      </c>
      <c r="E88" s="9" t="n">
        <v>2.517593</v>
      </c>
      <c r="H88" s="5" t="inlineStr">
        <is>
          <t>daily_ledger.py</t>
        </is>
      </c>
    </row>
    <row r="89">
      <c r="A89" s="5" t="inlineStr">
        <is>
          <t>화면 표시값 원본</t>
        </is>
      </c>
      <c r="B89" s="3" t="inlineStr">
        <is>
          <t>한강커피 잠원점 — Ty수익율(%)</t>
        </is>
      </c>
      <c r="D89" s="5" t="inlineStr">
        <is>
          <t>ledger_facts.json merchants[7]</t>
        </is>
      </c>
      <c r="E89" s="6" t="n">
        <v>15.95</v>
      </c>
      <c r="H89" s="5" t="inlineStr">
        <is>
          <t>ledger_facts.json</t>
        </is>
      </c>
    </row>
    <row r="90">
      <c r="A90" s="5" t="inlineStr">
        <is>
          <t>화면 표시값 원본</t>
        </is>
      </c>
      <c r="B90" s="3" t="inlineStr">
        <is>
          <t>한강커피 잠원점 — S입금부족율(%)</t>
        </is>
      </c>
      <c r="D90" s="5" t="inlineStr">
        <is>
          <t>ledger_facts.json merchants[7]</t>
        </is>
      </c>
      <c r="E90" s="6" t="n">
        <v>0</v>
      </c>
      <c r="H90" s="5" t="inlineStr">
        <is>
          <t>ledger_facts.json</t>
        </is>
      </c>
    </row>
    <row r="91">
      <c r="A91" s="5" t="inlineStr">
        <is>
          <t>화면 표시값 원본</t>
        </is>
      </c>
      <c r="B91" s="3" t="inlineStr">
        <is>
          <t>한강커피 잠원점 — 비중(%)</t>
        </is>
      </c>
      <c r="D91" s="5" t="inlineStr">
        <is>
          <t>ledger_facts.json merchants[7]</t>
        </is>
      </c>
      <c r="E91" s="25" t="n">
        <v>5</v>
      </c>
      <c r="H91" s="5" t="inlineStr">
        <is>
          <t>ledger_facts.json</t>
        </is>
      </c>
    </row>
    <row r="92" ht="30" customHeight="1">
      <c r="A92" s="11" t="inlineStr">
        <is>
          <t>구분</t>
        </is>
      </c>
      <c r="B92" s="11" t="inlineStr">
        <is>
          <t>항목</t>
        </is>
      </c>
      <c r="C92" s="11" t="inlineStr">
        <is>
          <t>엑셀 값</t>
        </is>
      </c>
      <c r="D92" s="11" t="inlineStr">
        <is>
          <t>산출 경로</t>
        </is>
      </c>
      <c r="E92" s="11" t="inlineStr">
        <is>
          <t>화면 표시값</t>
        </is>
      </c>
      <c r="F92" s="11" t="inlineStr">
        <is>
          <t>차이</t>
        </is>
      </c>
      <c r="G92" s="11" t="inlineStr">
        <is>
          <t>판정</t>
        </is>
      </c>
      <c r="H92" s="11" t="inlineStr">
        <is>
          <t>출처</t>
        </is>
      </c>
    </row>
    <row r="93">
      <c r="A93" s="5" t="inlineStr">
        <is>
          <t>항등식</t>
        </is>
      </c>
      <c r="B93" s="3" t="inlineStr">
        <is>
          <t>좌변 — 투자실행액 (채권 미회수 Σ Ai)</t>
        </is>
      </c>
      <c r="C93" s="8">
        <f>기간집계!B38</f>
        <v/>
      </c>
      <c r="D93" s="5" t="inlineStr">
        <is>
          <t>기간집계 B38</t>
        </is>
      </c>
      <c r="E93" s="2">
        <f>가맹점!B18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94">
      <c r="A94" s="5" t="inlineStr">
        <is>
          <t>불변식</t>
        </is>
      </c>
      <c r="B94" s="3" t="inlineStr">
        <is>
          <t>투자실행액</t>
        </is>
      </c>
      <c r="C94" s="8">
        <f>기간집계!B44</f>
        <v/>
      </c>
      <c r="D94" s="5" t="inlineStr">
        <is>
          <t>기간집계 B44</t>
        </is>
      </c>
      <c r="E94" s="2">
        <f>$E$2</f>
        <v/>
      </c>
      <c r="F94" s="2">
        <f>IFERROR(C94-E94,"")</f>
        <v/>
      </c>
      <c r="G94" s="5">
        <f>IFERROR(IF(ABS(F94)&lt;=0.5,"일치","차이"),"")</f>
        <v/>
      </c>
      <c r="H94" s="5" t="inlineStr">
        <is>
          <t>화면대조 E2</t>
        </is>
      </c>
    </row>
    <row r="95">
      <c r="A95" s="5" t="inlineStr">
        <is>
          <t>불변식</t>
        </is>
      </c>
      <c r="B95" s="3" t="inlineStr">
        <is>
          <t>순현금</t>
        </is>
      </c>
      <c r="C95" s="8">
        <f>기간집계!B45</f>
        <v/>
      </c>
      <c r="D95" s="5" t="inlineStr">
        <is>
          <t>기간집계 B45</t>
        </is>
      </c>
      <c r="E95" s="2">
        <f>$E$3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E3</t>
        </is>
      </c>
    </row>
    <row r="96">
      <c r="A96" s="5" t="inlineStr">
        <is>
          <t>불변식</t>
        </is>
      </c>
      <c r="B96" s="3" t="inlineStr">
        <is>
          <t>투자자산</t>
        </is>
      </c>
      <c r="C96" s="8">
        <f>기간집계!B46</f>
        <v/>
      </c>
      <c r="D96" s="5" t="inlineStr">
        <is>
          <t>기간집계 B46</t>
        </is>
      </c>
      <c r="E96" s="2">
        <f>$E$4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E4</t>
        </is>
      </c>
    </row>
    <row r="97">
      <c r="A97" s="5" t="inlineStr">
        <is>
          <t>불변식</t>
        </is>
      </c>
      <c r="B97" s="3" t="inlineStr">
        <is>
          <t>투자실행액 비중(%)</t>
        </is>
      </c>
      <c r="C97" s="25">
        <f>ROUND(기간집계!B47*100,1)</f>
        <v/>
      </c>
      <c r="D97" s="5" t="inlineStr">
        <is>
          <t>기간집계 B47</t>
        </is>
      </c>
      <c r="E97" s="24">
        <f>$E$5</f>
        <v/>
      </c>
      <c r="F97" s="24">
        <f>IFERROR(C97-E97,"")</f>
        <v/>
      </c>
      <c r="G97" s="5">
        <f>IFERROR(IF(ABS(F97)&lt;=0.005,"일치","차이"),"")</f>
        <v/>
      </c>
      <c r="H97" s="5" t="inlineStr">
        <is>
          <t>화면대조 E5</t>
        </is>
      </c>
    </row>
    <row r="98">
      <c r="A98" s="5" t="inlineStr">
        <is>
          <t>불변식</t>
        </is>
      </c>
      <c r="B98" s="3" t="inlineStr">
        <is>
          <t>순현금 비중(%)</t>
        </is>
      </c>
      <c r="C98" s="25">
        <f>ROUND(기간집계!B48*100,1)</f>
        <v/>
      </c>
      <c r="D98" s="5" t="inlineStr">
        <is>
          <t>기간집계 B48</t>
        </is>
      </c>
      <c r="E98" s="24">
        <f>$E$6</f>
        <v/>
      </c>
      <c r="F98" s="24">
        <f>IFERROR(C98-E98,"")</f>
        <v/>
      </c>
      <c r="G98" s="5">
        <f>IFERROR(IF(ABS(F98)&lt;=0.005,"일치","차이"),"")</f>
        <v/>
      </c>
      <c r="H98" s="5" t="inlineStr">
        <is>
          <t>화면대조 E6</t>
        </is>
      </c>
    </row>
    <row r="99">
      <c r="A99" s="5" t="inlineStr">
        <is>
          <t>불변식</t>
        </is>
      </c>
      <c r="B99" s="3" t="inlineStr">
        <is>
          <t>W금융일수 (표기)</t>
        </is>
      </c>
      <c r="C99" s="6">
        <f>기간집계!B42</f>
        <v/>
      </c>
      <c r="D99" s="5" t="inlineStr">
        <is>
          <t>기간집계 B42</t>
        </is>
      </c>
      <c r="E99" s="7">
        <f>$E$8</f>
        <v/>
      </c>
      <c r="F99" s="7">
        <f>IFERROR(C99-E99,"")</f>
        <v/>
      </c>
      <c r="G99" s="5">
        <f>IFERROR(IF(ABS(F99)&lt;=0.0005,"일치","차이"),"")</f>
        <v/>
      </c>
      <c r="H99" s="5" t="inlineStr">
        <is>
          <t>화면대조 E8</t>
        </is>
      </c>
    </row>
    <row r="100">
      <c r="A100" s="5" t="inlineStr">
        <is>
          <t>불변식</t>
        </is>
      </c>
      <c r="B100" s="3" t="inlineStr">
        <is>
          <t>W금융일수 (raw · 소수 6자리)</t>
        </is>
      </c>
      <c r="C100" s="9">
        <f>ROUND(기간집계!B41,6)</f>
        <v/>
      </c>
      <c r="D100" s="5" t="inlineStr">
        <is>
          <t>기간집계 B41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불변식</t>
        </is>
      </c>
      <c r="B101" s="3" t="inlineStr">
        <is>
          <t>Ty수익율(%)</t>
        </is>
      </c>
      <c r="C101" s="6">
        <f>기간집계!B43</f>
        <v/>
      </c>
      <c r="D101" s="5" t="inlineStr">
        <is>
          <t>기간집계 B43</t>
        </is>
      </c>
      <c r="E101" s="7">
        <f>$E$9</f>
        <v/>
      </c>
      <c r="F101" s="7">
        <f>IFERROR(C101-E101,"")</f>
        <v/>
      </c>
      <c r="G101" s="5">
        <f>IFERROR(IF(ABS(F101)&lt;=0.005,"일치","차이"),"")</f>
        <v/>
      </c>
      <c r="H101" s="5" t="inlineStr">
        <is>
          <t>화면대조 E9</t>
        </is>
      </c>
    </row>
    <row r="102">
      <c r="A102" s="5" t="inlineStr">
        <is>
          <t>불변식</t>
        </is>
      </c>
      <c r="B102" s="3" t="inlineStr">
        <is>
          <t>로스터 건수</t>
        </is>
      </c>
      <c r="C102" s="8">
        <f>가맹점!B19</f>
        <v/>
      </c>
      <c r="D102" s="5" t="inlineStr">
        <is>
          <t>가맹점 B19</t>
        </is>
      </c>
      <c r="E102" s="2">
        <f>$E$19</f>
        <v/>
      </c>
      <c r="F102" s="2">
        <f>IFERROR(C102-E102,"")</f>
        <v/>
      </c>
      <c r="G102" s="5">
        <f>IFERROR(IF(ABS(F102)&lt;=0.5,"일치","차이"),"")</f>
        <v/>
      </c>
      <c r="H102" s="5" t="inlineStr">
        <is>
          <t>화면대조 E19</t>
        </is>
      </c>
    </row>
    <row r="103">
      <c r="A103" s="5" t="inlineStr">
        <is>
          <t>불변식</t>
        </is>
      </c>
      <c r="B103" s="3" t="inlineStr">
        <is>
          <t>서명 대기 건수</t>
        </is>
      </c>
      <c r="C103" s="8">
        <f>COUNTIF(계약상태범위,"서명 대기")</f>
        <v/>
      </c>
      <c r="D103" s="5" t="inlineStr">
        <is>
          <t>입력 J열</t>
        </is>
      </c>
      <c r="E103" s="2">
        <f>$E$20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화면대조 E20</t>
        </is>
      </c>
    </row>
    <row r="104">
      <c r="A104" s="5" t="inlineStr">
        <is>
          <t>불변식</t>
        </is>
      </c>
      <c r="B104" s="3" t="inlineStr">
        <is>
          <t>비중 합(%)</t>
        </is>
      </c>
      <c r="C104" s="25">
        <f>SUM(가맹점!AC2:AC9)</f>
        <v/>
      </c>
      <c r="D104" s="5" t="inlineStr">
        <is>
          <t>가맹점 AC열 (최대잉여법)</t>
        </is>
      </c>
      <c r="E104" s="24" t="n">
        <v>100</v>
      </c>
      <c r="F104" s="24">
        <f>IFERROR(C104-E104,"")</f>
        <v/>
      </c>
      <c r="G104" s="5">
        <f>IFERROR(IF(ABS(F104)&lt;=0.005,"일치","차이"),"")</f>
        <v/>
      </c>
      <c r="H104" s="5" t="inlineStr">
        <is>
          <t>비중 합 100.0 불변</t>
        </is>
      </c>
    </row>
    <row r="105">
      <c r="A105" s="5" t="inlineStr">
        <is>
          <t>불변식</t>
        </is>
      </c>
      <c r="B105" s="3" t="inlineStr">
        <is>
          <t>채권 Di 최소</t>
        </is>
      </c>
      <c r="C105" s="8">
        <f>MIN(채권!$H$2:$H$1281)</f>
        <v/>
      </c>
      <c r="D105" s="5" t="inlineStr">
        <is>
          <t>채권 H열</t>
        </is>
      </c>
      <c r="E105" s="2">
        <f>$E$17</f>
        <v/>
      </c>
      <c r="F105" s="2">
        <f>IFERROR(C105-E105,"")</f>
        <v/>
      </c>
      <c r="G105" s="5">
        <f>IFERROR(IF(ABS(F105)&lt;=0.5,"일치","차이"),"")</f>
        <v/>
      </c>
      <c r="H105" s="5" t="inlineStr">
        <is>
          <t>화면대조 E17</t>
        </is>
      </c>
    </row>
    <row r="106">
      <c r="A106" s="5" t="inlineStr">
        <is>
          <t>불변식</t>
        </is>
      </c>
      <c r="B106" s="3" t="inlineStr">
        <is>
          <t>채권 Di 최대</t>
        </is>
      </c>
      <c r="C106" s="8">
        <f>MAX(채권!$H$2:$H$1281)</f>
        <v/>
      </c>
      <c r="D106" s="5" t="inlineStr">
        <is>
          <t>채권 H열</t>
        </is>
      </c>
      <c r="E106" s="2">
        <f>$E$18</f>
        <v/>
      </c>
      <c r="F106" s="2">
        <f>IFERROR(C106-E106,"")</f>
        <v/>
      </c>
      <c r="G106" s="5">
        <f>IFERROR(IF(ABS(F106)&lt;=0.5,"일치","차이"),"")</f>
        <v/>
      </c>
      <c r="H106" s="5" t="inlineStr">
        <is>
          <t>화면대조 E18</t>
        </is>
      </c>
    </row>
    <row r="107">
      <c r="A107" s="5" t="inlineStr">
        <is>
          <t>불변식</t>
        </is>
      </c>
      <c r="B107" s="3" t="inlineStr">
        <is>
          <t>플랫폼 구성비 합</t>
        </is>
      </c>
      <c r="C107" s="14">
        <f>SUM(구성비범위)</f>
        <v/>
      </c>
      <c r="D107" s="5" t="inlineStr">
        <is>
          <t>입력 C28:C31</t>
        </is>
      </c>
      <c r="E107" s="17" t="n">
        <v>1</v>
      </c>
      <c r="F107" s="17">
        <f>IFERROR(C107-E107,"")</f>
        <v/>
      </c>
      <c r="G107" s="5">
        <f>IFERROR(IF(ABS(F107)&lt;=1e-07,"일치","차이"),"")</f>
        <v/>
      </c>
      <c r="H107" s="5" t="inlineStr">
        <is>
          <t>합 1 (구성상)</t>
        </is>
      </c>
    </row>
    <row r="108">
      <c r="A108" s="5" t="inlineStr">
        <is>
          <t>교차</t>
        </is>
      </c>
      <c r="B108" s="3" t="inlineStr">
        <is>
          <t>미회수 잔량 W — 채권 vs 도수표</t>
        </is>
      </c>
      <c r="C108" s="9">
        <f>기간집계!B40</f>
        <v/>
      </c>
      <c r="D108" s="5" t="inlineStr">
        <is>
          <t>기간집계 B40</t>
        </is>
      </c>
      <c r="E108" s="10">
        <f>플랫폼!B21</f>
        <v/>
      </c>
      <c r="F108" s="10">
        <f>IFERROR(C108-E108,"")</f>
        <v/>
      </c>
      <c r="G108" s="5">
        <f>IFERROR(IF(ABS(F108)&lt;=0.0005,"일치","차이"),"")</f>
        <v/>
      </c>
      <c r="H108" s="5" t="inlineStr">
        <is>
          <t>플랫폼 B21 = 가중 E[d²] / W</t>
        </is>
      </c>
    </row>
    <row r="109">
      <c r="A109" s="5" t="inlineStr">
        <is>
          <t>교차</t>
        </is>
      </c>
      <c r="B109" s="3" t="inlineStr">
        <is>
          <t>미회수 잔량 Ty(%)</t>
        </is>
      </c>
      <c r="C109" s="6">
        <f>기간집계!B56</f>
        <v/>
      </c>
      <c r="D109" s="5" t="inlineStr">
        <is>
          <t>기간집계 B56</t>
        </is>
      </c>
      <c r="E109" s="7">
        <f>'가중치 대조'!C21</f>
        <v/>
      </c>
      <c r="F109" s="7">
        <f>IFERROR(C109-E109,"")</f>
        <v/>
      </c>
      <c r="G109" s="5">
        <f>IFERROR(IF(ABS(F109)&lt;=0.02,"일치","차이"),"")</f>
        <v/>
      </c>
      <c r="H109" s="5" t="inlineStr">
        <is>
          <t>가중치 대조 C21</t>
        </is>
      </c>
    </row>
    <row r="110">
      <c r="A110" s="5" t="inlineStr">
        <is>
          <t>교차</t>
        </is>
      </c>
      <c r="B110" s="3" t="inlineStr">
        <is>
          <t>W금융일수 — 구성비 x 평균 금융일수</t>
        </is>
      </c>
      <c r="C110" s="9">
        <f>플랫폼!B17</f>
        <v/>
      </c>
      <c r="D110" s="5" t="inlineStr">
        <is>
          <t>플랫폼 B17</t>
        </is>
      </c>
      <c r="E110" s="10">
        <f>$E$7</f>
        <v/>
      </c>
      <c r="F110" s="10">
        <f>IFERROR(C110-E110,"")</f>
        <v/>
      </c>
      <c r="G110" s="5">
        <f>IFERROR(IF(ABS(F110)&lt;=5e-07,"일치","차이"),"")</f>
        <v/>
      </c>
      <c r="H110" s="5" t="inlineStr">
        <is>
          <t>화면대조 E7</t>
        </is>
      </c>
    </row>
    <row r="111">
      <c r="A111" s="5" t="inlineStr">
        <is>
          <t>교차</t>
        </is>
      </c>
      <c r="B111" s="3" t="inlineStr">
        <is>
          <t>로스터 금액가중 구성비 — 카드</t>
        </is>
      </c>
      <c r="C111" s="14">
        <f>가맹점!B28</f>
        <v/>
      </c>
      <c r="D111" s="5" t="inlineStr">
        <is>
          <t>가맹점 B28</t>
        </is>
      </c>
      <c r="E111" s="17">
        <f>INDEX(구성비범위,1)</f>
        <v/>
      </c>
      <c r="F111" s="17">
        <f>IFERROR(C111-E111,"")</f>
        <v/>
      </c>
      <c r="G111" s="5">
        <f>IFERROR(IF(ABS(F111)&lt;=1e-07,"일치","차이"),"")</f>
        <v/>
      </c>
      <c r="H111" s="5" t="inlineStr">
        <is>
          <t>입력 C28</t>
        </is>
      </c>
    </row>
    <row r="112">
      <c r="A112" s="5" t="inlineStr">
        <is>
          <t>불변식</t>
        </is>
      </c>
      <c r="B112" s="3" t="inlineStr">
        <is>
          <t>S입금부족율(%)</t>
        </is>
      </c>
      <c r="C112" s="6">
        <f>ROUND(기간집계!B51,2)</f>
        <v/>
      </c>
      <c r="D112" s="5" t="inlineStr">
        <is>
          <t>기간집계 B51</t>
        </is>
      </c>
      <c r="E112" s="7">
        <f>$E$11</f>
        <v/>
      </c>
      <c r="F112" s="7">
        <f>IFERROR(C112-E112,"")</f>
        <v/>
      </c>
      <c r="G112" s="5">
        <f>IFERROR(IF(ABS(F112)&lt;=0.005,"일치","차이"),"")</f>
        <v/>
      </c>
      <c r="H112" s="5" t="inlineStr">
        <is>
          <t>화면대조 E11</t>
        </is>
      </c>
    </row>
    <row r="113">
      <c r="A113" s="5" t="inlineStr">
        <is>
          <t>불변식</t>
        </is>
      </c>
      <c r="B113" s="3" t="inlineStr">
        <is>
          <t>투자실행액 = 입력 목표</t>
        </is>
      </c>
      <c r="C113" s="8">
        <f>기간집계!B44</f>
        <v/>
      </c>
      <c r="D113" s="5" t="inlineStr">
        <is>
          <t>기간집계 B44</t>
        </is>
      </c>
      <c r="E113" s="2">
        <f>투자실행액목표</f>
        <v/>
      </c>
      <c r="F113" s="2">
        <f>IFERROR(C113-E113,"")</f>
        <v/>
      </c>
      <c r="G113" s="5">
        <f>IFERROR(IF(ABS(F113)&lt;=0.5,"일치","차이"),"")</f>
        <v/>
      </c>
      <c r="H113" s="5" t="inlineStr">
        <is>
          <t>입력 C7 = C5 - C8</t>
        </is>
      </c>
    </row>
    <row r="114">
      <c r="A114" s="5" t="inlineStr">
        <is>
          <t>불변식</t>
        </is>
      </c>
      <c r="B114" s="3" t="inlineStr">
        <is>
          <t>투자자산 = 총 투자자산</t>
        </is>
      </c>
      <c r="C114" s="8">
        <f>기간집계!B46</f>
        <v/>
      </c>
      <c r="D114" s="5" t="inlineStr">
        <is>
          <t>기간집계 B46</t>
        </is>
      </c>
      <c r="E114" s="2">
        <f>총투자자산</f>
        <v/>
      </c>
      <c r="F114" s="2">
        <f>IFERROR(C114-E114,"")</f>
        <v/>
      </c>
      <c r="G114" s="5">
        <f>IFERROR(IF(ABS(F114)&lt;=0.5,"일치","차이"),"")</f>
        <v/>
      </c>
      <c r="H114" s="5" t="inlineStr">
        <is>
          <t>입력 C5</t>
        </is>
      </c>
    </row>
    <row r="115">
      <c r="A115" s="5" t="inlineStr">
        <is>
          <t>가맹점</t>
        </is>
      </c>
      <c r="B115" s="3" t="inlineStr">
        <is>
          <t>김성호떡볶이 본점 — W 표기</t>
        </is>
      </c>
      <c r="C115" s="6">
        <f>가맹점!T2</f>
        <v/>
      </c>
      <c r="D115" s="5" t="inlineStr">
        <is>
          <t>가맹점 T2</t>
        </is>
      </c>
      <c r="E115" s="7">
        <f>$E$45</f>
        <v/>
      </c>
      <c r="F115" s="7">
        <f>IFERROR(C115-E115,"")</f>
        <v/>
      </c>
      <c r="G115" s="5">
        <f>IFERROR(IF(ABS(F115)&lt;=0.0005,"일치","차이"),"")</f>
        <v/>
      </c>
      <c r="H115" s="5" t="inlineStr">
        <is>
          <t>화면대조 E45</t>
        </is>
      </c>
    </row>
    <row r="116">
      <c r="A116" s="5" t="inlineStr">
        <is>
          <t>가맹점</t>
        </is>
      </c>
      <c r="B116" s="3" t="inlineStr">
        <is>
          <t>초록치킨 서초점 — W 표기</t>
        </is>
      </c>
      <c r="C116" s="6">
        <f>가맹점!T3</f>
        <v/>
      </c>
      <c r="D116" s="5" t="inlineStr">
        <is>
          <t>가맹점 T3</t>
        </is>
      </c>
      <c r="E116" s="7">
        <f>$E$51</f>
        <v/>
      </c>
      <c r="F116" s="7">
        <f>IFERROR(C116-E116,"")</f>
        <v/>
      </c>
      <c r="G116" s="5">
        <f>IFERROR(IF(ABS(F116)&lt;=0.0005,"일치","차이"),"")</f>
        <v/>
      </c>
      <c r="H116" s="5" t="inlineStr">
        <is>
          <t>화면대조 E51</t>
        </is>
      </c>
    </row>
    <row r="117">
      <c r="A117" s="5" t="inlineStr">
        <is>
          <t>가맹점</t>
        </is>
      </c>
      <c r="B117" s="3" t="inlineStr">
        <is>
          <t>김밥나라 — W 표기</t>
        </is>
      </c>
      <c r="C117" s="6">
        <f>가맹점!T4</f>
        <v/>
      </c>
      <c r="D117" s="5" t="inlineStr">
        <is>
          <t>가맹점 T4</t>
        </is>
      </c>
      <c r="E117" s="7">
        <f>$E$57</f>
        <v/>
      </c>
      <c r="F117" s="7">
        <f>IFERROR(C117-E117,"")</f>
        <v/>
      </c>
      <c r="G117" s="5">
        <f>IFERROR(IF(ABS(F117)&lt;=0.0005,"일치","차이"),"")</f>
        <v/>
      </c>
      <c r="H117" s="5" t="inlineStr">
        <is>
          <t>화면대조 E57</t>
        </is>
      </c>
    </row>
    <row r="118">
      <c r="A118" s="5" t="inlineStr">
        <is>
          <t>가맹점</t>
        </is>
      </c>
      <c r="B118" s="3" t="inlineStr">
        <is>
          <t>골목냉면 — W 표기</t>
        </is>
      </c>
      <c r="C118" s="6">
        <f>가맹점!T5</f>
        <v/>
      </c>
      <c r="D118" s="5" t="inlineStr">
        <is>
          <t>가맹점 T5</t>
        </is>
      </c>
      <c r="E118" s="7">
        <f>$E$63</f>
        <v/>
      </c>
      <c r="F118" s="7">
        <f>IFERROR(C118-E118,"")</f>
        <v/>
      </c>
      <c r="G118" s="5">
        <f>IFERROR(IF(ABS(F118)&lt;=0.0005,"일치","차이"),"")</f>
        <v/>
      </c>
      <c r="H118" s="5" t="inlineStr">
        <is>
          <t>화면대조 E63</t>
        </is>
      </c>
    </row>
    <row r="119">
      <c r="A119" s="5" t="inlineStr">
        <is>
          <t>가맹점</t>
        </is>
      </c>
      <c r="B119" s="3" t="inlineStr">
        <is>
          <t>달빛곱창 홍대점 — W 표기</t>
        </is>
      </c>
      <c r="C119" s="6">
        <f>가맹점!T6</f>
        <v/>
      </c>
      <c r="D119" s="5" t="inlineStr">
        <is>
          <t>가맹점 T6</t>
        </is>
      </c>
      <c r="E119" s="7">
        <f>$E$69</f>
        <v/>
      </c>
      <c r="F119" s="7">
        <f>IFERROR(C119-E119,"")</f>
        <v/>
      </c>
      <c r="G119" s="5">
        <f>IFERROR(IF(ABS(F119)&lt;=0.0005,"일치","차이"),"")</f>
        <v/>
      </c>
      <c r="H119" s="5" t="inlineStr">
        <is>
          <t>화면대조 E69</t>
        </is>
      </c>
    </row>
    <row r="120">
      <c r="A120" s="5" t="inlineStr">
        <is>
          <t>가맹점</t>
        </is>
      </c>
      <c r="B120" s="3" t="inlineStr">
        <is>
          <t>청춘포차 신촌점 — W 표기</t>
        </is>
      </c>
      <c r="C120" s="6">
        <f>가맹점!T7</f>
        <v/>
      </c>
      <c r="D120" s="5" t="inlineStr">
        <is>
          <t>가맹점 T7</t>
        </is>
      </c>
      <c r="E120" s="7">
        <f>$E$75</f>
        <v/>
      </c>
      <c r="F120" s="7">
        <f>IFERROR(C120-E120,"")</f>
        <v/>
      </c>
      <c r="G120" s="5">
        <f>IFERROR(IF(ABS(F120)&lt;=0.0005,"일치","차이"),"")</f>
        <v/>
      </c>
      <c r="H120" s="5" t="inlineStr">
        <is>
          <t>화면대조 E75</t>
        </is>
      </c>
    </row>
    <row r="121">
      <c r="A121" s="5" t="inlineStr">
        <is>
          <t>가맹점</t>
        </is>
      </c>
      <c r="B121" s="3" t="inlineStr">
        <is>
          <t>바다마루 횟집 — W 표기</t>
        </is>
      </c>
      <c r="C121" s="6">
        <f>가맹점!T8</f>
        <v/>
      </c>
      <c r="D121" s="5" t="inlineStr">
        <is>
          <t>가맹점 T8</t>
        </is>
      </c>
      <c r="E121" s="7">
        <f>$E$81</f>
        <v/>
      </c>
      <c r="F121" s="7">
        <f>IFERROR(C121-E121,"")</f>
        <v/>
      </c>
      <c r="G121" s="5">
        <f>IFERROR(IF(ABS(F121)&lt;=0.0005,"일치","차이"),"")</f>
        <v/>
      </c>
      <c r="H121" s="5" t="inlineStr">
        <is>
          <t>화면대조 E81</t>
        </is>
      </c>
    </row>
    <row r="122">
      <c r="A122" s="5" t="inlineStr">
        <is>
          <t>가맹점</t>
        </is>
      </c>
      <c r="B122" s="3" t="inlineStr">
        <is>
          <t>한강커피 잠원점 — W 표기</t>
        </is>
      </c>
      <c r="C122" s="6">
        <f>가맹점!T9</f>
        <v/>
      </c>
      <c r="D122" s="5" t="inlineStr">
        <is>
          <t>가맹점 T9</t>
        </is>
      </c>
      <c r="E122" s="7">
        <f>$E$87</f>
        <v/>
      </c>
      <c r="F122" s="7">
        <f>IFERROR(C122-E122,"")</f>
        <v/>
      </c>
      <c r="G122" s="5">
        <f>IFERROR(IF(ABS(F122)&lt;=0.0005,"일치","차이"),"")</f>
        <v/>
      </c>
      <c r="H122" s="5" t="inlineStr">
        <is>
          <t>화면대조 E87</t>
        </is>
      </c>
    </row>
    <row r="123">
      <c r="A123" s="5" t="inlineStr">
        <is>
          <t>가맹점</t>
        </is>
      </c>
      <c r="B123" s="3" t="inlineStr">
        <is>
          <t>김성호떡볶이 본점 — S입금부족율(%)</t>
        </is>
      </c>
      <c r="C123" s="6">
        <f>ROUND(가맹점!W2,2)</f>
        <v/>
      </c>
      <c r="D123" s="5" t="inlineStr">
        <is>
          <t>가맹점 W2</t>
        </is>
      </c>
      <c r="E123" s="7">
        <f>$E$48</f>
        <v/>
      </c>
      <c r="F123" s="7">
        <f>IFERROR(C123-E123,"")</f>
        <v/>
      </c>
      <c r="G123" s="5">
        <f>IFERROR(IF(ABS(F123)&lt;=0.005,"일치","차이"),"")</f>
        <v/>
      </c>
      <c r="H123" s="5" t="inlineStr">
        <is>
          <t>화면대조 E48</t>
        </is>
      </c>
    </row>
    <row r="124">
      <c r="A124" s="5" t="inlineStr">
        <is>
          <t>가맹점</t>
        </is>
      </c>
      <c r="B124" s="3" t="inlineStr">
        <is>
          <t>초록치킨 서초점 — S입금부족율(%)</t>
        </is>
      </c>
      <c r="C124" s="6">
        <f>ROUND(가맹점!W3,2)</f>
        <v/>
      </c>
      <c r="D124" s="5" t="inlineStr">
        <is>
          <t>가맹점 W3</t>
        </is>
      </c>
      <c r="E124" s="7">
        <f>$E$54</f>
        <v/>
      </c>
      <c r="F124" s="7">
        <f>IFERROR(C124-E124,"")</f>
        <v/>
      </c>
      <c r="G124" s="5">
        <f>IFERROR(IF(ABS(F124)&lt;=0.005,"일치","차이"),"")</f>
        <v/>
      </c>
      <c r="H124" s="5" t="inlineStr">
        <is>
          <t>화면대조 E54</t>
        </is>
      </c>
    </row>
    <row r="125">
      <c r="A125" s="5" t="inlineStr">
        <is>
          <t>가맹점</t>
        </is>
      </c>
      <c r="B125" s="3" t="inlineStr">
        <is>
          <t>김밥나라 — S입금부족율(%)</t>
        </is>
      </c>
      <c r="C125" s="6">
        <f>ROUND(가맹점!W4,2)</f>
        <v/>
      </c>
      <c r="D125" s="5" t="inlineStr">
        <is>
          <t>가맹점 W4</t>
        </is>
      </c>
      <c r="E125" s="7">
        <f>$E$60</f>
        <v/>
      </c>
      <c r="F125" s="7">
        <f>IFERROR(C125-E125,"")</f>
        <v/>
      </c>
      <c r="G125" s="5">
        <f>IFERROR(IF(ABS(F125)&lt;=0.005,"일치","차이"),"")</f>
        <v/>
      </c>
      <c r="H125" s="5" t="inlineStr">
        <is>
          <t>화면대조 E60</t>
        </is>
      </c>
    </row>
    <row r="126">
      <c r="A126" s="5" t="inlineStr">
        <is>
          <t>가맹점</t>
        </is>
      </c>
      <c r="B126" s="3" t="inlineStr">
        <is>
          <t>골목냉면 — S입금부족율(%)</t>
        </is>
      </c>
      <c r="C126" s="6">
        <f>ROUND(가맹점!W5,2)</f>
        <v/>
      </c>
      <c r="D126" s="5" t="inlineStr">
        <is>
          <t>가맹점 W5</t>
        </is>
      </c>
      <c r="E126" s="7">
        <f>$E$66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화면대조 E66</t>
        </is>
      </c>
    </row>
    <row r="127">
      <c r="A127" s="5" t="inlineStr">
        <is>
          <t>가맹점</t>
        </is>
      </c>
      <c r="B127" s="3" t="inlineStr">
        <is>
          <t>달빛곱창 홍대점 — S입금부족율(%)</t>
        </is>
      </c>
      <c r="C127" s="6">
        <f>ROUND(가맹점!W6,2)</f>
        <v/>
      </c>
      <c r="D127" s="5" t="inlineStr">
        <is>
          <t>가맹점 W6</t>
        </is>
      </c>
      <c r="E127" s="7">
        <f>$E$72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화면대조 E72</t>
        </is>
      </c>
    </row>
    <row r="128">
      <c r="A128" s="5" t="inlineStr">
        <is>
          <t>가맹점</t>
        </is>
      </c>
      <c r="B128" s="3" t="inlineStr">
        <is>
          <t>청춘포차 신촌점 — S입금부족율(%)</t>
        </is>
      </c>
      <c r="C128" s="6">
        <f>ROUND(가맹점!W7,2)</f>
        <v/>
      </c>
      <c r="D128" s="5" t="inlineStr">
        <is>
          <t>가맹점 W7</t>
        </is>
      </c>
      <c r="E128" s="7">
        <f>$E$78</f>
        <v/>
      </c>
      <c r="F128" s="7">
        <f>IFERROR(C128-E128,"")</f>
        <v/>
      </c>
      <c r="G128" s="5">
        <f>IFERROR(IF(ABS(F128)&lt;=0.005,"일치","차이"),"")</f>
        <v/>
      </c>
      <c r="H128" s="5" t="inlineStr">
        <is>
          <t>화면대조 E78</t>
        </is>
      </c>
    </row>
    <row r="129">
      <c r="A129" s="5" t="inlineStr">
        <is>
          <t>가맹점</t>
        </is>
      </c>
      <c r="B129" s="3" t="inlineStr">
        <is>
          <t>바다마루 횟집 — S입금부족율(%)</t>
        </is>
      </c>
      <c r="C129" s="6">
        <f>ROUND(가맹점!W8,2)</f>
        <v/>
      </c>
      <c r="D129" s="5" t="inlineStr">
        <is>
          <t>가맹점 W8</t>
        </is>
      </c>
      <c r="E129" s="7">
        <f>$E$84</f>
        <v/>
      </c>
      <c r="F129" s="7">
        <f>IFERROR(C129-E129,"")</f>
        <v/>
      </c>
      <c r="G129" s="5">
        <f>IFERROR(IF(ABS(F129)&lt;=0.005,"일치","차이"),"")</f>
        <v/>
      </c>
      <c r="H129" s="5" t="inlineStr">
        <is>
          <t>화면대조 E84</t>
        </is>
      </c>
    </row>
    <row r="130">
      <c r="A130" s="5" t="inlineStr">
        <is>
          <t>가맹점</t>
        </is>
      </c>
      <c r="B130" s="3" t="inlineStr">
        <is>
          <t>한강커피 잠원점 — S입금부족율(%)</t>
        </is>
      </c>
      <c r="C130" s="6">
        <f>ROUND(가맹점!W9,2)</f>
        <v/>
      </c>
      <c r="D130" s="5" t="inlineStr">
        <is>
          <t>가맹점 W9</t>
        </is>
      </c>
      <c r="E130" s="7">
        <f>$E$90</f>
        <v/>
      </c>
      <c r="F130" s="7">
        <f>IFERROR(C130-E130,"")</f>
        <v/>
      </c>
      <c r="G130" s="5">
        <f>IFERROR(IF(ABS(F130)&lt;=0.005,"일치","차이"),"")</f>
        <v/>
      </c>
      <c r="H130" s="5" t="inlineStr">
        <is>
          <t>화면대조 E90</t>
        </is>
      </c>
    </row>
    <row r="131" ht="30" customHeight="1">
      <c r="A131" s="11" t="inlineStr">
        <is>
          <t>구분</t>
        </is>
      </c>
      <c r="B131" s="11" t="inlineStr">
        <is>
          <t>항목</t>
        </is>
      </c>
      <c r="C131" s="11" t="inlineStr">
        <is>
          <t>산식으로 되짚은 값</t>
        </is>
      </c>
      <c r="D131" s="11" t="inlineStr">
        <is>
          <t>산식</t>
        </is>
      </c>
      <c r="E131" s="11" t="inlineStr">
        <is>
          <t>화면 표시값</t>
        </is>
      </c>
      <c r="F131" s="11" t="inlineStr">
        <is>
          <t>차이</t>
        </is>
      </c>
      <c r="G131" s="11" t="inlineStr">
        <is>
          <t>판정</t>
        </is>
      </c>
      <c r="H131" s="11" t="inlineStr">
        <is>
          <t>출처</t>
        </is>
      </c>
    </row>
    <row r="132">
      <c r="A132" s="5" t="inlineStr">
        <is>
          <t>화면 정합</t>
        </is>
      </c>
      <c r="B132" s="3" t="inlineStr">
        <is>
          <t>투자자산</t>
        </is>
      </c>
      <c r="C132" s="8">
        <f>$E$2+$E$3</f>
        <v/>
      </c>
      <c r="D132" s="5" t="inlineStr">
        <is>
          <t>투자실행액 + 순현금</t>
        </is>
      </c>
      <c r="E132" s="2">
        <f>$E$4</f>
        <v/>
      </c>
      <c r="F132" s="2">
        <f>IFERROR(C132-E132,"")</f>
        <v/>
      </c>
      <c r="G132" s="5">
        <f>IFERROR(IF(ABS(F132)&lt;=0.5,"일치","차이"),"")</f>
        <v/>
      </c>
      <c r="H132" s="5" t="inlineStr">
        <is>
          <t>ceo_definitions.md [1번] 비중</t>
        </is>
      </c>
    </row>
    <row r="133">
      <c r="A133" s="5" t="inlineStr">
        <is>
          <t>화면 정합</t>
        </is>
      </c>
      <c r="B133" s="3" t="inlineStr">
        <is>
          <t>투자실행액 비중(%)</t>
        </is>
      </c>
      <c r="C133" s="25">
        <f>ROUND($E$2/($E$2+$E$3)*100,1)</f>
        <v/>
      </c>
      <c r="D133" s="5" t="inlineStr">
        <is>
          <t>투자실행액 / (투자실행액 + 순현금)</t>
        </is>
      </c>
      <c r="E133" s="24">
        <f>$E$5</f>
        <v/>
      </c>
      <c r="F133" s="24">
        <f>IFERROR(C133-E133,"")</f>
        <v/>
      </c>
      <c r="G133" s="5">
        <f>IFERROR(IF(ABS(F133)&lt;=0.005,"일치","차이"),"")</f>
        <v/>
      </c>
      <c r="H133" s="5" t="inlineStr">
        <is>
          <t>ceo_definitions.md [1번] 투자 실행액의 비중</t>
        </is>
      </c>
    </row>
    <row r="134">
      <c r="A134" s="5" t="inlineStr">
        <is>
          <t>화면 정합</t>
        </is>
      </c>
      <c r="B134" s="3" t="inlineStr">
        <is>
          <t>순현금 비중(%)</t>
        </is>
      </c>
      <c r="C134" s="25">
        <f>ROUND($E$3/($E$2+$E$3)*100,1)</f>
        <v/>
      </c>
      <c r="D134" s="5" t="inlineStr">
        <is>
          <t>순현금 / (투자실행액 + 순현금)</t>
        </is>
      </c>
      <c r="E134" s="24">
        <f>$E$6</f>
        <v/>
      </c>
      <c r="F134" s="24">
        <f>IFERROR(C134-E134,"")</f>
        <v/>
      </c>
      <c r="G134" s="5">
        <f>IFERROR(IF(ABS(F134)&lt;=0.005,"일치","차이"),"")</f>
        <v/>
      </c>
      <c r="H134" s="5" t="inlineStr">
        <is>
          <t>ceo_definitions.md [1번] 순현금의 비중</t>
        </is>
      </c>
    </row>
    <row r="135">
      <c r="A135" s="5" t="inlineStr">
        <is>
          <t>화면 정합</t>
        </is>
      </c>
      <c r="B135" s="3" t="inlineStr">
        <is>
          <t>W금융일수 표기</t>
        </is>
      </c>
      <c r="C135" s="6">
        <f>ROUND($E$7,2)</f>
        <v/>
      </c>
      <c r="D135" s="5" t="inlineStr">
        <is>
          <t>ROUND(W raw, 2)</t>
        </is>
      </c>
      <c r="E135" s="7">
        <f>$E$8</f>
        <v/>
      </c>
      <c r="F135" s="7">
        <f>IFERROR(C135-E135,"")</f>
        <v/>
      </c>
      <c r="G135" s="5">
        <f>IFERROR(IF(ABS(F135)&lt;=0.0005,"일치","차이"),"")</f>
        <v/>
      </c>
      <c r="H135" s="5" t="inlineStr">
        <is>
          <t>9-C 표기 규칙</t>
        </is>
      </c>
    </row>
    <row r="136">
      <c r="A136" s="5" t="inlineStr">
        <is>
          <t>화면 정합</t>
        </is>
      </c>
      <c r="B136" s="3" t="inlineStr">
        <is>
          <t>Ty수익율(%)</t>
        </is>
      </c>
      <c r="C136" s="6">
        <f>ROUND($E$12*연일수/$E$8,2)</f>
        <v/>
      </c>
      <c r="D136" s="5" t="inlineStr">
        <is>
          <t>할인율 x 365 / 표기 W</t>
        </is>
      </c>
      <c r="E136" s="7">
        <f>$E$9</f>
        <v/>
      </c>
      <c r="F136" s="7">
        <f>IFERROR(C136-E136,"")</f>
        <v/>
      </c>
      <c r="G136" s="5">
        <f>IFERROR(IF(ABS(F136)&lt;=0.005,"일치","차이"),"")</f>
        <v/>
      </c>
      <c r="H136" s="5" t="inlineStr">
        <is>
          <t>ceo_definitions.md [1번] ty수익율</t>
        </is>
      </c>
    </row>
    <row r="137">
      <c r="A137" s="5" t="inlineStr">
        <is>
          <t>화면 정합</t>
        </is>
      </c>
      <c r="B137" s="3" t="inlineStr">
        <is>
          <t>S입금부족율 표기(%)</t>
        </is>
      </c>
      <c r="C137" s="6">
        <f>ROUND($E$10,2)</f>
        <v/>
      </c>
      <c r="D137" s="5" t="inlineStr">
        <is>
          <t>ROUND(S raw, 2)</t>
        </is>
      </c>
      <c r="E137" s="7">
        <f>$E$11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9-C 표기 규칙</t>
        </is>
      </c>
    </row>
    <row r="138">
      <c r="A138" s="5" t="inlineStr">
        <is>
          <t>화면 정합</t>
        </is>
      </c>
      <c r="B138" s="3" t="inlineStr">
        <is>
          <t>주간 PM = 수수료 - 차감</t>
        </is>
      </c>
      <c r="C138" s="8">
        <f>$E$25-$E$26</f>
        <v/>
      </c>
      <c r="D138" s="5" t="inlineStr">
        <is>
          <t>Σ 채권매입수수료 - Σ max(0, 미지급-과지급)</t>
        </is>
      </c>
      <c r="E138" s="2">
        <f>$E$23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ceo_definitions.md [2번] Mi</t>
        </is>
      </c>
    </row>
    <row r="139">
      <c r="A139" s="5" t="inlineStr">
        <is>
          <t>화면 정합</t>
        </is>
      </c>
      <c r="B139" s="3" t="inlineStr">
        <is>
          <t>주간 PEC</t>
        </is>
      </c>
      <c r="C139" s="8">
        <f>$E$3*$E$21</f>
        <v/>
      </c>
      <c r="D139" s="5" t="inlineStr">
        <is>
          <t>순현금 x 조회 일수</t>
        </is>
      </c>
      <c r="E139" s="2">
        <f>$E$29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ceo_definitions.md [2번] PEC</t>
        </is>
      </c>
    </row>
    <row r="140">
      <c r="A140" s="5" t="inlineStr">
        <is>
          <t>화면 정합</t>
        </is>
      </c>
      <c r="B140" s="3" t="inlineStr">
        <is>
          <t>주간 PwD 표기</t>
        </is>
      </c>
      <c r="C140" s="6">
        <f>ROUND($E$27,2)</f>
        <v/>
      </c>
      <c r="D140" s="5" t="inlineStr">
        <is>
          <t>ROUND(PwD raw, 2)</t>
        </is>
      </c>
      <c r="E140" s="7">
        <f>$E$28</f>
        <v/>
      </c>
      <c r="F140" s="7">
        <f>IFERROR(C140-E140,"")</f>
        <v/>
      </c>
      <c r="G140" s="5">
        <f>IFERROR(IF(ABS(F140)&lt;=0.0005,"일치","차이"),"")</f>
        <v/>
      </c>
      <c r="H140" s="5" t="inlineStr">
        <is>
          <t>9-C 표기 규칙</t>
        </is>
      </c>
    </row>
    <row r="141">
      <c r="A141" s="5" t="inlineStr">
        <is>
          <t>화면 정합</t>
        </is>
      </c>
      <c r="B141" s="3" t="inlineStr">
        <is>
          <t>주간 ④(%)</t>
        </is>
      </c>
      <c r="C141" s="6">
        <f>ROUND(ROUND(ROUND($E$23/$E$22*100,6)*연일수/$E$27,6),2)</f>
        <v/>
      </c>
      <c r="D141" s="5" t="inlineStr">
        <is>
          <t>ROUND(PMR(%) x 365 / PwD, 6) 뒤 표기 2자리</t>
        </is>
      </c>
      <c r="E141" s="7">
        <f>$E$31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[2번] 이미지의 ④</t>
        </is>
      </c>
    </row>
    <row r="142">
      <c r="A142" s="5" t="inlineStr">
        <is>
          <t>화면 정합</t>
        </is>
      </c>
      <c r="B142" s="3" t="inlineStr">
        <is>
          <t>전 구간 PM = 수수료 - 차감</t>
        </is>
      </c>
      <c r="C142" s="8">
        <f>$E$35-$E$36</f>
        <v/>
      </c>
      <c r="D142" s="5" t="inlineStr">
        <is>
          <t>Σ 채권매입수수료 - Σ 차감</t>
        </is>
      </c>
      <c r="E142" s="2">
        <f>$E$34</f>
        <v/>
      </c>
      <c r="F142" s="2">
        <f>IFERROR(C142-E142,"")</f>
        <v/>
      </c>
      <c r="G142" s="5">
        <f>IFERROR(IF(ABS(F142)&lt;=0.5,"일치","차이"),"")</f>
        <v/>
      </c>
      <c r="H142" s="5" t="inlineStr">
        <is>
          <t>ceo_definitions.md [2번] Mi</t>
        </is>
      </c>
    </row>
    <row r="143">
      <c r="A143" s="5" t="inlineStr">
        <is>
          <t>화면 정합</t>
        </is>
      </c>
      <c r="B143" s="3" t="inlineStr">
        <is>
          <t>전 구간 차감/수수료(%)</t>
        </is>
      </c>
      <c r="C143" s="6">
        <f>ROUND($E$36/$E$35*100,2)</f>
        <v/>
      </c>
      <c r="D143" s="5" t="inlineStr">
        <is>
          <t>Σ 차감 / Σ 수수료</t>
        </is>
      </c>
      <c r="E143" s="7">
        <f>$E$37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[2번] Mi</t>
        </is>
      </c>
    </row>
    <row r="144">
      <c r="A144" s="5" t="inlineStr">
        <is>
          <t>화면 정합</t>
        </is>
      </c>
      <c r="B144" s="3" t="inlineStr">
        <is>
          <t>전 구간 PEC</t>
        </is>
      </c>
      <c r="C144" s="8">
        <f>$E$3*$E$14</f>
        <v/>
      </c>
      <c r="D144" s="5" t="inlineStr">
        <is>
          <t>순현금 x 원장 일수</t>
        </is>
      </c>
      <c r="E144" s="2">
        <f>$E$40</f>
        <v/>
      </c>
      <c r="F144" s="2">
        <f>IFERROR(C144-E144,"")</f>
        <v/>
      </c>
      <c r="G144" s="5">
        <f>IFERROR(IF(ABS(F144)&lt;=0.5,"일치","차이"),"")</f>
        <v/>
      </c>
      <c r="H144" s="5" t="inlineStr">
        <is>
          <t>ceo_definitions.md [2번] PEC</t>
        </is>
      </c>
    </row>
    <row r="145">
      <c r="A145" s="5" t="inlineStr">
        <is>
          <t>화면 정합</t>
        </is>
      </c>
      <c r="B145" s="3" t="inlineStr">
        <is>
          <t>전 구간 PwD 표기</t>
        </is>
      </c>
      <c r="C145" s="6">
        <f>ROUND($E$38,2)</f>
        <v/>
      </c>
      <c r="D145" s="5" t="inlineStr">
        <is>
          <t>ROUND(PwD raw, 2)</t>
        </is>
      </c>
      <c r="E145" s="7">
        <f>$E$39</f>
        <v/>
      </c>
      <c r="F145" s="7">
        <f>IFERROR(C145-E145,"")</f>
        <v/>
      </c>
      <c r="G145" s="5">
        <f>IFERROR(IF(ABS(F145)&lt;=0.0005,"일치","차이"),"")</f>
        <v/>
      </c>
      <c r="H145" s="5" t="inlineStr">
        <is>
          <t>9-C 표기 규칙</t>
        </is>
      </c>
    </row>
    <row r="146">
      <c r="A146" s="5" t="inlineStr">
        <is>
          <t>화면 정합</t>
        </is>
      </c>
      <c r="B146" s="3" t="inlineStr">
        <is>
          <t>전 구간 ④(%)</t>
        </is>
      </c>
      <c r="C146" s="6">
        <f>ROUND(ROUND($E$34/$E$33*100*연일수/$E$38,6),2)</f>
        <v/>
      </c>
      <c r="D146" s="5" t="inlineStr">
        <is>
          <t>ROUND(PMR x 365 / PwD, 6) 뒤 표기 2자리</t>
        </is>
      </c>
      <c r="E146" s="7">
        <f>$E$42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[2번] 이미지의 ④</t>
        </is>
      </c>
    </row>
    <row r="147">
      <c r="A147" s="5" t="inlineStr">
        <is>
          <t>화면 정합</t>
        </is>
      </c>
      <c r="B147" s="3" t="inlineStr">
        <is>
          <t>하루 평균 투자실행금</t>
        </is>
      </c>
      <c r="C147" s="8">
        <f>ROUND($E$33/$E$14,0)</f>
        <v/>
      </c>
      <c r="D147" s="5" t="inlineStr">
        <is>
          <t>전 구간 PA / 원장 일수</t>
        </is>
      </c>
      <c r="E147" s="2">
        <f>$E$13</f>
        <v/>
      </c>
      <c r="F147" s="2">
        <f>IFERROR(C147-E147,"")</f>
        <v/>
      </c>
      <c r="G147" s="5">
        <f>IFERROR(IF(ABS(F147)&lt;=0.5,"일치","차이"),"")</f>
        <v/>
      </c>
      <c r="H147" s="5" t="inlineStr">
        <is>
          <t>roster16_model.py DAY_AVG</t>
        </is>
      </c>
    </row>
    <row r="148">
      <c r="A148" s="5" t="inlineStr">
        <is>
          <t>화면 정합</t>
        </is>
      </c>
      <c r="B148" s="3" t="inlineStr">
        <is>
          <t>가맹점 투자실행액 합</t>
        </is>
      </c>
      <c r="C148" s="8">
        <f>$E$44+$E$50+$E$56+$E$62+$E$68+$E$74+$E$80+$E$86</f>
        <v/>
      </c>
      <c r="D148" s="5" t="inlineStr">
        <is>
          <t>Σ 가맹점별 투자실행액</t>
        </is>
      </c>
      <c r="E148" s="2">
        <f>$E$2</f>
        <v/>
      </c>
      <c r="F148" s="2">
        <f>IFERROR(C148-E148,"")</f>
        <v/>
      </c>
      <c r="G148" s="5">
        <f>IFERROR(IF(ABS(F148)&lt;=0.5,"일치","차이"),"")</f>
        <v/>
      </c>
      <c r="H148" s="5" t="inlineStr">
        <is>
          <t>roster16_model.py EXEC</t>
        </is>
      </c>
    </row>
    <row r="149">
      <c r="A149" s="5" t="inlineStr">
        <is>
          <t>화면 정합</t>
        </is>
      </c>
      <c r="B149" s="3" t="inlineStr">
        <is>
          <t>가맹점 비중 합(%)</t>
        </is>
      </c>
      <c r="C149" s="25">
        <f>$E$49+$E$55+$E$61+$E$67+$E$73+$E$79+$E$85+$E$91</f>
        <v/>
      </c>
      <c r="D149" s="5" t="inlineStr">
        <is>
          <t>Σ 가맹점별 비중 (최대잉여법)</t>
        </is>
      </c>
      <c r="E149" s="24" t="n">
        <v>100</v>
      </c>
      <c r="F149" s="24">
        <f>IFERROR(C149-E149,"")</f>
        <v/>
      </c>
      <c r="G149" s="5">
        <f>IFERROR(IF(ABS(F149)&lt;=0.005,"일치","차이"),"")</f>
        <v/>
      </c>
      <c r="H149" s="5" t="inlineStr">
        <is>
          <t>roster16_model.py ratios</t>
        </is>
      </c>
    </row>
    <row r="150">
      <c r="A150" s="5" t="inlineStr">
        <is>
          <t>화면 정합</t>
        </is>
      </c>
      <c r="B150" s="3" t="inlineStr">
        <is>
          <t>김성호떡볶이 본점 — W 표기 = ROUND(W raw, 2)</t>
        </is>
      </c>
      <c r="C150" s="6">
        <f>ROUND($E$46,2)</f>
        <v/>
      </c>
      <c r="D150" s="5" t="inlineStr">
        <is>
          <t>ROUND(W raw, 2)</t>
        </is>
      </c>
      <c r="E150" s="7">
        <f>$E$45</f>
        <v/>
      </c>
      <c r="F150" s="7">
        <f>IFERROR(C150-E150,"")</f>
        <v/>
      </c>
      <c r="G150" s="5">
        <f>IFERROR(IF(ABS(F150)&lt;=0.0005,"일치","차이"),"")</f>
        <v/>
      </c>
      <c r="H150" s="5" t="inlineStr">
        <is>
          <t>9-C 표기 규칙</t>
        </is>
      </c>
    </row>
    <row r="151">
      <c r="A151" s="5" t="inlineStr">
        <is>
          <t>화면 정합</t>
        </is>
      </c>
      <c r="B151" s="3" t="inlineStr">
        <is>
          <t>김성호떡볶이 본점 — Ty = 할인율 x 365 / W raw</t>
        </is>
      </c>
      <c r="C151" s="6">
        <f>ROUND($E$12*연일수/$E$46,2)</f>
        <v/>
      </c>
      <c r="D151" s="5" t="inlineStr">
        <is>
          <t>할인율 x 365 / W raw(6자리)</t>
        </is>
      </c>
      <c r="E151" s="7">
        <f>$E$47</f>
        <v/>
      </c>
      <c r="F151" s="7">
        <f>IFERROR(C151-E151,"")</f>
        <v/>
      </c>
      <c r="G151" s="5">
        <f>IFERROR(IF(ABS(F151)&lt;=0.005,"일치","차이"),"")</f>
        <v/>
      </c>
      <c r="H151" s="5" t="inlineStr">
        <is>
          <t>ceo_definitions.md [1번] ty수익율 · dm_0901/rounding_rule_0901.md 규칙 1</t>
        </is>
      </c>
    </row>
    <row r="152">
      <c r="A152" s="5" t="inlineStr">
        <is>
          <t>화면 정합</t>
        </is>
      </c>
      <c r="B152" s="3" t="inlineStr">
        <is>
          <t>초록치킨 서초점 — W 표기 = ROUND(W raw, 2)</t>
        </is>
      </c>
      <c r="C152" s="6">
        <f>ROUND($E$52,2)</f>
        <v/>
      </c>
      <c r="D152" s="5" t="inlineStr">
        <is>
          <t>ROUND(W raw, 2)</t>
        </is>
      </c>
      <c r="E152" s="7">
        <f>$E$51</f>
        <v/>
      </c>
      <c r="F152" s="7">
        <f>IFERROR(C152-E152,"")</f>
        <v/>
      </c>
      <c r="G152" s="5">
        <f>IFERROR(IF(ABS(F152)&lt;=0.0005,"일치","차이"),"")</f>
        <v/>
      </c>
      <c r="H152" s="5" t="inlineStr">
        <is>
          <t>9-C 표기 규칙</t>
        </is>
      </c>
    </row>
    <row r="153">
      <c r="A153" s="5" t="inlineStr">
        <is>
          <t>화면 정합</t>
        </is>
      </c>
      <c r="B153" s="3" t="inlineStr">
        <is>
          <t>초록치킨 서초점 — Ty = 할인율 x 365 / W raw</t>
        </is>
      </c>
      <c r="C153" s="6">
        <f>ROUND($E$12*연일수/$E$52,2)</f>
        <v/>
      </c>
      <c r="D153" s="5" t="inlineStr">
        <is>
          <t>할인율 x 365 / W raw(6자리)</t>
        </is>
      </c>
      <c r="E153" s="7">
        <f>$E$53</f>
        <v/>
      </c>
      <c r="F153" s="7">
        <f>IFERROR(C153-E153,"")</f>
        <v/>
      </c>
      <c r="G153" s="5">
        <f>IFERROR(IF(ABS(F153)&lt;=0.005,"일치","차이"),"")</f>
        <v/>
      </c>
      <c r="H153" s="5" t="inlineStr">
        <is>
          <t>ceo_definitions.md [1번] ty수익율 · dm_0901/rounding_rule_0901.md 규칙 1</t>
        </is>
      </c>
    </row>
    <row r="154">
      <c r="A154" s="5" t="inlineStr">
        <is>
          <t>화면 정합</t>
        </is>
      </c>
      <c r="B154" s="3" t="inlineStr">
        <is>
          <t>김밥나라 — W 표기 = ROUND(W raw, 2)</t>
        </is>
      </c>
      <c r="C154" s="6">
        <f>ROUND($E$58,2)</f>
        <v/>
      </c>
      <c r="D154" s="5" t="inlineStr">
        <is>
          <t>ROUND(W raw, 2)</t>
        </is>
      </c>
      <c r="E154" s="7">
        <f>$E$57</f>
        <v/>
      </c>
      <c r="F154" s="7">
        <f>IFERROR(C154-E154,"")</f>
        <v/>
      </c>
      <c r="G154" s="5">
        <f>IFERROR(IF(ABS(F154)&lt;=0.0005,"일치","차이"),"")</f>
        <v/>
      </c>
      <c r="H154" s="5" t="inlineStr">
        <is>
          <t>9-C 표기 규칙</t>
        </is>
      </c>
    </row>
    <row r="155">
      <c r="A155" s="5" t="inlineStr">
        <is>
          <t>화면 정합</t>
        </is>
      </c>
      <c r="B155" s="3" t="inlineStr">
        <is>
          <t>김밥나라 — Ty = 할인율 x 365 / W raw</t>
        </is>
      </c>
      <c r="C155" s="6">
        <f>ROUND($E$12*연일수/$E$58,2)</f>
        <v/>
      </c>
      <c r="D155" s="5" t="inlineStr">
        <is>
          <t>할인율 x 365 / W raw(6자리)</t>
        </is>
      </c>
      <c r="E155" s="7">
        <f>$E$59</f>
        <v/>
      </c>
      <c r="F155" s="7">
        <f>IFERROR(C155-E155,"")</f>
        <v/>
      </c>
      <c r="G155" s="5">
        <f>IFERROR(IF(ABS(F155)&lt;=0.005,"일치","차이"),"")</f>
        <v/>
      </c>
      <c r="H155" s="5" t="inlineStr">
        <is>
          <t>ceo_definitions.md [1번] ty수익율 · dm_0901/rounding_rule_0901.md 규칙 1</t>
        </is>
      </c>
    </row>
    <row r="156">
      <c r="A156" s="5" t="inlineStr">
        <is>
          <t>화면 정합</t>
        </is>
      </c>
      <c r="B156" s="3" t="inlineStr">
        <is>
          <t>골목냉면 — W 표기 = ROUND(W raw, 2)</t>
        </is>
      </c>
      <c r="C156" s="6">
        <f>ROUND($E$64,2)</f>
        <v/>
      </c>
      <c r="D156" s="5" t="inlineStr">
        <is>
          <t>ROUND(W raw, 2)</t>
        </is>
      </c>
      <c r="E156" s="7">
        <f>$E$63</f>
        <v/>
      </c>
      <c r="F156" s="7">
        <f>IFERROR(C156-E156,"")</f>
        <v/>
      </c>
      <c r="G156" s="5">
        <f>IFERROR(IF(ABS(F156)&lt;=0.0005,"일치","차이"),"")</f>
        <v/>
      </c>
      <c r="H156" s="5" t="inlineStr">
        <is>
          <t>9-C 표기 규칙</t>
        </is>
      </c>
    </row>
    <row r="157">
      <c r="A157" s="5" t="inlineStr">
        <is>
          <t>화면 정합</t>
        </is>
      </c>
      <c r="B157" s="3" t="inlineStr">
        <is>
          <t>골목냉면 — Ty = 할인율 x 365 / W raw</t>
        </is>
      </c>
      <c r="C157" s="6">
        <f>ROUND($E$12*연일수/$E$64,2)</f>
        <v/>
      </c>
      <c r="D157" s="5" t="inlineStr">
        <is>
          <t>할인율 x 365 / W raw(6자리)</t>
        </is>
      </c>
      <c r="E157" s="7">
        <f>$E$65</f>
        <v/>
      </c>
      <c r="F157" s="7">
        <f>IFERROR(C157-E157,"")</f>
        <v/>
      </c>
      <c r="G157" s="5">
        <f>IFERROR(IF(ABS(F157)&lt;=0.005,"일치","차이"),"")</f>
        <v/>
      </c>
      <c r="H157" s="5" t="inlineStr">
        <is>
          <t>ceo_definitions.md [1번] ty수익율 · dm_0901/rounding_rule_0901.md 규칙 1</t>
        </is>
      </c>
    </row>
    <row r="158">
      <c r="A158" s="5" t="inlineStr">
        <is>
          <t>화면 정합</t>
        </is>
      </c>
      <c r="B158" s="3" t="inlineStr">
        <is>
          <t>달빛곱창 홍대점 — W 표기 = ROUND(W raw, 2)</t>
        </is>
      </c>
      <c r="C158" s="6">
        <f>ROUND($E$70,2)</f>
        <v/>
      </c>
      <c r="D158" s="5" t="inlineStr">
        <is>
          <t>ROUND(W raw, 2)</t>
        </is>
      </c>
      <c r="E158" s="7">
        <f>$E$69</f>
        <v/>
      </c>
      <c r="F158" s="7">
        <f>IFERROR(C158-E158,"")</f>
        <v/>
      </c>
      <c r="G158" s="5">
        <f>IFERROR(IF(ABS(F158)&lt;=0.0005,"일치","차이"),"")</f>
        <v/>
      </c>
      <c r="H158" s="5" t="inlineStr">
        <is>
          <t>9-C 표기 규칙</t>
        </is>
      </c>
    </row>
    <row r="159">
      <c r="A159" s="5" t="inlineStr">
        <is>
          <t>화면 정합</t>
        </is>
      </c>
      <c r="B159" s="3" t="inlineStr">
        <is>
          <t>달빛곱창 홍대점 — Ty = 할인율 x 365 / W raw</t>
        </is>
      </c>
      <c r="C159" s="6">
        <f>ROUND($E$12*연일수/$E$70,2)</f>
        <v/>
      </c>
      <c r="D159" s="5" t="inlineStr">
        <is>
          <t>할인율 x 365 / W raw(6자리)</t>
        </is>
      </c>
      <c r="E159" s="7">
        <f>$E$71</f>
        <v/>
      </c>
      <c r="F159" s="7">
        <f>IFERROR(C159-E159,"")</f>
        <v/>
      </c>
      <c r="G159" s="5">
        <f>IFERROR(IF(ABS(F159)&lt;=0.005,"일치","차이"),"")</f>
        <v/>
      </c>
      <c r="H159" s="5" t="inlineStr">
        <is>
          <t>ceo_definitions.md [1번] ty수익율 · dm_0901/rounding_rule_0901.md 규칙 1</t>
        </is>
      </c>
    </row>
    <row r="160">
      <c r="A160" s="5" t="inlineStr">
        <is>
          <t>화면 정합</t>
        </is>
      </c>
      <c r="B160" s="3" t="inlineStr">
        <is>
          <t>청춘포차 신촌점 — W 표기 = ROUND(W raw, 2)</t>
        </is>
      </c>
      <c r="C160" s="6">
        <f>ROUND($E$76,2)</f>
        <v/>
      </c>
      <c r="D160" s="5" t="inlineStr">
        <is>
          <t>ROUND(W raw, 2)</t>
        </is>
      </c>
      <c r="E160" s="7">
        <f>$E$75</f>
        <v/>
      </c>
      <c r="F160" s="7">
        <f>IFERROR(C160-E160,"")</f>
        <v/>
      </c>
      <c r="G160" s="5">
        <f>IFERROR(IF(ABS(F160)&lt;=0.0005,"일치","차이"),"")</f>
        <v/>
      </c>
      <c r="H160" s="5" t="inlineStr">
        <is>
          <t>9-C 표기 규칙</t>
        </is>
      </c>
    </row>
    <row r="161">
      <c r="A161" s="5" t="inlineStr">
        <is>
          <t>화면 정합</t>
        </is>
      </c>
      <c r="B161" s="3" t="inlineStr">
        <is>
          <t>청춘포차 신촌점 — Ty = 할인율 x 365 / W raw</t>
        </is>
      </c>
      <c r="C161" s="6">
        <f>ROUND($E$12*연일수/$E$76,2)</f>
        <v/>
      </c>
      <c r="D161" s="5" t="inlineStr">
        <is>
          <t>할인율 x 365 / W raw(6자리)</t>
        </is>
      </c>
      <c r="E161" s="7">
        <f>$E$77</f>
        <v/>
      </c>
      <c r="F161" s="7">
        <f>IFERROR(C161-E161,"")</f>
        <v/>
      </c>
      <c r="G161" s="5">
        <f>IFERROR(IF(ABS(F161)&lt;=0.005,"일치","차이"),"")</f>
        <v/>
      </c>
      <c r="H161" s="5" t="inlineStr">
        <is>
          <t>ceo_definitions.md [1번] ty수익율 · dm_0901/rounding_rule_0901.md 규칙 1</t>
        </is>
      </c>
    </row>
    <row r="162">
      <c r="A162" s="5" t="inlineStr">
        <is>
          <t>화면 정합</t>
        </is>
      </c>
      <c r="B162" s="3" t="inlineStr">
        <is>
          <t>바다마루 횟집 — W 표기 = ROUND(W raw, 2)</t>
        </is>
      </c>
      <c r="C162" s="6">
        <f>ROUND($E$82,2)</f>
        <v/>
      </c>
      <c r="D162" s="5" t="inlineStr">
        <is>
          <t>ROUND(W raw, 2)</t>
        </is>
      </c>
      <c r="E162" s="7">
        <f>$E$81</f>
        <v/>
      </c>
      <c r="F162" s="7">
        <f>IFERROR(C162-E162,"")</f>
        <v/>
      </c>
      <c r="G162" s="5">
        <f>IFERROR(IF(ABS(F162)&lt;=0.0005,"일치","차이"),"")</f>
        <v/>
      </c>
      <c r="H162" s="5" t="inlineStr">
        <is>
          <t>9-C 표기 규칙</t>
        </is>
      </c>
    </row>
    <row r="163">
      <c r="A163" s="5" t="inlineStr">
        <is>
          <t>화면 정합</t>
        </is>
      </c>
      <c r="B163" s="3" t="inlineStr">
        <is>
          <t>바다마루 횟집 — Ty = 할인율 x 365 / W raw</t>
        </is>
      </c>
      <c r="C163" s="6">
        <f>ROUND($E$12*연일수/$E$82,2)</f>
        <v/>
      </c>
      <c r="D163" s="5" t="inlineStr">
        <is>
          <t>할인율 x 365 / W raw(6자리)</t>
        </is>
      </c>
      <c r="E163" s="7">
        <f>$E$83</f>
        <v/>
      </c>
      <c r="F163" s="7">
        <f>IFERROR(C163-E163,"")</f>
        <v/>
      </c>
      <c r="G163" s="5">
        <f>IFERROR(IF(ABS(F163)&lt;=0.005,"일치","차이"),"")</f>
        <v/>
      </c>
      <c r="H163" s="5" t="inlineStr">
        <is>
          <t>ceo_definitions.md [1번] ty수익율 · dm_0901/rounding_rule_0901.md 규칙 1</t>
        </is>
      </c>
    </row>
    <row r="164">
      <c r="A164" s="5" t="inlineStr">
        <is>
          <t>화면 정합</t>
        </is>
      </c>
      <c r="B164" s="3" t="inlineStr">
        <is>
          <t>한강커피 잠원점 — W 표기 = ROUND(W raw, 2)</t>
        </is>
      </c>
      <c r="C164" s="6">
        <f>ROUND($E$88,2)</f>
        <v/>
      </c>
      <c r="D164" s="5" t="inlineStr">
        <is>
          <t>ROUND(W raw, 2)</t>
        </is>
      </c>
      <c r="E164" s="7">
        <f>$E$87</f>
        <v/>
      </c>
      <c r="F164" s="7">
        <f>IFERROR(C164-E164,"")</f>
        <v/>
      </c>
      <c r="G164" s="5">
        <f>IFERROR(IF(ABS(F164)&lt;=0.0005,"일치","차이"),"")</f>
        <v/>
      </c>
      <c r="H164" s="5" t="inlineStr">
        <is>
          <t>9-C 표기 규칙</t>
        </is>
      </c>
    </row>
    <row r="165">
      <c r="A165" s="5" t="inlineStr">
        <is>
          <t>화면 정합</t>
        </is>
      </c>
      <c r="B165" s="3" t="inlineStr">
        <is>
          <t>한강커피 잠원점 — Ty = 할인율 x 365 / W raw</t>
        </is>
      </c>
      <c r="C165" s="6">
        <f>ROUND($E$12*연일수/$E$88,2)</f>
        <v/>
      </c>
      <c r="D165" s="5" t="inlineStr">
        <is>
          <t>할인율 x 365 / W raw(6자리)</t>
        </is>
      </c>
      <c r="E165" s="7">
        <f>$E$89</f>
        <v/>
      </c>
      <c r="F165" s="7">
        <f>IFERROR(C165-E165,"")</f>
        <v/>
      </c>
      <c r="G165" s="5">
        <f>IFERROR(IF(ABS(F165)&lt;=0.005,"일치","차이"),"")</f>
        <v/>
      </c>
      <c r="H165" s="5" t="inlineStr">
        <is>
          <t>ceo_definitions.md [1번] ty수익율 · dm_0901/rounding_rule_0901.md 규칙 1</t>
        </is>
      </c>
    </row>
    <row r="167" ht="30" customHeight="1">
      <c r="A167" s="11" t="inlineStr">
        <is>
          <t>구분</t>
        </is>
      </c>
      <c r="B167" s="11" t="inlineStr">
        <is>
          <t>항목</t>
        </is>
      </c>
      <c r="C167" s="11" t="inlineStr">
        <is>
          <t>엑셀 값</t>
        </is>
      </c>
      <c r="D167" s="11" t="inlineStr">
        <is>
          <t>산출 경로</t>
        </is>
      </c>
      <c r="E167" s="11" t="inlineStr">
        <is>
          <t>화면 표시값</t>
        </is>
      </c>
      <c r="F167" s="11" t="inlineStr">
        <is>
          <t>차이</t>
        </is>
      </c>
      <c r="G167" s="11" t="inlineStr">
        <is>
          <t>잔차율(%)</t>
        </is>
      </c>
      <c r="H167" s="11" t="inlineStr">
        <is>
          <t>사유</t>
        </is>
      </c>
    </row>
    <row r="168">
      <c r="A168" s="5" t="inlineStr">
        <is>
          <t>모델 잔차</t>
        </is>
      </c>
      <c r="B168" s="3" t="inlineStr">
        <is>
          <t>하루 평균 투자실행금</t>
        </is>
      </c>
      <c r="C168" s="8">
        <f>가맹점!B16*(1-할인율)</f>
        <v/>
      </c>
      <c r="D168" s="5" t="inlineStr">
        <is>
          <t>가맹점 B16 x (1-r)</t>
        </is>
      </c>
      <c r="E168" s="2">
        <f>$E$13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조회기간 PA</t>
        </is>
      </c>
      <c r="C169" s="8">
        <f>기간집계!B5</f>
        <v/>
      </c>
      <c r="D169" s="5" t="inlineStr">
        <is>
          <t>기간집계 B5</t>
        </is>
      </c>
      <c r="E169" s="2">
        <f>$E$22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조회기간 PwD</t>
        </is>
      </c>
      <c r="C170" s="9">
        <f>기간집계!B12</f>
        <v/>
      </c>
      <c r="D170" s="5" t="inlineStr">
        <is>
          <t>기간집계 B12</t>
        </is>
      </c>
      <c r="E170" s="10">
        <f>$E$27</f>
        <v/>
      </c>
      <c r="F170" s="10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조회기간 PM (차감 반영)</t>
        </is>
      </c>
      <c r="C171" s="8">
        <f>기간집계!B6</f>
        <v/>
      </c>
      <c r="D171" s="5" t="inlineStr">
        <is>
          <t>기간집계 B6</t>
        </is>
      </c>
      <c r="E171" s="2">
        <f>$E$23</f>
        <v/>
      </c>
      <c r="F171" s="2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2">
      <c r="A172" s="5" t="inlineStr">
        <is>
          <t>모델 잔차</t>
        </is>
      </c>
      <c r="B172" s="3" t="inlineStr">
        <is>
          <t>조회기간 ④(%)</t>
        </is>
      </c>
      <c r="C172" s="6">
        <f>기간집계!B13</f>
        <v/>
      </c>
      <c r="D172" s="5" t="inlineStr">
        <is>
          <t>기간집계 B13</t>
        </is>
      </c>
      <c r="E172" s="7">
        <f>$E$31</f>
        <v/>
      </c>
      <c r="F172" s="7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3">
      <c r="A173" s="5" t="inlineStr">
        <is>
          <t>모델 잔차</t>
        </is>
      </c>
      <c r="B173" s="3" t="inlineStr">
        <is>
          <t>조회기간 ⑤(%)</t>
        </is>
      </c>
      <c r="C173" s="6">
        <f>기간집계!B17</f>
        <v/>
      </c>
      <c r="D173" s="5" t="inlineStr">
        <is>
          <t>기간집계 B17</t>
        </is>
      </c>
      <c r="E173" s="7">
        <f>$E$32</f>
        <v/>
      </c>
      <c r="F173" s="7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4">
      <c r="A174" s="5" t="inlineStr">
        <is>
          <t>모델 잔차</t>
        </is>
      </c>
      <c r="B174" s="3" t="inlineStr">
        <is>
          <t>조회기간 PEC</t>
        </is>
      </c>
      <c r="C174" s="8">
        <f>기간집계!B15</f>
        <v/>
      </c>
      <c r="D174" s="5" t="inlineStr">
        <is>
          <t>기간집계 B15</t>
        </is>
      </c>
      <c r="E174" s="2">
        <f>$E$29</f>
        <v/>
      </c>
      <c r="F174" s="2">
        <f>IFERROR(C174-E174,"")</f>
        <v/>
      </c>
      <c r="G174" s="7">
        <f>IFERROR(IF(E174=0,"",F174/E174*100),"")</f>
        <v/>
      </c>
      <c r="H174" s="4" t="inlineStr">
        <is>
          <t>조회 일수가 같으면 차가 0 이다.</t>
        </is>
      </c>
    </row>
    <row r="175">
      <c r="A175" s="5" t="inlineStr">
        <is>
          <t>모델 잔차</t>
        </is>
      </c>
      <c r="B175" s="3" t="inlineStr">
        <is>
          <t>조회기간 Σ(Ai x Di)</t>
        </is>
      </c>
      <c r="C175" s="8">
        <f>기간집계!B9</f>
        <v/>
      </c>
      <c r="D175" s="5" t="inlineStr">
        <is>
          <t>기간집계 B9</t>
        </is>
      </c>
      <c r="E175" s="2">
        <f>$E$30</f>
        <v/>
      </c>
      <c r="F175" s="2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주간 상환액 - (PA + PM)</t>
        </is>
      </c>
      <c r="C176" s="8">
        <f>$E$24-$E$22-$E$23</f>
        <v/>
      </c>
      <c r="D176" s="5" t="inlineStr">
        <is>
          <t>화면대조 E24 - E22 - E23</t>
        </is>
      </c>
      <c r="E176" s="2" t="n">
        <v>0</v>
      </c>
      <c r="F176" s="2">
        <f>IFERROR(C176-E176,"")</f>
        <v/>
      </c>
      <c r="G176" s="7">
        <f>IFERROR(IF(E176=0,"",F176/E176*100),"")</f>
        <v/>
      </c>
      <c r="H176" s="4" t="inlineStr">
        <is>
          <t>상환액은 순지급액 - max(0, Li) 한 줄로 낸다. 투자실행금은 반올림(순지급액 x (1-r)), 채권매입수수료는 절사(순지급액 x r) 이라 둘을 더하면 건당 0~1원이 모자란다. 투자실행금 + 투자수익으로 되짚으면 그만큼 어긋난다.</t>
        </is>
      </c>
    </row>
    <row r="177">
      <c r="A177" s="5" t="inlineStr">
        <is>
          <t>모델 잔차</t>
        </is>
      </c>
      <c r="B177" s="3" t="inlineStr">
        <is>
          <t>차감 / 수수료(%)</t>
        </is>
      </c>
      <c r="C177" s="6">
        <f>기간집계!B20</f>
        <v/>
      </c>
      <c r="D177" s="5" t="inlineStr">
        <is>
          <t>기간집계 B20</t>
        </is>
      </c>
      <c r="E177" s="7">
        <f>$E$37</f>
        <v/>
      </c>
      <c r="F177" s="7">
        <f>IFERROR(C177-E177,"")</f>
        <v/>
      </c>
      <c r="G177" s="7">
        <f>IFERROR(IF(E177=0,"",F177/E177*100),"")</f>
        <v/>
      </c>
      <c r="H177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8">
      <c r="A178" s="5" t="inlineStr">
        <is>
          <t>모델 잔차</t>
        </is>
      </c>
      <c r="B178" s="3" t="inlineStr">
        <is>
          <t>S입금부족율 raw(%)</t>
        </is>
      </c>
      <c r="C178" s="9">
        <f>기간집계!B51</f>
        <v/>
      </c>
      <c r="D178" s="5" t="inlineStr">
        <is>
          <t>기간집계 B51</t>
        </is>
      </c>
      <c r="E178" s="10">
        <f>$E$10</f>
        <v/>
      </c>
      <c r="F178" s="10">
        <f>IFERROR(C178-E178,"")</f>
        <v/>
      </c>
      <c r="G178" s="7">
        <f>IFERROR(IF(E178=0,"",F178/E178*100),"")</f>
        <v/>
      </c>
      <c r="H17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9">
      <c r="A179" s="5" t="inlineStr">
        <is>
          <t>모델 잔차</t>
        </is>
      </c>
      <c r="B179" s="3" t="inlineStr">
        <is>
          <t>채권 건수</t>
        </is>
      </c>
      <c r="C179" s="8">
        <f>기간집계!B53</f>
        <v/>
      </c>
      <c r="D179" s="5" t="inlineStr">
        <is>
          <t>기간집계 B53</t>
        </is>
      </c>
      <c r="E179" s="2">
        <f>$E$15</f>
        <v/>
      </c>
      <c r="F179" s="2">
        <f>IFERROR(C179-E179,"")</f>
        <v/>
      </c>
      <c r="G179" s="7">
        <f>IFERROR(IF(E179=0,"",F179/E179*100),"")</f>
        <v/>
      </c>
      <c r="H179" s="4" t="inlineStr">
        <is>
          <t>모집단이 다르다. 이 통합문서는 선정산일 40일 x 8곳 x 4플랫폼 = 1280건, 화면 원장은 193일 x 8곳 x 4플랫폼 x 정산예정일 버킷 = 61,760건.</t>
        </is>
      </c>
    </row>
    <row r="180">
      <c r="A180" s="5" t="inlineStr">
        <is>
          <t>모델 잔차</t>
        </is>
      </c>
      <c r="B180" s="3" t="inlineStr">
        <is>
          <t>미회수 건수</t>
        </is>
      </c>
      <c r="C180" s="8">
        <f>기간집계!B52</f>
        <v/>
      </c>
      <c r="D180" s="5" t="inlineStr">
        <is>
          <t>기간집계 B52</t>
        </is>
      </c>
      <c r="E180" s="2">
        <f>$E$16</f>
        <v/>
      </c>
      <c r="F180" s="2">
        <f>IFERROR(C180-E180,"")</f>
        <v/>
      </c>
      <c r="G180" s="7">
        <f>IFERROR(IF(E180=0,"",F180/E180*100),"")</f>
        <v/>
      </c>
      <c r="H180" s="4" t="inlineStr">
        <is>
          <t>모집단이 다르다. 이 통합문서는 선정산일 40일 x 8곳 x 4플랫폼 = 1280건, 화면 원장은 193일 x 8곳 x 4플랫폼 x 정산예정일 버킷 = 61,760건.</t>
        </is>
      </c>
    </row>
    <row r="181">
      <c r="A181" s="5" t="inlineStr">
        <is>
          <t>모델 잔차</t>
        </is>
      </c>
      <c r="B181" s="3" t="inlineStr">
        <is>
          <t>김성호떡볶이 본점 — 투자실행액</t>
        </is>
      </c>
      <c r="C181" s="8">
        <f>가맹점!R2</f>
        <v/>
      </c>
      <c r="D181" s="5" t="inlineStr">
        <is>
          <t>가맹점 R2</t>
        </is>
      </c>
      <c r="E181" s="2">
        <f>$E$44</f>
        <v/>
      </c>
      <c r="F181" s="2">
        <f>IFERROR(C181-E181,"")</f>
        <v/>
      </c>
      <c r="G181" s="7">
        <f>IFERROR(IF(E181=0,"",F181/E181*100),"")</f>
        <v/>
      </c>
      <c r="H18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2">
      <c r="A182" s="5" t="inlineStr">
        <is>
          <t>모델 잔차</t>
        </is>
      </c>
      <c r="B182" s="3" t="inlineStr">
        <is>
          <t>초록치킨 서초점 — 투자실행액</t>
        </is>
      </c>
      <c r="C182" s="8">
        <f>가맹점!R3</f>
        <v/>
      </c>
      <c r="D182" s="5" t="inlineStr">
        <is>
          <t>가맹점 R3</t>
        </is>
      </c>
      <c r="E182" s="2">
        <f>$E$50</f>
        <v/>
      </c>
      <c r="F182" s="2">
        <f>IFERROR(C182-E182,"")</f>
        <v/>
      </c>
      <c r="G182" s="7">
        <f>IFERROR(IF(E182=0,"",F182/E182*100),"")</f>
        <v/>
      </c>
      <c r="H18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3">
      <c r="A183" s="5" t="inlineStr">
        <is>
          <t>모델 잔차</t>
        </is>
      </c>
      <c r="B183" s="3" t="inlineStr">
        <is>
          <t>김밥나라 — 투자실행액</t>
        </is>
      </c>
      <c r="C183" s="8">
        <f>가맹점!R4</f>
        <v/>
      </c>
      <c r="D183" s="5" t="inlineStr">
        <is>
          <t>가맹점 R4</t>
        </is>
      </c>
      <c r="E183" s="2">
        <f>$E$56</f>
        <v/>
      </c>
      <c r="F183" s="2">
        <f>IFERROR(C183-E183,"")</f>
        <v/>
      </c>
      <c r="G183" s="7">
        <f>IFERROR(IF(E183=0,"",F183/E183*100),"")</f>
        <v/>
      </c>
      <c r="H18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4">
      <c r="A184" s="5" t="inlineStr">
        <is>
          <t>모델 잔차</t>
        </is>
      </c>
      <c r="B184" s="3" t="inlineStr">
        <is>
          <t>골목냉면 — 투자실행액</t>
        </is>
      </c>
      <c r="C184" s="8">
        <f>가맹점!R5</f>
        <v/>
      </c>
      <c r="D184" s="5" t="inlineStr">
        <is>
          <t>가맹점 R5</t>
        </is>
      </c>
      <c r="E184" s="2">
        <f>$E$62</f>
        <v/>
      </c>
      <c r="F184" s="2">
        <f>IFERROR(C184-E184,"")</f>
        <v/>
      </c>
      <c r="G184" s="7">
        <f>IFERROR(IF(E184=0,"",F184/E184*100),"")</f>
        <v/>
      </c>
      <c r="H184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5">
      <c r="A185" s="5" t="inlineStr">
        <is>
          <t>모델 잔차</t>
        </is>
      </c>
      <c r="B185" s="3" t="inlineStr">
        <is>
          <t>달빛곱창 홍대점 — 투자실행액</t>
        </is>
      </c>
      <c r="C185" s="8">
        <f>가맹점!R6</f>
        <v/>
      </c>
      <c r="D185" s="5" t="inlineStr">
        <is>
          <t>가맹점 R6</t>
        </is>
      </c>
      <c r="E185" s="2">
        <f>$E$68</f>
        <v/>
      </c>
      <c r="F185" s="2">
        <f>IFERROR(C185-E185,"")</f>
        <v/>
      </c>
      <c r="G185" s="7">
        <f>IFERROR(IF(E185=0,"",F185/E185*100),"")</f>
        <v/>
      </c>
      <c r="H18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6">
      <c r="A186" s="5" t="inlineStr">
        <is>
          <t>모델 잔차</t>
        </is>
      </c>
      <c r="B186" s="3" t="inlineStr">
        <is>
          <t>청춘포차 신촌점 — 투자실행액</t>
        </is>
      </c>
      <c r="C186" s="8">
        <f>가맹점!R7</f>
        <v/>
      </c>
      <c r="D186" s="5" t="inlineStr">
        <is>
          <t>가맹점 R7</t>
        </is>
      </c>
      <c r="E186" s="2">
        <f>$E$74</f>
        <v/>
      </c>
      <c r="F186" s="2">
        <f>IFERROR(C186-E186,"")</f>
        <v/>
      </c>
      <c r="G186" s="7">
        <f>IFERROR(IF(E186=0,"",F186/E186*100),"")</f>
        <v/>
      </c>
      <c r="H186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7">
      <c r="A187" s="5" t="inlineStr">
        <is>
          <t>모델 잔차</t>
        </is>
      </c>
      <c r="B187" s="3" t="inlineStr">
        <is>
          <t>바다마루 횟집 — 투자실행액</t>
        </is>
      </c>
      <c r="C187" s="8">
        <f>가맹점!R8</f>
        <v/>
      </c>
      <c r="D187" s="5" t="inlineStr">
        <is>
          <t>가맹점 R8</t>
        </is>
      </c>
      <c r="E187" s="2">
        <f>$E$80</f>
        <v/>
      </c>
      <c r="F187" s="2">
        <f>IFERROR(C187-E187,"")</f>
        <v/>
      </c>
      <c r="G187" s="7">
        <f>IFERROR(IF(E187=0,"",F187/E187*100),"")</f>
        <v/>
      </c>
      <c r="H187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8">
      <c r="A188" s="5" t="inlineStr">
        <is>
          <t>모델 잔차</t>
        </is>
      </c>
      <c r="B188" s="3" t="inlineStr">
        <is>
          <t>한강커피 잠원점 — 투자실행액</t>
        </is>
      </c>
      <c r="C188" s="8">
        <f>가맹점!R9</f>
        <v/>
      </c>
      <c r="D188" s="5" t="inlineStr">
        <is>
          <t>가맹점 R9</t>
        </is>
      </c>
      <c r="E188" s="2">
        <f>$E$86</f>
        <v/>
      </c>
      <c r="F188" s="2">
        <f>IFERROR(C188-E188,"")</f>
        <v/>
      </c>
      <c r="G188" s="7">
        <f>IFERROR(IF(E188=0,"",F188/E188*100),"")</f>
        <v/>
      </c>
      <c r="H188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89">
      <c r="A189" s="5" t="inlineStr">
        <is>
          <t>모델 잔차</t>
        </is>
      </c>
      <c r="B189" s="3" t="inlineStr">
        <is>
          <t>김성호떡볶이 본점 — 비중 표기(%)</t>
        </is>
      </c>
      <c r="C189" s="25">
        <f>가맹점!AC2</f>
        <v/>
      </c>
      <c r="D189" s="5" t="inlineStr">
        <is>
          <t>가맹점 AC2</t>
        </is>
      </c>
      <c r="E189" s="24">
        <f>$E$49</f>
        <v/>
      </c>
      <c r="F189" s="24">
        <f>IFERROR(C189-E189,"")</f>
        <v/>
      </c>
      <c r="G189" s="7">
        <f>IFERROR(IF(E189=0,"",F189/E189*100),"")</f>
        <v/>
      </c>
      <c r="H189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0">
      <c r="A190" s="5" t="inlineStr">
        <is>
          <t>모델 잔차</t>
        </is>
      </c>
      <c r="B190" s="3" t="inlineStr">
        <is>
          <t>초록치킨 서초점 — 비중 표기(%)</t>
        </is>
      </c>
      <c r="C190" s="25">
        <f>가맹점!AC3</f>
        <v/>
      </c>
      <c r="D190" s="5" t="inlineStr">
        <is>
          <t>가맹점 AC3</t>
        </is>
      </c>
      <c r="E190" s="24">
        <f>$E$55</f>
        <v/>
      </c>
      <c r="F190" s="24">
        <f>IFERROR(C190-E190,"")</f>
        <v/>
      </c>
      <c r="G190" s="7">
        <f>IFERROR(IF(E190=0,"",F190/E190*100),"")</f>
        <v/>
      </c>
      <c r="H190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1">
      <c r="A191" s="5" t="inlineStr">
        <is>
          <t>모델 잔차</t>
        </is>
      </c>
      <c r="B191" s="3" t="inlineStr">
        <is>
          <t>김밥나라 — 비중 표기(%)</t>
        </is>
      </c>
      <c r="C191" s="25">
        <f>가맹점!AC4</f>
        <v/>
      </c>
      <c r="D191" s="5" t="inlineStr">
        <is>
          <t>가맹점 AC4</t>
        </is>
      </c>
      <c r="E191" s="24">
        <f>$E$61</f>
        <v/>
      </c>
      <c r="F191" s="24">
        <f>IFERROR(C191-E191,"")</f>
        <v/>
      </c>
      <c r="G191" s="7">
        <f>IFERROR(IF(E191=0,"",F191/E191*100),"")</f>
        <v/>
      </c>
      <c r="H191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2">
      <c r="A192" s="5" t="inlineStr">
        <is>
          <t>모델 잔차</t>
        </is>
      </c>
      <c r="B192" s="3" t="inlineStr">
        <is>
          <t>골목냉면 — 비중 표기(%)</t>
        </is>
      </c>
      <c r="C192" s="25">
        <f>가맹점!AC5</f>
        <v/>
      </c>
      <c r="D192" s="5" t="inlineStr">
        <is>
          <t>가맹점 AC5</t>
        </is>
      </c>
      <c r="E192" s="24">
        <f>$E$67</f>
        <v/>
      </c>
      <c r="F192" s="24">
        <f>IFERROR(C192-E192,"")</f>
        <v/>
      </c>
      <c r="G192" s="7">
        <f>IFERROR(IF(E192=0,"",F192/E192*100),"")</f>
        <v/>
      </c>
      <c r="H192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3">
      <c r="A193" s="5" t="inlineStr">
        <is>
          <t>모델 잔차</t>
        </is>
      </c>
      <c r="B193" s="3" t="inlineStr">
        <is>
          <t>달빛곱창 홍대점 — 비중 표기(%)</t>
        </is>
      </c>
      <c r="C193" s="25">
        <f>가맹점!AC6</f>
        <v/>
      </c>
      <c r="D193" s="5" t="inlineStr">
        <is>
          <t>가맹점 AC6</t>
        </is>
      </c>
      <c r="E193" s="24">
        <f>$E$73</f>
        <v/>
      </c>
      <c r="F193" s="24">
        <f>IFERROR(C193-E193,"")</f>
        <v/>
      </c>
      <c r="G193" s="7">
        <f>IFERROR(IF(E193=0,"",F193/E193*100),"")</f>
        <v/>
      </c>
      <c r="H193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4">
      <c r="A194" s="5" t="inlineStr">
        <is>
          <t>모델 잔차</t>
        </is>
      </c>
      <c r="B194" s="3" t="inlineStr">
        <is>
          <t>청춘포차 신촌점 — 비중 표기(%)</t>
        </is>
      </c>
      <c r="C194" s="25">
        <f>가맹점!AC7</f>
        <v/>
      </c>
      <c r="D194" s="5" t="inlineStr">
        <is>
          <t>가맹점 AC7</t>
        </is>
      </c>
      <c r="E194" s="24">
        <f>$E$79</f>
        <v/>
      </c>
      <c r="F194" s="24">
        <f>IFERROR(C194-E194,"")</f>
        <v/>
      </c>
      <c r="G194" s="7">
        <f>IFERROR(IF(E194=0,"",F194/E194*100),"")</f>
        <v/>
      </c>
      <c r="H194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5">
      <c r="A195" s="5" t="inlineStr">
        <is>
          <t>모델 잔차</t>
        </is>
      </c>
      <c r="B195" s="3" t="inlineStr">
        <is>
          <t>바다마루 횟집 — 비중 표기(%)</t>
        </is>
      </c>
      <c r="C195" s="25">
        <f>가맹점!AC8</f>
        <v/>
      </c>
      <c r="D195" s="5" t="inlineStr">
        <is>
          <t>가맹점 AC8</t>
        </is>
      </c>
      <c r="E195" s="24">
        <f>$E$85</f>
        <v/>
      </c>
      <c r="F195" s="24">
        <f>IFERROR(C195-E195,"")</f>
        <v/>
      </c>
      <c r="G195" s="7">
        <f>IFERROR(IF(E195=0,"",F195/E195*100),"")</f>
        <v/>
      </c>
      <c r="H195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  <row r="196">
      <c r="A196" s="5" t="inlineStr">
        <is>
          <t>모델 잔차</t>
        </is>
      </c>
      <c r="B196" s="3" t="inlineStr">
        <is>
          <t>한강커피 잠원점 — 비중 표기(%)</t>
        </is>
      </c>
      <c r="C196" s="25">
        <f>가맹점!AC9</f>
        <v/>
      </c>
      <c r="D196" s="5" t="inlineStr">
        <is>
          <t>가맹점 AC9</t>
        </is>
      </c>
      <c r="E196" s="24">
        <f>$E$91</f>
        <v/>
      </c>
      <c r="F196" s="24">
        <f>IFERROR(C196-E196,"")</f>
        <v/>
      </c>
      <c r="G196" s="7">
        <f>IFERROR(IF(E196=0,"",F196/E196*100),"")</f>
        <v/>
      </c>
      <c r="H196" s="4" t="inlineStr">
        <is>
          <t>화면 원장은 요일·주차 규모 계수(SIZE)와 배달 의존도 틸트(TILT)로 하루치가 흔들리고, 미회수 앵커가 어제 마감일에 걸린다. 이 통합문서는 하루치가 평평한 40일 창 모델이다.</t>
        </is>
      </c>
    </row>
  </sheetData>
  <conditionalFormatting sqref="G2:G165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t>w금융일수 = Σ Ai x Di / Σ Ai</t>
        </is>
      </c>
      <c r="C5" s="13" t="inlineStr">
        <is>
          <t>기간집계 B34 · 가중치 대조 C17 — 가중치는 금액(Ai)</t>
        </is>
      </c>
    </row>
    <row r="6">
      <c r="A6" s="5" t="inlineStr">
        <is>
          <t>[1번 이미지]</t>
        </is>
      </c>
      <c r="B6" s="4" t="inlineStr">
        <is>
          <t>Ai = ID가 i인 대상정산금채권의 순지급액 x (1- 유동화투자자의 할인율)</t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t>Di = ID가 i인 다상정산금채권의 금융일수</t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t>S입금부족율 = Σ SLi / Σ SAi</t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t>SLi = 표본집합에 속하는 ID가 i인 대상정산금채권의 미지급액 – 과지급액</t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소문자 d 다. 대문자 D는 금융일수다 (채권 H열)</t>
        </is>
      </c>
    </row>
    <row r="16">
      <c r="A16" s="5" t="inlineStr">
        <is>
          <t>[1번 이미지]</t>
        </is>
      </c>
      <c r="B16" s="4" t="inlineStr">
        <is>
          <t>SAi = 표본집합에 속하는 ID가 i인 대상정산급채권의 순지급액 x (1- 유동화투자자의 할인율)</t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t>PSD = (Σ Api x Dpi) / PSA</t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t>Api : 정산예정일이 위 선택한 기간에 해당하는 모든 각 대상정산금채권의 ‘순지급액 x ( 1 – 유동화투자자 할인율)’</t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t>Dpi: 정산예정일이 위 선택한 기간에 해당하는 모든 각 대상정산금채권의 금융일수</t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2026-09-09T08:49:39Z</dcterms:created>
  <dcterms:modified xmlns:dcterms="http://purl.org/dc/terms/" xmlns:xsi="http://www.w3.org/2001/XMLSchema-instance" xsi:type="dcterms:W3CDTF">2026-09-09T08:49:39Z</dcterms:modified>
</cp:coreProperties>
</file>