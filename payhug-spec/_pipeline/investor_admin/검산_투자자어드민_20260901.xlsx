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2" fontId="2" fillId="3" borderId="1" pivotButton="0" quotePrefix="0" xfId="0"/>
    <xf numFmtId="2" fontId="2" fillId="0" borderId="1" pivotButton="0" quotePrefix="0" xfId="0"/>
    <xf numFmtId="3" fontId="2" fillId="3" borderId="1" pivotButton="0" quotePrefix="0" xfId="0"/>
    <xf numFmtId="167" fontId="2" fillId="3" borderId="1" pivotButton="0" quotePrefix="0" xfId="0"/>
    <xf numFmtId="167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2" customWidth="1" min="3" max="3"/>
    <col width="56" customWidth="1" min="4" max="4"/>
    <col width="18" customWidth="1" min="5" max="5"/>
    <col width="18" customWidth="1" min="6" max="6"/>
    <col width="16" customWidth="1" min="7" max="7"/>
  </cols>
  <sheetData>
    <row r="1" ht="30" customHeight="1">
      <c r="A1" s="1" t="inlineStr">
        <is>
          <t>#</t>
        </is>
      </c>
      <c r="B1" s="1" t="inlineStr">
        <is>
          <t>화면 ↔ 엑셀 갈림</t>
        </is>
      </c>
      <c r="C1" s="1" t="inlineStr">
        <is>
          <t>까닭</t>
        </is>
      </c>
      <c r="D1" s="1" t="inlineStr">
        <is>
          <t>화면대조 행</t>
        </is>
      </c>
      <c r="E1" s="1" t="inlineStr">
        <is>
          <t>엑셀 값</t>
        </is>
      </c>
      <c r="F1" s="1" t="inlineStr">
        <is>
          <t>화면 표시값</t>
        </is>
      </c>
      <c r="G1" s="1" t="inlineStr">
        <is>
          <t>차이</t>
        </is>
      </c>
    </row>
    <row r="2">
      <c r="A2" s="2" t="n">
        <v>1</v>
      </c>
      <c r="B2" s="3" t="inlineStr">
        <is>
          <t>조회기간 ④(%)</t>
        </is>
      </c>
      <c r="C2" s="4">
        <f>화면대조!H172</f>
        <v/>
      </c>
      <c r="D2" s="5" t="inlineStr">
        <is>
          <t>화면대조 172행</t>
        </is>
      </c>
      <c r="E2" s="6">
        <f>화면대조!C172</f>
        <v/>
      </c>
      <c r="F2" s="7">
        <f>화면대조!E172</f>
        <v/>
      </c>
      <c r="G2" s="7">
        <f>화면대조!F172</f>
        <v/>
      </c>
    </row>
    <row r="3">
      <c r="A3" s="2" t="n">
        <v>2</v>
      </c>
      <c r="B3" s="3" t="inlineStr">
        <is>
          <t>조회기간 ⑤(%)</t>
        </is>
      </c>
      <c r="C3" s="4">
        <f>화면대조!H173</f>
        <v/>
      </c>
      <c r="D3" s="5" t="inlineStr">
        <is>
          <t>화면대조 173행</t>
        </is>
      </c>
      <c r="E3" s="6">
        <f>화면대조!C173</f>
        <v/>
      </c>
      <c r="F3" s="7">
        <f>화면대조!E173</f>
        <v/>
      </c>
      <c r="G3" s="7">
        <f>화면대조!F173</f>
        <v/>
      </c>
    </row>
    <row r="4">
      <c r="A4" s="2" t="n">
        <v>3</v>
      </c>
      <c r="B4" s="3" t="inlineStr">
        <is>
          <t>조회기간 PA</t>
        </is>
      </c>
      <c r="C4" s="4">
        <f>화면대조!H169</f>
        <v/>
      </c>
      <c r="D4" s="5" t="inlineStr">
        <is>
          <t>화면대조 169행</t>
        </is>
      </c>
      <c r="E4" s="8">
        <f>화면대조!C169</f>
        <v/>
      </c>
      <c r="F4" s="2">
        <f>화면대조!E169</f>
        <v/>
      </c>
      <c r="G4" s="2">
        <f>화면대조!F169</f>
        <v/>
      </c>
    </row>
    <row r="5">
      <c r="A5" s="2" t="n">
        <v>4</v>
      </c>
      <c r="B5" s="3" t="inlineStr">
        <is>
          <t>조회기간 PwD</t>
        </is>
      </c>
      <c r="C5" s="4">
        <f>화면대조!H170</f>
        <v/>
      </c>
      <c r="D5" s="5" t="inlineStr">
        <is>
          <t>화면대조 170행</t>
        </is>
      </c>
      <c r="E5" s="9">
        <f>화면대조!C170</f>
        <v/>
      </c>
      <c r="F5" s="10">
        <f>화면대조!E170</f>
        <v/>
      </c>
      <c r="G5" s="10">
        <f>화면대조!F170</f>
        <v/>
      </c>
    </row>
    <row r="6">
      <c r="A6" s="2" t="n">
        <v>5</v>
      </c>
      <c r="B6" s="3" t="inlineStr">
        <is>
          <t>S입금부족율 raw(%)</t>
        </is>
      </c>
      <c r="C6" s="4">
        <f>화면대조!H178</f>
        <v/>
      </c>
      <c r="D6" s="5" t="inlineStr">
        <is>
          <t>화면대조 178행</t>
        </is>
      </c>
      <c r="E6" s="9">
        <f>화면대조!C178</f>
        <v/>
      </c>
      <c r="F6" s="10">
        <f>화면대조!E178</f>
        <v/>
      </c>
      <c r="G6" s="10">
        <f>화면대조!F178</f>
        <v/>
      </c>
    </row>
    <row r="7">
      <c r="A7" s="2" t="n">
        <v>6</v>
      </c>
      <c r="B7" s="3" t="inlineStr">
        <is>
          <t>채권 건수</t>
        </is>
      </c>
      <c r="C7" s="4">
        <f>화면대조!H179</f>
        <v/>
      </c>
      <c r="D7" s="5" t="inlineStr">
        <is>
          <t>화면대조 179행</t>
        </is>
      </c>
      <c r="E7" s="8">
        <f>화면대조!C179</f>
        <v/>
      </c>
      <c r="F7" s="2">
        <f>화면대조!E179</f>
        <v/>
      </c>
      <c r="G7" s="2">
        <f>화면대조!F179</f>
        <v/>
      </c>
    </row>
    <row r="9" ht="30" customHeight="1">
      <c r="A9" s="1" t="inlineStr">
        <is>
          <t>순서</t>
        </is>
      </c>
      <c r="B9" s="1" t="inlineStr">
        <is>
          <t>시트</t>
        </is>
      </c>
      <c r="C9" s="1" t="inlineStr">
        <is>
          <t>무엇</t>
        </is>
      </c>
      <c r="D9" s="1" t="inlineStr">
        <is>
          <t>주요 칸</t>
        </is>
      </c>
    </row>
    <row r="10">
      <c r="A10" s="2" t="n">
        <v>1</v>
      </c>
      <c r="B10" s="3" t="inlineStr">
        <is>
          <t>읽는 법</t>
        </is>
      </c>
      <c r="C10" s="4" t="inlineStr">
        <is>
          <t>화면 ↔ 엑셀 갈림 6줄 · 시트 차례 · 화면 표시값 되짚는 경로 3줄 · 시뮬레이션 입력 칸 · 기호 규칙 · 대표 DM 2026-08-31</t>
        </is>
      </c>
      <c r="D10" s="5" t="inlineStr">
        <is>
          <t>A1:G7 · 이 시트</t>
        </is>
      </c>
    </row>
    <row r="11">
      <c r="A11" s="2" t="n">
        <v>2</v>
      </c>
      <c r="B11" s="3" t="inlineStr">
        <is>
          <t>입력</t>
        </is>
      </c>
      <c r="C11" s="4" t="inlineStr">
        <is>
          <t>가정값 18칸 · 스위치 4칸 · 플랫폼 구성비 · 금액 실측 · 대표 엑셀 MAU 참고값 · 로스터 8곳 · 엑셀 프리셋 6종</t>
        </is>
      </c>
      <c r="D11" s="5" t="inlineStr">
        <is>
          <t>C2:C17 · B22:B25 · C28:C31 · A50:K57</t>
        </is>
      </c>
    </row>
    <row r="12">
      <c r="A12" s="2" t="n">
        <v>3</v>
      </c>
      <c r="B12" s="3" t="inlineStr">
        <is>
          <t>플랫폼</t>
        </is>
      </c>
      <c r="C12" s="4" t="inlineStr">
        <is>
          <t>금융일수 도수분포(1~13일) · 평균 금융일수 · 구성비 가중 W금융일수</t>
        </is>
      </c>
      <c r="D12" s="5" t="inlineStr">
        <is>
          <t>C2:O5 · D9:D12 · B17</t>
        </is>
      </c>
    </row>
    <row r="13">
      <c r="A13" s="2" t="n">
        <v>4</v>
      </c>
      <c r="B13" s="3" t="inlineStr">
        <is>
          <t>가맹점</t>
        </is>
      </c>
      <c r="C13" s="4" t="inlineStr">
        <is>
          <t>로스터 8곳의 플랫폼 배분 · 하루 선정산액 · 투자실행액 · W · S · Ty · 비중(최대잉여법)</t>
        </is>
      </c>
      <c r="D13" s="5" t="inlineStr">
        <is>
          <t>J2:M9 · O2:O9 · P2:P9 · AC2:AC9</t>
        </is>
      </c>
    </row>
    <row r="14">
      <c r="A14" s="2" t="n">
        <v>5</v>
      </c>
      <c r="B14" s="3" t="inlineStr">
        <is>
          <t>채권</t>
        </is>
      </c>
      <c r="C14" s="4" t="inlineStr">
        <is>
          <t>(가맹점 x 플랫폼 x 선정산일 40일) 1,280건 원장 — 값 셀은 금융일수 Di 하나뿐</t>
        </is>
      </c>
      <c r="D14" s="5" t="inlineStr">
        <is>
          <t>H열 Di · J열 Ai · Q열 미회수 · S열 Ai x Di</t>
        </is>
      </c>
    </row>
    <row r="15">
      <c r="A15" s="2" t="n">
        <v>6</v>
      </c>
      <c r="B15" s="3" t="inlineStr">
        <is>
          <t>일별</t>
        </is>
      </c>
      <c r="C15" s="4" t="inlineStr">
        <is>
          <t>정산예정일 27일치 집계 — 상환액 · 투자실행금 · 투자수익 · W · ty수익율</t>
        </is>
      </c>
      <c r="D15" s="5" t="inlineStr">
        <is>
          <t>C2:E28 · H2:H28 · I2:I28</t>
        </is>
      </c>
    </row>
    <row r="16">
      <c r="A16" s="2" t="n">
        <v>7</v>
      </c>
      <c r="B16" s="3" t="inlineStr">
        <is>
          <t>기간집계</t>
        </is>
      </c>
      <c r="C16" s="4" t="inlineStr">
        <is>
          <t>조회기간 집계 2~29행 · 모집단별 W·Ty·S 32~60행</t>
        </is>
      </c>
      <c r="D16" s="5" t="inlineStr">
        <is>
          <t>B5 · B13 · B17 · B41 · B42 · B51</t>
        </is>
      </c>
    </row>
    <row r="17">
      <c r="A17" s="2" t="n">
        <v>8</v>
      </c>
      <c r="B17" s="3" t="inlineStr">
        <is>
          <t>가중치 대조</t>
        </is>
      </c>
      <c r="C17" s="4" t="inlineStr">
        <is>
          <t>금액 실측 · 대표 엑셀 MAU · 로스터 금액가중 세 기준을 나란히</t>
        </is>
      </c>
      <c r="D17" s="5" t="inlineStr">
        <is>
          <t>C17:E17 · C19:E19</t>
        </is>
      </c>
    </row>
    <row r="18">
      <c r="A18" s="2" t="n">
        <v>9</v>
      </c>
      <c r="B18" s="3" t="inlineStr">
        <is>
          <t>화면대조</t>
        </is>
      </c>
      <c r="C18" s="4" t="inlineStr">
        <is>
          <t>화면 표시값 원본 42행 · 불변식 · 화면 정합 164행 · 모델 잔차 29행</t>
        </is>
      </c>
      <c r="D18" s="5" t="inlineStr">
        <is>
          <t>E열 화면 표시값 · G열 판정 · 168~196행 모델 잔차</t>
        </is>
      </c>
    </row>
    <row r="19">
      <c r="A19" s="2" t="n">
        <v>10</v>
      </c>
      <c r="B19" s="3" t="inlineStr">
        <is>
          <t>산식</t>
        </is>
      </c>
      <c r="C19" s="4" t="inlineStr">
        <is>
          <t>대표 정의서 45줄 ↔ 이 통합문서의 셀</t>
        </is>
      </c>
      <c r="D19" s="5" t="inlineStr">
        <is>
          <t>C열</t>
        </is>
      </c>
    </row>
    <row r="21" ht="30" customHeight="1">
      <c r="A21" s="11" t="inlineStr">
        <is>
          <t>#</t>
        </is>
      </c>
      <c r="B21" s="11" t="inlineStr">
        <is>
          <t>화면 표시값</t>
        </is>
      </c>
      <c r="C21" s="11" t="inlineStr">
        <is>
          <t>값</t>
        </is>
      </c>
      <c r="D21" s="11" t="inlineStr">
        <is>
          <t>되짚는 경로</t>
        </is>
      </c>
    </row>
    <row r="22">
      <c r="A22" s="2" t="n">
        <v>1</v>
      </c>
      <c r="B22" s="3" t="inlineStr">
        <is>
          <t>투자실행액</t>
        </is>
      </c>
      <c r="C22" s="8">
        <f>화면대조!E2</f>
        <v/>
      </c>
      <c r="D22" s="5" t="inlineStr">
        <is>
          <t>입력 C7 → 가맹점 B14 → 가맹점 P2:P9 → 채권 J2:J1281 (Q열=1) → 기간집계 B38 → B44</t>
        </is>
      </c>
    </row>
    <row r="23">
      <c r="A23" s="2" t="n">
        <v>2</v>
      </c>
      <c r="B23" s="3" t="inlineStr">
        <is>
          <t>W금융일수 표기</t>
        </is>
      </c>
      <c r="C23" s="6">
        <f>화면대조!E8</f>
        <v/>
      </c>
      <c r="D23" s="5" t="inlineStr">
        <is>
          <t>플랫폼 C2:O5 → 플랫폼 D9:D12 → 가맹점 O2:O9 → 채권 S2:S1281 → 기간집계 B41 → B42</t>
        </is>
      </c>
    </row>
    <row r="24">
      <c r="A24" s="2" t="n">
        <v>3</v>
      </c>
      <c r="B24" s="3" t="inlineStr">
        <is>
          <t>Ty수익율(%)</t>
        </is>
      </c>
      <c r="C24" s="6">
        <f>화면대조!E9</f>
        <v/>
      </c>
      <c r="D24" s="5" t="inlineStr">
        <is>
          <t>입력 C3 · 입력 C4 · 기간집계 B42 → 기간집계 B43</t>
        </is>
      </c>
    </row>
    <row r="26" ht="30" customHeight="1">
      <c r="A26" s="11" t="inlineStr">
        <is>
          <t>#</t>
        </is>
      </c>
      <c r="B26" s="11" t="inlineStr">
        <is>
          <t>바꾸는 칸</t>
        </is>
      </c>
      <c r="C26" s="11" t="inlineStr">
        <is>
          <t>항목</t>
        </is>
      </c>
      <c r="D26" s="11" t="inlineStr">
        <is>
          <t>지금 값</t>
        </is>
      </c>
      <c r="E26" s="11" t="inlineStr">
        <is>
          <t>움직이는 값</t>
        </is>
      </c>
    </row>
    <row r="27">
      <c r="A27" s="2" t="n">
        <v>1</v>
      </c>
      <c r="B27" s="3" t="inlineStr">
        <is>
          <t>입력 C5</t>
        </is>
      </c>
      <c r="C27" s="5" t="inlineStr">
        <is>
          <t>총 투자자산</t>
        </is>
      </c>
      <c r="D27" s="8">
        <f>총투자자산</f>
        <v/>
      </c>
      <c r="E27" s="5" t="inlineStr">
        <is>
          <t>입력 C7 · C8 → 채권 I·J열 → 기간집계 B44 · B45 · B46</t>
        </is>
      </c>
    </row>
    <row r="28">
      <c r="A28" s="2" t="n">
        <v>2</v>
      </c>
      <c r="B28" s="3" t="inlineStr">
        <is>
          <t>입력 C6</t>
        </is>
      </c>
      <c r="C28" s="5" t="inlineStr">
        <is>
          <t>유휴 비율</t>
        </is>
      </c>
      <c r="D28" s="12">
        <f>유휴비율</f>
        <v/>
      </c>
      <c r="E28" s="5" t="inlineStr">
        <is>
          <t>입력 C7 · C8 → 기간집계 B47 · B48 · B17(⑤)</t>
        </is>
      </c>
    </row>
    <row r="29">
      <c r="A29" s="2" t="n">
        <v>3</v>
      </c>
      <c r="B29" s="3" t="inlineStr">
        <is>
          <t>입력 B22</t>
        </is>
      </c>
      <c r="C29" s="5" t="inlineStr">
        <is>
          <t>스위치 ① W금융일수 모집단</t>
        </is>
      </c>
      <c r="D29" s="13">
        <f>SW_모집단</f>
        <v/>
      </c>
      <c r="E29" s="5" t="inlineStr">
        <is>
          <t>기간집계 B41 · B42 · B43</t>
        </is>
      </c>
    </row>
    <row r="30">
      <c r="A30" s="2" t="n">
        <v>4</v>
      </c>
      <c r="B30" s="3" t="inlineStr">
        <is>
          <t>입력 B23</t>
        </is>
      </c>
      <c r="C30" s="5" t="inlineStr">
        <is>
          <t>스위치 ② W 표기 자릿수</t>
        </is>
      </c>
      <c r="D30" s="8">
        <f>SW_자릿수</f>
        <v/>
      </c>
      <c r="E30" s="5" t="inlineStr">
        <is>
          <t>기간집계 B42 · B43</t>
        </is>
      </c>
    </row>
    <row r="31">
      <c r="A31" s="2" t="n">
        <v>5</v>
      </c>
      <c r="B31" s="3" t="inlineStr">
        <is>
          <t>입력 B24</t>
        </is>
      </c>
      <c r="C31" s="5" t="inlineStr">
        <is>
          <t>스위치 ③ 가맹점 수</t>
        </is>
      </c>
      <c r="D31" s="8">
        <f>SW_가맹점수</f>
        <v/>
      </c>
      <c r="E31" s="5" t="inlineStr">
        <is>
          <t>가맹점 G열 → 가맹점 B19 · B16</t>
        </is>
      </c>
    </row>
    <row r="32">
      <c r="A32" s="2" t="n">
        <v>6</v>
      </c>
      <c r="B32" s="3" t="inlineStr">
        <is>
          <t>입력 B25</t>
        </is>
      </c>
      <c r="C32" s="5" t="inlineStr">
        <is>
          <t>스위치 ④ 산출 방향</t>
        </is>
      </c>
      <c r="D32" s="13">
        <f>SW_방향</f>
        <v/>
      </c>
      <c r="E32" s="5" t="inlineStr">
        <is>
          <t>가맹점 P열 → 가맹점 B16</t>
        </is>
      </c>
    </row>
    <row r="33">
      <c r="A33" s="2" t="n">
        <v>7</v>
      </c>
      <c r="B33" s="3" t="inlineStr">
        <is>
          <t>입력 C28:C31</t>
        </is>
      </c>
      <c r="C33" s="5" t="inlineStr">
        <is>
          <t>플랫폼 구성비</t>
        </is>
      </c>
      <c r="D33" s="14">
        <f>SUM(구성비범위)</f>
        <v/>
      </c>
      <c r="E33" s="5" t="inlineStr">
        <is>
          <t>플랫폼 B17 · 가맹점 O열 · '가중치 대조' C17</t>
        </is>
      </c>
    </row>
    <row r="34">
      <c r="A34" s="2" t="n">
        <v>8</v>
      </c>
      <c r="B34" s="3" t="inlineStr">
        <is>
          <t>입력 C14:C15</t>
        </is>
      </c>
      <c r="C34" s="5" t="inlineStr">
        <is>
          <t>조회기간</t>
        </is>
      </c>
      <c r="D34" s="8">
        <f>조회종료-조회시작+1</f>
        <v/>
      </c>
      <c r="E34" s="5" t="inlineStr">
        <is>
          <t>기간집계 2~29행</t>
        </is>
      </c>
    </row>
    <row r="35">
      <c r="A35" s="2" t="n">
        <v>9</v>
      </c>
      <c r="B35" s="3" t="inlineStr">
        <is>
          <t>입력 C10</t>
        </is>
      </c>
      <c r="C35" s="5" t="inlineStr">
        <is>
          <t>어제 마감</t>
        </is>
      </c>
      <c r="D35" s="15">
        <f>기준일</f>
        <v/>
      </c>
      <c r="E35" s="5" t="inlineStr">
        <is>
          <t>채권 F·G열 · 일별 A열 · 채권 Q·R·T·U열</t>
        </is>
      </c>
    </row>
    <row r="36">
      <c r="A36" s="2" t="n">
        <v>10</v>
      </c>
      <c r="B36" s="3" t="inlineStr">
        <is>
          <t>입력 C18</t>
        </is>
      </c>
      <c r="C36" s="5" t="inlineStr">
        <is>
          <t>③ 지시 대상 (미확정)</t>
        </is>
      </c>
      <c r="D36" s="8">
        <f>지시대상3</f>
        <v/>
      </c>
      <c r="E36" s="5" t="inlineStr">
        <is>
          <t>기간집계 B18(⑥) — 비어 있는 동안 ⑥ 은 「미확정」</t>
        </is>
      </c>
    </row>
    <row r="37">
      <c r="A37" s="2" t="n">
        <v>11</v>
      </c>
      <c r="B37" s="3" t="inlineStr">
        <is>
          <t>입력 C19</t>
        </is>
      </c>
      <c r="C37" s="5" t="inlineStr">
        <is>
          <t>⑤ 산식 (미확정 · 대표 재작성 대기)</t>
        </is>
      </c>
      <c r="D37" s="6">
        <f>산식5</f>
        <v/>
      </c>
      <c r="E37" s="5" t="inlineStr">
        <is>
          <t>기간집계 B17(⑤) → 기간집계 B18(⑥) → 화면대조 모델 잔차 「조회기간 ⑤(%)」</t>
        </is>
      </c>
    </row>
    <row r="38">
      <c r="A38" s="2" t="n">
        <v>12</v>
      </c>
      <c r="B38" s="3" t="inlineStr">
        <is>
          <t>입력 B47</t>
        </is>
      </c>
      <c r="C38" s="5" t="inlineStr">
        <is>
          <t>배달앱/전체 (대표 엑셀 MAU 쪽 계산)</t>
        </is>
      </c>
      <c r="D38" s="14">
        <f>배달앱비중</f>
        <v/>
      </c>
      <c r="E38" s="5" t="inlineStr">
        <is>
          <t>'가중치 대조' D17 · D19 — 참고값 계열</t>
        </is>
      </c>
    </row>
    <row r="40" ht="30" customHeight="1">
      <c r="A40" s="11" t="inlineStr">
        <is>
          <t>#</t>
        </is>
      </c>
      <c r="B40" s="11" t="inlineStr">
        <is>
          <t>기호</t>
        </is>
      </c>
      <c r="C40" s="11" t="inlineStr">
        <is>
          <t>갈래</t>
        </is>
      </c>
      <c r="D40" s="11" t="inlineStr">
        <is>
          <t>뜻</t>
        </is>
      </c>
      <c r="E40" s="11" t="inlineStr">
        <is>
          <t>이 통합문서의 자리</t>
        </is>
      </c>
      <c r="F40" s="11" t="inlineStr">
        <is>
          <t>출처</t>
        </is>
      </c>
    </row>
    <row r="41">
      <c r="A41" s="2" t="n">
        <v>1</v>
      </c>
      <c r="B41" s="3" t="inlineStr">
        <is>
          <t>d</t>
        </is>
      </c>
      <c r="C41" s="5" t="inlineStr"/>
      <c r="D41" s="4" t="inlineStr">
        <is>
          <t>오늘</t>
        </is>
      </c>
      <c r="E41" s="5" t="inlineStr">
        <is>
          <t>입력 C10 어제 마감 + 1일</t>
        </is>
      </c>
      <c r="F41" s="5" t="inlineStr">
        <is>
          <t>dm_0901/symbol_rule_0901.md</t>
        </is>
      </c>
    </row>
    <row r="42">
      <c r="A42" s="2" t="n">
        <v>2</v>
      </c>
      <c r="B42" s="3" t="inlineStr">
        <is>
          <t>r</t>
        </is>
      </c>
      <c r="C42" s="5" t="inlineStr"/>
      <c r="D42" s="4" t="inlineStr">
        <is>
          <t>유동화투자자의 할인율</t>
        </is>
      </c>
      <c r="E42" s="5" t="inlineStr">
        <is>
          <t>입력 C2 · C3</t>
        </is>
      </c>
      <c r="F42" s="5" t="inlineStr">
        <is>
          <t>dm_0901/symbol_rule_0901.md</t>
        </is>
      </c>
    </row>
    <row r="43">
      <c r="A43" s="2" t="n">
        <v>3</v>
      </c>
      <c r="B43" s="3" t="inlineStr">
        <is>
          <t>D</t>
        </is>
      </c>
      <c r="C43" s="5" t="inlineStr">
        <is>
          <t>개념</t>
        </is>
      </c>
      <c r="D43" s="4" t="inlineStr">
        <is>
          <t>금융일수</t>
        </is>
      </c>
      <c r="E43" s="5" t="inlineStr">
        <is>
          <t>채권 H열</t>
        </is>
      </c>
      <c r="F43" s="5" t="inlineStr">
        <is>
          <t>dm_0901/symbol_rule_0901.md</t>
        </is>
      </c>
    </row>
    <row r="44">
      <c r="A44" s="2" t="n">
        <v>4</v>
      </c>
      <c r="B44" s="3" t="inlineStr">
        <is>
          <t>Y</t>
        </is>
      </c>
      <c r="C44" s="5" t="inlineStr">
        <is>
          <t>개념</t>
        </is>
      </c>
      <c r="D44" s="4" t="inlineStr">
        <is>
          <t>연환산 수익률. Yr · YMR(d-1) · PYMR · wPYMR 로 갈린다</t>
        </is>
      </c>
      <c r="E44" s="5" t="inlineStr">
        <is>
          <t>기간집계 B43 · 일별 I열 · 기간집계 B13 · B17</t>
        </is>
      </c>
      <c r="F44" s="5" t="inlineStr">
        <is>
          <t>dm_0901/symbol_rule_0901.md</t>
        </is>
      </c>
    </row>
    <row r="45">
      <c r="A45" s="2" t="n">
        <v>5</v>
      </c>
      <c r="B45" s="3" t="inlineStr">
        <is>
          <t>i</t>
        </is>
      </c>
      <c r="C45" s="5" t="inlineStr">
        <is>
          <t>ID가 i인 대상정산금채권</t>
        </is>
      </c>
      <c r="D45" s="4" t="inlineStr">
        <is>
          <t>채권번호. 가맹점ID &amp; 플랫폼ID &amp; 매출일자</t>
        </is>
      </c>
      <c r="E45" s="5" t="inlineStr">
        <is>
          <t>채권 A열</t>
        </is>
      </c>
      <c r="F45" s="5" t="inlineStr">
        <is>
          <t>dm_0901/symbol_rule_0901.md</t>
        </is>
      </c>
    </row>
    <row r="46">
      <c r="A46" s="2" t="n">
        <v>6</v>
      </c>
      <c r="B46" s="3" t="inlineStr">
        <is>
          <t>Di</t>
        </is>
      </c>
      <c r="C46" s="5" t="inlineStr">
        <is>
          <t>ID가 i인 대상정산금채권</t>
        </is>
      </c>
      <c r="D46" s="4" t="inlineStr">
        <is>
          <t>ID가 i인 대상정산금채권의 금융일수</t>
        </is>
      </c>
      <c r="E46" s="5" t="inlineStr">
        <is>
          <t>채권 H열</t>
        </is>
      </c>
      <c r="F46" s="5" t="inlineStr">
        <is>
          <t>dm_0901/symbol_rule_0901.md</t>
        </is>
      </c>
    </row>
    <row r="47">
      <c r="A47" s="2" t="n">
        <v>7</v>
      </c>
      <c r="B47" s="3" t="inlineStr">
        <is>
          <t>Ai</t>
        </is>
      </c>
      <c r="C47" s="5" t="inlineStr">
        <is>
          <t>ID가 i인 대상정산금채권</t>
        </is>
      </c>
      <c r="D47" s="4" t="inlineStr">
        <is>
          <t>ID가 i인 대상정산금채권의 투자 실행액 = 순지급액 x (1 - r)</t>
        </is>
      </c>
      <c r="E47" s="5" t="inlineStr">
        <is>
          <t>채권 J열</t>
        </is>
      </c>
      <c r="F47" s="5" t="inlineStr">
        <is>
          <t>dm_0901/symbol_rule_0901.md</t>
        </is>
      </c>
    </row>
    <row r="48">
      <c r="A48" s="2" t="n">
        <v>8</v>
      </c>
      <c r="B48" s="3" t="inlineStr">
        <is>
          <t>Li</t>
        </is>
      </c>
      <c r="C48" s="5" t="inlineStr">
        <is>
          <t>ID가 i인 대상정산금채권</t>
        </is>
      </c>
      <c r="D48" s="4" t="inlineStr">
        <is>
          <t>ID가 i인 대상정산금채권의 입금부족액 = 미지급금 - 과지급금</t>
        </is>
      </c>
      <c r="E48" s="5" t="inlineStr">
        <is>
          <t>채권 L열 - M열</t>
        </is>
      </c>
      <c r="F48" s="5" t="inlineStr">
        <is>
          <t>dm_0901/symbol_rule_0901.md</t>
        </is>
      </c>
    </row>
    <row r="49">
      <c r="A49" s="2" t="n">
        <v>9</v>
      </c>
      <c r="B49" s="3" t="inlineStr">
        <is>
          <t>Mi</t>
        </is>
      </c>
      <c r="C49" s="5" t="inlineStr">
        <is>
          <t>ID가 i인 대상정산금채권</t>
        </is>
      </c>
      <c r="D49" s="4" t="inlineStr">
        <is>
          <t>ID가 i인 대상정산금채권의 투자수익 = 채권매입수수료 - max(0, Li)</t>
        </is>
      </c>
      <c r="E49" s="5" t="inlineStr">
        <is>
          <t>채권 O열</t>
        </is>
      </c>
      <c r="F49" s="5" t="inlineStr">
        <is>
          <t>dm_0901/symbol_rule_0901.md</t>
        </is>
      </c>
    </row>
    <row r="50">
      <c r="A50" s="2" t="n">
        <v>10</v>
      </c>
      <c r="B50" s="3" t="inlineStr">
        <is>
          <t>Bi</t>
        </is>
      </c>
      <c r="C50" s="5" t="inlineStr">
        <is>
          <t>ID가 i인 대상정산금채권</t>
        </is>
      </c>
      <c r="D50" s="4" t="inlineStr">
        <is>
          <t>ID가 i인 대상정산금채권의 상환액 = 순지급액 - max(0, Li)</t>
        </is>
      </c>
      <c r="E50" s="5" t="inlineStr">
        <is>
          <t>채권 P열</t>
        </is>
      </c>
      <c r="F50" s="5" t="inlineStr">
        <is>
          <t>dm_0901/symbol_rule_0901.md</t>
        </is>
      </c>
    </row>
    <row r="51">
      <c r="A51" s="2" t="n">
        <v>11</v>
      </c>
      <c r="B51" s="3" t="inlineStr">
        <is>
          <t>Σ Ai</t>
        </is>
      </c>
      <c r="C51" s="5" t="inlineStr">
        <is>
          <t>집계</t>
        </is>
      </c>
      <c r="D51" s="4" t="inlineStr">
        <is>
          <t>투자 실행액 (i 는 미회수 대상정산금채권)</t>
        </is>
      </c>
      <c r="E51" s="5" t="inlineStr">
        <is>
          <t>기간집계 B44</t>
        </is>
      </c>
      <c r="F51" s="5" t="inlineStr">
        <is>
          <t>dm_0901/symbol_rule_0901.md</t>
        </is>
      </c>
    </row>
    <row r="52">
      <c r="A52" s="2" t="n">
        <v>12</v>
      </c>
      <c r="B52" s="3" t="inlineStr">
        <is>
          <t>wD</t>
        </is>
      </c>
      <c r="C52" s="5" t="inlineStr">
        <is>
          <t>집계</t>
        </is>
      </c>
      <c r="D52" s="4" t="inlineStr">
        <is>
          <t>가중평균 금융일수 = Σ(Ai x Di) / Σ Ai</t>
        </is>
      </c>
      <c r="E52" s="5" t="inlineStr">
        <is>
          <t>기간집계 B41 · B42</t>
        </is>
      </c>
      <c r="F52" s="5" t="inlineStr">
        <is>
          <t>dm_0901/symbol_rule_0901.md</t>
        </is>
      </c>
    </row>
    <row r="53">
      <c r="A53" s="2" t="n">
        <v>13</v>
      </c>
      <c r="B53" s="3" t="inlineStr">
        <is>
          <t>EC</t>
        </is>
      </c>
      <c r="C53" s="5" t="inlineStr">
        <is>
          <t>집계</t>
        </is>
      </c>
      <c r="D53" s="4" t="inlineStr">
        <is>
          <t>순현금</t>
        </is>
      </c>
      <c r="E53" s="5" t="inlineStr">
        <is>
          <t>입력 C8 · 일별 J열</t>
        </is>
      </c>
      <c r="F53" s="5" t="inlineStr">
        <is>
          <t>dm_0901/symbol_rule_0901.md</t>
        </is>
      </c>
    </row>
    <row r="54">
      <c r="A54" s="2" t="n">
        <v>14</v>
      </c>
      <c r="B54" s="3" t="inlineStr">
        <is>
          <t>Σ Ai + EC</t>
        </is>
      </c>
      <c r="C54" s="5" t="inlineStr">
        <is>
          <t>집계</t>
        </is>
      </c>
      <c r="D54" s="4" t="inlineStr">
        <is>
          <t>투자자산</t>
        </is>
      </c>
      <c r="E54" s="5" t="inlineStr">
        <is>
          <t>기간집계 B46</t>
        </is>
      </c>
      <c r="F54" s="5" t="inlineStr">
        <is>
          <t>dm_0901/symbol_rule_0901.md</t>
        </is>
      </c>
    </row>
    <row r="55">
      <c r="A55" s="2" t="n">
        <v>15</v>
      </c>
      <c r="B55" s="3" t="inlineStr">
        <is>
          <t>LR</t>
        </is>
      </c>
      <c r="C55" s="5" t="inlineStr">
        <is>
          <t>집계</t>
        </is>
      </c>
      <c r="D55" s="4" t="inlineStr">
        <is>
          <t>입금부족률 = Σ Li / Σ Ai (i 는 선정산일 d-20 ~ d-11)</t>
        </is>
      </c>
      <c r="E55" s="5" t="inlineStr">
        <is>
          <t>기간집계 B51 · 채권 T열</t>
        </is>
      </c>
      <c r="F55" s="5" t="inlineStr">
        <is>
          <t>dm_0901/symbol_rule_0901.md</t>
        </is>
      </c>
    </row>
    <row r="56">
      <c r="A56" s="2" t="n">
        <v>16</v>
      </c>
      <c r="B56" s="3" t="inlineStr">
        <is>
          <t>Yr</t>
        </is>
      </c>
      <c r="C56" s="5" t="inlineStr">
        <is>
          <t>집계</t>
        </is>
      </c>
      <c r="D56" s="4" t="inlineStr">
        <is>
          <t>예상 연환산 수익률 = r x 365 / wD</t>
        </is>
      </c>
      <c r="E56" s="5" t="inlineStr">
        <is>
          <t>기간집계 B43</t>
        </is>
      </c>
      <c r="F56" s="5" t="inlineStr">
        <is>
          <t>dm_0901/symbol_rule_0901.md</t>
        </is>
      </c>
    </row>
    <row r="57">
      <c r="A57" s="2" t="n">
        <v>17</v>
      </c>
      <c r="B57" s="3" t="inlineStr">
        <is>
          <t>P</t>
        </is>
      </c>
      <c r="C57" s="5" t="inlineStr">
        <is>
          <t>범위</t>
        </is>
      </c>
      <c r="D57" s="4" t="inlineStr">
        <is>
          <t>기간. 정산예정일이 고른 기간에 드는 것들</t>
        </is>
      </c>
      <c r="E57" s="5" t="inlineStr">
        <is>
          <t>기간집계 2~29행</t>
        </is>
      </c>
      <c r="F57" s="5" t="inlineStr">
        <is>
          <t>dm_0901/symbol_rule_0901.md</t>
        </is>
      </c>
    </row>
    <row r="58">
      <c r="A58" s="2" t="n">
        <v>18</v>
      </c>
      <c r="B58" s="3" t="inlineStr">
        <is>
          <t>d-1</t>
        </is>
      </c>
      <c r="C58" s="5" t="inlineStr">
        <is>
          <t>범위</t>
        </is>
      </c>
      <c r="D58" s="4" t="inlineStr">
        <is>
          <t>하루. 정산예정일이 그 날인 대상정산금채권. 날짜가 아니라 조건이다</t>
        </is>
      </c>
      <c r="E58" s="5" t="inlineStr">
        <is>
          <t>일별 시트 한 줄</t>
        </is>
      </c>
      <c r="F58" s="5" t="inlineStr">
        <is>
          <t>dm_0901/symbol_rule_0901.md</t>
        </is>
      </c>
    </row>
    <row r="59">
      <c r="A59" s="2" t="n">
        <v>19</v>
      </c>
      <c r="B59" s="3" t="inlineStr">
        <is>
          <t>B(d-1)</t>
        </is>
      </c>
      <c r="C59" s="5" t="inlineStr">
        <is>
          <t>집계</t>
        </is>
      </c>
      <c r="D59" s="4" t="inlineStr">
        <is>
          <t>하루 상환액 = Σ Bi (i ∈ d-1)</t>
        </is>
      </c>
      <c r="E59" s="5" t="inlineStr">
        <is>
          <t>일별 C열</t>
        </is>
      </c>
      <c r="F59" s="5" t="inlineStr">
        <is>
          <t>dm_0901/symbol_rule_0901.md</t>
        </is>
      </c>
    </row>
    <row r="60">
      <c r="A60" s="2" t="n">
        <v>20</v>
      </c>
      <c r="B60" s="3" t="inlineStr">
        <is>
          <t>A(d-1)</t>
        </is>
      </c>
      <c r="C60" s="5" t="inlineStr">
        <is>
          <t>집계</t>
        </is>
      </c>
      <c r="D60" s="4" t="inlineStr">
        <is>
          <t>하루 투자실행금 = Σ Ai (i ∈ d-1)</t>
        </is>
      </c>
      <c r="E60" s="5" t="inlineStr">
        <is>
          <t>일별 D열</t>
        </is>
      </c>
      <c r="F60" s="5" t="inlineStr">
        <is>
          <t>dm_0901/symbol_rule_0901.md</t>
        </is>
      </c>
    </row>
    <row r="61">
      <c r="A61" s="2" t="n">
        <v>21</v>
      </c>
      <c r="B61" s="3" t="inlineStr">
        <is>
          <t>M(d-1)</t>
        </is>
      </c>
      <c r="C61" s="5" t="inlineStr">
        <is>
          <t>집계</t>
        </is>
      </c>
      <c r="D61" s="4" t="inlineStr">
        <is>
          <t>하루 투자수익 = Σ Mi (i ∈ d-1)</t>
        </is>
      </c>
      <c r="E61" s="5" t="inlineStr">
        <is>
          <t>일별 E열</t>
        </is>
      </c>
      <c r="F61" s="5" t="inlineStr">
        <is>
          <t>dm_0901/symbol_rule_0901.md</t>
        </is>
      </c>
    </row>
    <row r="62">
      <c r="A62" s="2" t="n">
        <v>22</v>
      </c>
      <c r="B62" s="3" t="inlineStr">
        <is>
          <t>MR(d-1)</t>
        </is>
      </c>
      <c r="C62" s="5" t="inlineStr">
        <is>
          <t>집계</t>
        </is>
      </c>
      <c r="D62" s="4" t="inlineStr">
        <is>
          <t>하루 투자수익율 = M(d-1) / A(d-1)</t>
        </is>
      </c>
      <c r="E62" s="5" t="inlineStr">
        <is>
          <t>일별 G열</t>
        </is>
      </c>
      <c r="F62" s="5" t="inlineStr">
        <is>
          <t>dm_0901/symbol_rule_0901.md</t>
        </is>
      </c>
    </row>
    <row r="63">
      <c r="A63" s="2" t="n">
        <v>23</v>
      </c>
      <c r="B63" s="3" t="inlineStr">
        <is>
          <t>wD(d-1)</t>
        </is>
      </c>
      <c r="C63" s="5" t="inlineStr">
        <is>
          <t>집계</t>
        </is>
      </c>
      <c r="D63" s="4" t="inlineStr">
        <is>
          <t>하루 가중평균 금융일수 = Σ(Ai x Di) / A(d-1)</t>
        </is>
      </c>
      <c r="E63" s="5" t="inlineStr">
        <is>
          <t>일별 H열</t>
        </is>
      </c>
      <c r="F63" s="5" t="inlineStr">
        <is>
          <t>dm_0901/symbol_rule_0901.md</t>
        </is>
      </c>
    </row>
    <row r="64">
      <c r="A64" s="2" t="n">
        <v>24</v>
      </c>
      <c r="B64" s="3" t="inlineStr">
        <is>
          <t>YMR(d-1)</t>
        </is>
      </c>
      <c r="C64" s="5" t="inlineStr">
        <is>
          <t>집계</t>
        </is>
      </c>
      <c r="D64" s="4" t="inlineStr">
        <is>
          <t>일별 연환산 수익률 = MR(d-1) x 365 / wD(d-1)</t>
        </is>
      </c>
      <c r="E64" s="5" t="inlineStr">
        <is>
          <t>일별 I열</t>
        </is>
      </c>
      <c r="F64" s="5" t="inlineStr">
        <is>
          <t>dm_0901/symbol_rule_0901.md</t>
        </is>
      </c>
    </row>
    <row r="65">
      <c r="A65" s="2" t="n">
        <v>25</v>
      </c>
      <c r="B65" s="3" t="inlineStr">
        <is>
          <t>EC(d-1)</t>
        </is>
      </c>
      <c r="C65" s="5" t="inlineStr">
        <is>
          <t>집계</t>
        </is>
      </c>
      <c r="D65" s="4" t="inlineStr">
        <is>
          <t>하루 순현금</t>
        </is>
      </c>
      <c r="E65" s="5" t="inlineStr">
        <is>
          <t>일별 J열</t>
        </is>
      </c>
      <c r="F65" s="5" t="inlineStr">
        <is>
          <t>dm_0901/symbol_rule_0901.md</t>
        </is>
      </c>
    </row>
    <row r="66">
      <c r="A66" s="2" t="n">
        <v>26</v>
      </c>
      <c r="B66" s="3" t="inlineStr">
        <is>
          <t>PA</t>
        </is>
      </c>
      <c r="C66" s="5" t="inlineStr">
        <is>
          <t>집계</t>
        </is>
      </c>
      <c r="D66" s="4" t="inlineStr">
        <is>
          <t>기간 투자실행금 = Σ A(d-1)</t>
        </is>
      </c>
      <c r="E66" s="5" t="inlineStr">
        <is>
          <t>기간집계 B5</t>
        </is>
      </c>
      <c r="F66" s="5" t="inlineStr">
        <is>
          <t>dm_0901/symbol_rule_0901.md</t>
        </is>
      </c>
    </row>
    <row r="67">
      <c r="A67" s="2" t="n">
        <v>27</v>
      </c>
      <c r="B67" s="3" t="inlineStr">
        <is>
          <t>PB</t>
        </is>
      </c>
      <c r="C67" s="5" t="inlineStr">
        <is>
          <t>집계</t>
        </is>
      </c>
      <c r="D67" s="4" t="inlineStr">
        <is>
          <t>기간 상환액 = Σ B(d-1)</t>
        </is>
      </c>
      <c r="E67" s="5" t="inlineStr">
        <is>
          <t>기간집계 B8</t>
        </is>
      </c>
      <c r="F67" s="5" t="inlineStr">
        <is>
          <t>dm_0901/symbol_rule_0901.md</t>
        </is>
      </c>
    </row>
    <row r="68">
      <c r="A68" s="2" t="n">
        <v>28</v>
      </c>
      <c r="B68" s="3" t="inlineStr">
        <is>
          <t>PM</t>
        </is>
      </c>
      <c r="C68" s="5" t="inlineStr">
        <is>
          <t>집계</t>
        </is>
      </c>
      <c r="D68" s="4" t="inlineStr">
        <is>
          <t>기간 투자수익 = Σ M(d-1)</t>
        </is>
      </c>
      <c r="E68" s="5" t="inlineStr">
        <is>
          <t>기간집계 B6</t>
        </is>
      </c>
      <c r="F68" s="5" t="inlineStr">
        <is>
          <t>dm_0901/symbol_rule_0901.md</t>
        </is>
      </c>
    </row>
    <row r="69">
      <c r="A69" s="2" t="n">
        <v>29</v>
      </c>
      <c r="B69" s="3" t="inlineStr">
        <is>
          <t>PMR</t>
        </is>
      </c>
      <c r="C69" s="5" t="inlineStr">
        <is>
          <t>집계</t>
        </is>
      </c>
      <c r="D69" s="4" t="inlineStr">
        <is>
          <t>기간 투자수익율 = PM / PA</t>
        </is>
      </c>
      <c r="E69" s="5" t="inlineStr">
        <is>
          <t>기간집계 B10</t>
        </is>
      </c>
      <c r="F69" s="5" t="inlineStr">
        <is>
          <t>dm_0901/symbol_rule_0901.md</t>
        </is>
      </c>
    </row>
    <row r="70">
      <c r="A70" s="2" t="n">
        <v>30</v>
      </c>
      <c r="B70" s="3" t="inlineStr">
        <is>
          <t>PwD</t>
        </is>
      </c>
      <c r="C70" s="5" t="inlineStr">
        <is>
          <t>집계</t>
        </is>
      </c>
      <c r="D70" s="4" t="inlineStr">
        <is>
          <t>기간 가중평균 금융일수 = Σ(Ai x Di) / PA (i ∈ P)</t>
        </is>
      </c>
      <c r="E70" s="5" t="inlineStr">
        <is>
          <t>기간집계 B12</t>
        </is>
      </c>
      <c r="F70" s="5" t="inlineStr">
        <is>
          <t>dm_0901/symbol_rule_0901.md</t>
        </is>
      </c>
    </row>
    <row r="71">
      <c r="A71" s="2" t="n">
        <v>31</v>
      </c>
      <c r="B71" s="3" t="inlineStr">
        <is>
          <t>PEC</t>
        </is>
      </c>
      <c r="C71" s="5" t="inlineStr">
        <is>
          <t>집계</t>
        </is>
      </c>
      <c r="D71" s="4" t="inlineStr">
        <is>
          <t>기간 순현금 = Σ EC(d-1)</t>
        </is>
      </c>
      <c r="E71" s="5" t="inlineStr">
        <is>
          <t>기간집계 B15</t>
        </is>
      </c>
      <c r="F71" s="5" t="inlineStr">
        <is>
          <t>dm_0901/symbol_rule_0901.md</t>
        </is>
      </c>
    </row>
    <row r="72">
      <c r="A72" s="2" t="n">
        <v>32</v>
      </c>
      <c r="B72" s="3" t="inlineStr">
        <is>
          <t>PYMR</t>
        </is>
      </c>
      <c r="C72" s="5" t="inlineStr">
        <is>
          <t>집계</t>
        </is>
      </c>
      <c r="D72" s="4" t="inlineStr">
        <is>
          <t>투자실행금액 대비 연환산 수익률(④) = PMR x 365 / PwD</t>
        </is>
      </c>
      <c r="E72" s="5" t="inlineStr">
        <is>
          <t>기간집계 B13</t>
        </is>
      </c>
      <c r="F72" s="5" t="inlineStr">
        <is>
          <t>dm_0901/symbol_rule_0901.md</t>
        </is>
      </c>
    </row>
    <row r="73">
      <c r="A73" s="2" t="n">
        <v>33</v>
      </c>
      <c r="B73" s="3" t="inlineStr">
        <is>
          <t>wPYMR</t>
        </is>
      </c>
      <c r="C73" s="5" t="inlineStr">
        <is>
          <t>집계</t>
        </is>
      </c>
      <c r="D73" s="4" t="inlineStr">
        <is>
          <t>투자 자산 대비 연환산 수익률(⑤) = PM x 365 / (Σ(Ai x Di) + PEC) = PYMR x Σ(Ai x Di) / (Σ(Ai x Di) + PEC)</t>
        </is>
      </c>
      <c r="E73" s="5" t="inlineStr">
        <is>
          <t>기간집계 B17 ← 입력 C19</t>
        </is>
      </c>
      <c r="F73" s="5" t="inlineStr">
        <is>
          <t>dm_0901/symbol_rule_0901.md</t>
        </is>
      </c>
    </row>
    <row r="74">
      <c r="A74" s="2" t="n">
        <v>34</v>
      </c>
      <c r="B74" s="3" t="inlineStr">
        <is>
          <t>원문 표기</t>
        </is>
      </c>
      <c r="C74" s="5" t="inlineStr">
        <is>
          <t>인용</t>
        </is>
      </c>
      <c r="D74" s="4" t="inlineStr">
        <is>
          <t>대표 정의서 원문은 옛 표기를 쓴다. 인용이라 그대로 둔다</t>
        </is>
      </c>
      <c r="E74" s="5" t="inlineStr">
        <is>
          <t>산식 B열</t>
        </is>
      </c>
      <c r="F74" s="5" t="inlineStr">
        <is>
          <t>dm_0901/symbol_rule_0901.md</t>
        </is>
      </c>
    </row>
    <row r="76" ht="30" customHeight="1">
      <c r="A76" s="11" t="inlineStr">
        <is>
          <t>#</t>
        </is>
      </c>
      <c r="B76" s="11" t="inlineStr">
        <is>
          <t>DM 시각</t>
        </is>
      </c>
      <c r="C76" s="11" t="inlineStr">
        <is>
          <t>대표 원문</t>
        </is>
      </c>
      <c r="D76" s="11" t="inlineStr">
        <is>
          <t>이 통합문서의 자리</t>
        </is>
      </c>
      <c r="E76" s="11" t="inlineStr">
        <is>
          <t>이 통합문서의 값</t>
        </is>
      </c>
    </row>
    <row r="77">
      <c r="A77" s="2" t="n">
        <v>1</v>
      </c>
      <c r="B77" s="3" t="inlineStr">
        <is>
          <t>2026-08-31 16:45</t>
        </is>
      </c>
      <c r="C77" s="4" t="inlineStr">
        <is>
          <t>ty수익률이 위는 할인율, 아래는 투자수익률 smr인 이유는 위는 예상치 아래는 실제 결과치라서 실제로 얻은 수익률(할인율)을 나타내는 것.</t>
        </is>
      </c>
      <c r="D77" s="4" t="inlineStr">
        <is>
          <t>위 = 기간집계 B43 Ty수익율(할인율 기준 예상치) · 아래 = 기간집계 B10 PMR(실적치)</t>
        </is>
      </c>
      <c r="E77" s="5" t="inlineStr"/>
    </row>
    <row r="78">
      <c r="A78" s="2" t="n">
        <v>2</v>
      </c>
      <c r="B78" s="3" t="inlineStr">
        <is>
          <t>2026-08-31 16:45</t>
        </is>
      </c>
      <c r="C78" s="4" t="inlineStr">
        <is>
          <t>투자수익률은 할인율 -max(0, 미지급금-과지급금)/투자실행액 이므로 미지급-과지급이 0이면 할인율이 되므로 같다.</t>
        </is>
      </c>
      <c r="D78" s="4" t="inlineStr">
        <is>
          <t>기간집계 B22 (가) 대표 근사식(%) · B23 (나) 원식 PMR(%) · B24 차 · B25 실측 갈림 배수 · B26 이론 1/(1-할인율) · B27 차감합 · B28·B29 차감합 0 일 때 두 값. 두 식은 분모가 달라 갈린다 — 어느 쪽이 정본인지는 대표 확인 대기</t>
        </is>
      </c>
      <c r="E78" s="13">
        <f>기간집계!B24</f>
        <v/>
      </c>
    </row>
    <row r="79">
      <c r="A79" s="2" t="n">
        <v>3</v>
      </c>
      <c r="B79" s="3" t="inlineStr">
        <is>
          <t>2026-08-31 16:27</t>
        </is>
      </c>
      <c r="C79" s="4" t="inlineStr">
        <is>
          <t>365를 w 금융일수로 나누면 1년동안 몇 번 굴릴 수 있는가 =&gt; 여기에 수익률(할인율) 곱하면 이게 ty 수익률이다.</t>
        </is>
      </c>
      <c r="D79" s="4" t="inlineStr">
        <is>
          <t>기간집계 B57 1년 회전수 · B58 Ty 연 환산</t>
        </is>
      </c>
      <c r="E79" s="5" t="inlineStr"/>
    </row>
    <row r="80">
      <c r="A80" s="2" t="n">
        <v>4</v>
      </c>
      <c r="B80" s="3" t="inlineStr">
        <is>
          <t>2026-08-31 16:27</t>
        </is>
      </c>
      <c r="C80" s="4" t="inlineStr">
        <is>
          <t>2. ty 수익률 → 일 환산 수익률</t>
        </is>
      </c>
      <c r="D80" s="4" t="inlineStr">
        <is>
          <t>기간집계 B59 Ty 일 환산 · B60 검산(일 환산 x 365 - 연 환산)</t>
        </is>
      </c>
      <c r="E80" s="13">
        <f>기간집계!B60</f>
        <v/>
      </c>
    </row>
    <row r="81">
      <c r="A81" s="2" t="n">
        <v>5</v>
      </c>
      <c r="B81" s="3" t="inlineStr">
        <is>
          <t>2026-08-31 16:19</t>
        </is>
      </c>
      <c r="C81" s="4" t="inlineStr">
        <is>
          <t>(가맹점에서 채권을 사올 때는 1%를 떼고 사오므로)</t>
        </is>
      </c>
      <c r="D81" s="4" t="inlineStr">
        <is>
          <t>요율 미확정 (C1). 입력 C2 할인율은 ledger_facts.json rate 그대로다. 1% 를 이 통합문서 어디에도 넣지 않았다</t>
        </is>
      </c>
      <c r="E81" s="5" t="inlineStr"/>
    </row>
    <row r="82">
      <c r="A82" s="2" t="n">
        <v>6</v>
      </c>
      <c r="B82" s="3" t="inlineStr">
        <is>
          <t>2026-08-31 16:19</t>
        </is>
      </c>
      <c r="C82" s="4" t="inlineStr">
        <is>
          <t>실제로는 이 금액보다 선정산 실행액이 작다.</t>
        </is>
      </c>
      <c r="D82" s="4" t="inlineStr">
        <is>
          <t>같은 자리 — 선정산 제외액 · 이체/플랫폼 수수료는 이 통합문서 모집단 밖이다</t>
        </is>
      </c>
      <c r="E8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4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6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8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8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12" t="n">
        <v>0.2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8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8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8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어제 마감</t>
        </is>
      </c>
      <c r="C10" s="15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5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5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5">
        <f>C10</f>
        <v/>
      </c>
      <c r="D13" s="5" t="inlineStr">
        <is>
          <t>날짜</t>
        </is>
      </c>
      <c r="E13" s="5" t="inlineStr">
        <is>
          <t>어제 마감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5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5">
        <f>C10</f>
        <v/>
      </c>
      <c r="D15" s="5" t="inlineStr">
        <is>
          <t>날짜</t>
        </is>
      </c>
      <c r="E15" s="5" t="inlineStr">
        <is>
          <t>어제 마감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5">
        <f>C10+1-20</f>
        <v/>
      </c>
      <c r="D16" s="5" t="inlineStr">
        <is>
          <t>날짜</t>
        </is>
      </c>
      <c r="E16" s="5" t="inlineStr">
        <is>
          <t>ceo_definitions.md 표본집합 d-20 (d = 오늘 = 어제 마감 + 1)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5">
        <f>C10+1-11</f>
        <v/>
      </c>
      <c r="D17" s="5" t="inlineStr">
        <is>
          <t>날짜</t>
        </is>
      </c>
      <c r="E17" s="5" t="inlineStr">
        <is>
          <t>ceo_definitions.md 표본집합 d-11 (d = 오늘 = 어제 마감 + 1)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8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6">
        <f>IF(기간집계!B9+기간집계!B15=0,0,ROUND(기간집계!B13*기간집계!B9/(기간집계!B9+기간집계!B15),6))</f>
        <v/>
      </c>
      <c r="D19" s="5" t="inlineStr">
        <is>
          <t>%</t>
        </is>
      </c>
      <c r="E19" s="5" t="inlineStr">
        <is>
          <t>⑤ = PM x 365 / (Σ(Ai x Di) + PEC) · daily_ledger.TY5_EXPR — 이 칸 하나만 갈아 끼우면 기간집계 ⑤ 와 ⑥ 이 따라온다. 대표 확인 대기 (A-01)</t>
        </is>
      </c>
    </row>
    <row r="21" ht="30" customHeight="1">
      <c r="A21" s="11" t="inlineStr">
        <is>
          <t>스위치</t>
        </is>
      </c>
      <c r="B21" s="11" t="inlineStr">
        <is>
          <t>선택</t>
        </is>
      </c>
      <c r="C21" s="11" t="inlineStr">
        <is>
          <t>선택지</t>
        </is>
      </c>
      <c r="D21" s="11" t="inlineStr">
        <is>
          <t>산출 위치</t>
        </is>
      </c>
    </row>
    <row r="22">
      <c r="A22" s="3" t="inlineStr">
        <is>
          <t>① W금융일수 모집단</t>
        </is>
      </c>
      <c r="B22" s="13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B41</t>
        </is>
      </c>
    </row>
    <row r="23">
      <c r="A23" s="3" t="inlineStr">
        <is>
          <t>② W 표기 자릿수</t>
        </is>
      </c>
      <c r="B23" s="13" t="n">
        <v>2</v>
      </c>
      <c r="C23" s="5" t="inlineStr">
        <is>
          <t>1 / 2</t>
        </is>
      </c>
      <c r="D23" s="5" t="inlineStr">
        <is>
          <t>기간집계 B42</t>
        </is>
      </c>
    </row>
    <row r="24">
      <c r="A24" s="3" t="inlineStr">
        <is>
          <t>③ 가맹점 수</t>
        </is>
      </c>
      <c r="B24" s="13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3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11" t="inlineStr">
        <is>
          <t>코드</t>
        </is>
      </c>
      <c r="B27" s="11" t="inlineStr">
        <is>
          <t>플랫폼</t>
        </is>
      </c>
      <c r="C27" s="11" t="inlineStr">
        <is>
          <t>구성비 (입력)</t>
        </is>
      </c>
      <c r="D27" s="11" t="inlineStr">
        <is>
          <t>미지급률</t>
        </is>
      </c>
      <c r="E27" s="11" t="inlineStr">
        <is>
          <t>과지급률</t>
        </is>
      </c>
      <c r="F27" s="11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4" t="n">
        <v>0.4283444298440191</v>
      </c>
      <c r="D28" s="9" t="n">
        <v>0.00025</v>
      </c>
      <c r="E28" s="9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4" t="n">
        <v>0.4310079297740158</v>
      </c>
      <c r="D29" s="9" t="n">
        <v>0.0014</v>
      </c>
      <c r="E29" s="9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4" t="n">
        <v>0.09552164283461166</v>
      </c>
      <c r="D30" s="9" t="n">
        <v>0.0021</v>
      </c>
      <c r="E30" s="9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4" t="n">
        <v>0.04512599754735346</v>
      </c>
      <c r="D31" s="9" t="n">
        <v>0.003</v>
      </c>
      <c r="E31" s="9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6">
        <f>SUM(C28:C31)</f>
        <v/>
      </c>
    </row>
    <row r="34" ht="30" customHeight="1">
      <c r="A34" s="11" t="inlineStr">
        <is>
          <t>플랫폼</t>
        </is>
      </c>
      <c r="B34" s="11" t="inlineStr">
        <is>
          <t>하루 순지급액(원)</t>
        </is>
      </c>
      <c r="C34" s="11" t="inlineStr">
        <is>
          <t>구성비</t>
        </is>
      </c>
      <c r="D34" s="11" t="inlineStr">
        <is>
          <t>배달 3사 내부 배분</t>
        </is>
      </c>
      <c r="E34" s="11" t="inlineStr">
        <is>
          <t>출처</t>
        </is>
      </c>
    </row>
    <row r="35">
      <c r="A35" s="3" t="inlineStr">
        <is>
          <t>카드사</t>
        </is>
      </c>
      <c r="B35" s="8" t="n">
        <v>253935</v>
      </c>
      <c r="C35" s="17">
        <f>B35/$B$39</f>
        <v/>
      </c>
      <c r="D35" s="17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8" t="n">
        <v>255514</v>
      </c>
      <c r="C36" s="17">
        <f>B36/$B$39</f>
        <v/>
      </c>
      <c r="D36" s="17">
        <f>B36/$B$40</f>
        <v/>
      </c>
      <c r="E36" s="5" t="inlineStr"/>
    </row>
    <row r="37">
      <c r="A37" s="3" t="inlineStr">
        <is>
          <t>쿠팡이츠</t>
        </is>
      </c>
      <c r="B37" s="8" t="n">
        <v>56628</v>
      </c>
      <c r="C37" s="17">
        <f>B37/$B$39</f>
        <v/>
      </c>
      <c r="D37" s="17">
        <f>B37/$B$40</f>
        <v/>
      </c>
      <c r="E37" s="5" t="inlineStr"/>
    </row>
    <row r="38">
      <c r="A38" s="3" t="inlineStr">
        <is>
          <t>요기요</t>
        </is>
      </c>
      <c r="B38" s="8" t="n">
        <v>26752</v>
      </c>
      <c r="C38" s="17">
        <f>B38/$B$39</f>
        <v/>
      </c>
      <c r="D38" s="17">
        <f>B38/$B$40</f>
        <v/>
      </c>
      <c r="E38" s="5" t="inlineStr"/>
    </row>
    <row r="39">
      <c r="A39" s="3" t="inlineStr">
        <is>
          <t>합계</t>
        </is>
      </c>
      <c r="B39" s="18">
        <f>SUM(B35:B38)</f>
        <v/>
      </c>
      <c r="C39" s="19">
        <f>SUM(C35:C38)</f>
        <v/>
      </c>
    </row>
    <row r="40">
      <c r="A40" s="3" t="inlineStr">
        <is>
          <t>배달 3사 합</t>
        </is>
      </c>
      <c r="B40" s="18">
        <f>SUM(B36:B38)</f>
        <v/>
      </c>
      <c r="C40" s="19">
        <f>B40/B39</f>
        <v/>
      </c>
      <c r="D40" s="19">
        <f>SUM(D36:D38)</f>
        <v/>
      </c>
      <c r="E40" s="5" t="inlineStr">
        <is>
          <t>배달앱/전체 (금액 실측)</t>
        </is>
      </c>
    </row>
    <row r="42" ht="30" customHeight="1">
      <c r="A42" s="11" t="inlineStr">
        <is>
          <t>배달앱</t>
        </is>
      </c>
      <c r="B42" s="11" t="inlineStr">
        <is>
          <t>MAU</t>
        </is>
      </c>
      <c r="C42" s="11" t="inlineStr">
        <is>
          <t>배달 3사 내부 배분</t>
        </is>
      </c>
      <c r="D42" s="11" t="inlineStr">
        <is>
          <t>출처</t>
        </is>
      </c>
    </row>
    <row r="43">
      <c r="A43" s="3" t="inlineStr">
        <is>
          <t>배민</t>
        </is>
      </c>
      <c r="B43" s="8" t="n">
        <v>2175</v>
      </c>
      <c r="C43" s="17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8" t="n">
        <v>1044</v>
      </c>
      <c r="C44" s="17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8" t="n">
        <v>486</v>
      </c>
      <c r="C45" s="17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8">
        <f>SUM(B43:B45)</f>
        <v/>
      </c>
      <c r="C46" s="19">
        <f>SUM(C43:C45)</f>
        <v/>
      </c>
    </row>
    <row r="47">
      <c r="A47" s="3" t="inlineStr">
        <is>
          <t>배달앱/전체</t>
        </is>
      </c>
      <c r="B47" s="14" t="n">
        <v>0.35</v>
      </c>
      <c r="C47" s="17">
        <f>1-B47</f>
        <v/>
      </c>
      <c r="D47" s="5" t="inlineStr">
        <is>
          <t>정산주기.xlsx 비중 H5 — 카드 = 1 - 이 값</t>
        </is>
      </c>
    </row>
    <row r="49" ht="30" customHeight="1">
      <c r="A49" s="11" t="inlineStr">
        <is>
          <t>순번</t>
        </is>
      </c>
      <c r="B49" s="11" t="inlineStr">
        <is>
          <t>사업자ID</t>
        </is>
      </c>
      <c r="C49" s="11" t="inlineStr">
        <is>
          <t>상호</t>
        </is>
      </c>
      <c r="D49" s="11" t="inlineStr">
        <is>
          <t>업종</t>
        </is>
      </c>
      <c r="E49" s="11" t="inlineStr">
        <is>
          <t>품목</t>
        </is>
      </c>
      <c r="F49" s="11" t="inlineStr">
        <is>
          <t>계약일</t>
        </is>
      </c>
      <c r="G49" s="11" t="inlineStr">
        <is>
          <t>flow 하루 선정산액</t>
        </is>
      </c>
      <c r="H49" s="11" t="inlineStr">
        <is>
          <t>배달 의존도 b</t>
        </is>
      </c>
      <c r="I49" s="11" t="inlineStr">
        <is>
          <t>하루 선정산액(방향 B)</t>
        </is>
      </c>
      <c r="J49" s="11" t="inlineStr">
        <is>
          <t>계약 상태</t>
        </is>
      </c>
      <c r="K49" s="11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20" t="n">
        <v>46027</v>
      </c>
      <c r="G50" s="8" t="n">
        <v>6400000</v>
      </c>
      <c r="H50" s="14" t="n">
        <v>0.560709608609734</v>
      </c>
      <c r="I50" s="8" t="n">
        <v>6400000</v>
      </c>
      <c r="J50" s="13" t="inlineStr">
        <is>
          <t>서명 대기</t>
        </is>
      </c>
      <c r="K50" s="20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20" t="n">
        <v>46066</v>
      </c>
      <c r="G51" s="8" t="n">
        <v>5200000</v>
      </c>
      <c r="H51" s="14" t="n">
        <v>0.8</v>
      </c>
      <c r="I51" s="8" t="n">
        <v>5200000</v>
      </c>
      <c r="J51" s="5" t="inlineStr">
        <is>
          <t>서명 완료</t>
        </is>
      </c>
      <c r="K51" s="20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20" t="n">
        <v>46063</v>
      </c>
      <c r="G52" s="8" t="n">
        <v>3600000</v>
      </c>
      <c r="H52" s="14" t="n">
        <v>0.7</v>
      </c>
      <c r="I52" s="8" t="n">
        <v>3600000</v>
      </c>
      <c r="J52" s="5" t="inlineStr">
        <is>
          <t>서명 완료</t>
        </is>
      </c>
      <c r="K52" s="20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20" t="n">
        <v>46059</v>
      </c>
      <c r="G53" s="8" t="n">
        <v>3000000</v>
      </c>
      <c r="H53" s="14" t="n">
        <v>0.6</v>
      </c>
      <c r="I53" s="8" t="n">
        <v>3000000</v>
      </c>
      <c r="J53" s="5" t="inlineStr">
        <is>
          <t>서명 완료</t>
        </is>
      </c>
      <c r="K53" s="20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20" t="n">
        <v>46031</v>
      </c>
      <c r="G54" s="8" t="n">
        <v>2500000</v>
      </c>
      <c r="H54" s="14" t="n">
        <v>0.46</v>
      </c>
      <c r="I54" s="8" t="n">
        <v>2500000</v>
      </c>
      <c r="J54" s="13" t="inlineStr">
        <is>
          <t>서명 대기</t>
        </is>
      </c>
      <c r="K54" s="20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20" t="n">
        <v>46044</v>
      </c>
      <c r="G55" s="8" t="n">
        <v>2100000</v>
      </c>
      <c r="H55" s="14" t="n">
        <v>0.38</v>
      </c>
      <c r="I55" s="8" t="n">
        <v>2100000</v>
      </c>
      <c r="J55" s="5" t="inlineStr">
        <is>
          <t>서명 완료</t>
        </is>
      </c>
      <c r="K55" s="20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20" t="n">
        <v>46038</v>
      </c>
      <c r="G56" s="8" t="n">
        <v>1900000</v>
      </c>
      <c r="H56" s="14" t="n">
        <v>0.3</v>
      </c>
      <c r="I56" s="8" t="n">
        <v>1900000</v>
      </c>
      <c r="J56" s="13" t="inlineStr">
        <is>
          <t>서명 대기</t>
        </is>
      </c>
      <c r="K56" s="20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20" t="n">
        <v>46055</v>
      </c>
      <c r="G57" s="8" t="n">
        <v>1600000</v>
      </c>
      <c r="H57" s="14" t="n">
        <v>0.28</v>
      </c>
      <c r="I57" s="8" t="n">
        <v>1600000</v>
      </c>
      <c r="J57" s="5" t="inlineStr">
        <is>
          <t>서명 완료</t>
        </is>
      </c>
      <c r="K57" s="20" t="inlineStr"/>
    </row>
    <row r="58">
      <c r="C58" s="3" t="inlineStr">
        <is>
          <t>합계</t>
        </is>
      </c>
      <c r="G58" s="18">
        <f>SUM(G50:G57)</f>
        <v/>
      </c>
      <c r="I58" s="18">
        <f>SUM(I50:I57)</f>
        <v/>
      </c>
      <c r="J58" s="3">
        <f>COUNTIF(J50:J57,"서명 대기")&amp;"건 대기"</f>
        <v/>
      </c>
    </row>
    <row r="60" ht="30" customHeight="1">
      <c r="A60" s="11" t="inlineStr">
        <is>
          <t>프리셋</t>
        </is>
      </c>
      <c r="B60" s="11" t="inlineStr">
        <is>
          <t>집계 단위</t>
        </is>
      </c>
      <c r="C60" s="11" t="inlineStr">
        <is>
          <t>검색대상기간</t>
        </is>
      </c>
      <c r="D60" s="11" t="inlineStr">
        <is>
          <t>시작(수식)</t>
        </is>
      </c>
      <c r="E60" s="11" t="inlineStr">
        <is>
          <t>종료(수식)</t>
        </is>
      </c>
      <c r="F60" s="11" t="inlineStr">
        <is>
          <t>일수</t>
        </is>
      </c>
      <c r="G60" s="11" t="inlineStr">
        <is>
          <t>화면 시작</t>
        </is>
      </c>
      <c r="H60" s="11" t="inlineStr">
        <is>
          <t>화면 종료</t>
        </is>
      </c>
      <c r="I60" s="11" t="inlineStr">
        <is>
          <t>차</t>
        </is>
      </c>
      <c r="J60" s="11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20">
        <f>기준일-6</f>
        <v/>
      </c>
      <c r="E61" s="20">
        <f>기준일</f>
        <v/>
      </c>
      <c r="F61" s="2">
        <f>E61-D61+1</f>
        <v/>
      </c>
      <c r="G61" s="20" t="n">
        <v>46255</v>
      </c>
      <c r="H61" s="20" t="n">
        <v>46261</v>
      </c>
      <c r="I61" s="8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20">
        <f>DATE(YEAR(기준일),MONTH(기준일),1)</f>
        <v/>
      </c>
      <c r="E62" s="20">
        <f>기준일</f>
        <v/>
      </c>
      <c r="F62" s="2">
        <f>E62-D62+1</f>
        <v/>
      </c>
      <c r="G62" s="20" t="n">
        <v>46235</v>
      </c>
      <c r="H62" s="20" t="n">
        <v>46261</v>
      </c>
      <c r="I62" s="8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20">
        <f>기준일-WEEKDAY(기준일,3)-21</f>
        <v/>
      </c>
      <c r="E63" s="20">
        <f>기준일</f>
        <v/>
      </c>
      <c r="F63" s="2">
        <f>E63-D63+1</f>
        <v/>
      </c>
      <c r="G63" s="20" t="n">
        <v>46237</v>
      </c>
      <c r="H63" s="20" t="n">
        <v>46261</v>
      </c>
      <c r="I63" s="8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20">
        <f>기준일-WEEKDAY(기준일,3)-77</f>
        <v/>
      </c>
      <c r="E64" s="20">
        <f>기준일</f>
        <v/>
      </c>
      <c r="F64" s="2">
        <f>E64-D64+1</f>
        <v/>
      </c>
      <c r="G64" s="20" t="n">
        <v>46181</v>
      </c>
      <c r="H64" s="20" t="n">
        <v>46261</v>
      </c>
      <c r="I64" s="8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20">
        <f>DATE(YEAR(기준일),MONTH(기준일)-2,1)</f>
        <v/>
      </c>
      <c r="E65" s="20">
        <f>기준일</f>
        <v/>
      </c>
      <c r="F65" s="2">
        <f>E65-D65+1</f>
        <v/>
      </c>
      <c r="G65" s="20" t="n">
        <v>46174</v>
      </c>
      <c r="H65" s="20" t="n">
        <v>46261</v>
      </c>
      <c r="I65" s="8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20">
        <f>DATE(YEAR(기준일),MONTH(기준일)-5,1)</f>
        <v/>
      </c>
      <c r="E66" s="20">
        <f>기준일</f>
        <v/>
      </c>
      <c r="F66" s="2">
        <f>E66-D66+1</f>
        <v/>
      </c>
      <c r="G66" s="20" t="n">
        <v>46082</v>
      </c>
      <c r="H66" s="20" t="n">
        <v>46261</v>
      </c>
      <c r="I66" s="8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8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8" t="n">
        <v>189</v>
      </c>
      <c r="D2" s="8" t="n">
        <v>53</v>
      </c>
      <c r="E2" s="8" t="n">
        <v>96</v>
      </c>
      <c r="F2" s="8" t="n">
        <v>12</v>
      </c>
      <c r="G2" s="8" t="n">
        <v>4</v>
      </c>
      <c r="H2" s="8" t="n">
        <v>2</v>
      </c>
      <c r="I2" s="8" t="n">
        <v>3</v>
      </c>
      <c r="J2" s="8" t="n">
        <v>3</v>
      </c>
      <c r="K2" s="8" t="n">
        <v>2</v>
      </c>
      <c r="L2" s="8" t="n">
        <v>1</v>
      </c>
      <c r="M2" s="8" t="n">
        <v>0</v>
      </c>
      <c r="N2" s="8" t="n">
        <v>0</v>
      </c>
      <c r="O2" s="8" t="n">
        <v>0</v>
      </c>
      <c r="P2" s="18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8" t="n">
        <v>0</v>
      </c>
      <c r="D3" s="8" t="n">
        <v>138</v>
      </c>
      <c r="E3" s="8" t="n">
        <v>52</v>
      </c>
      <c r="F3" s="8" t="n">
        <v>139</v>
      </c>
      <c r="G3" s="8" t="n">
        <v>18</v>
      </c>
      <c r="H3" s="8" t="n">
        <v>6</v>
      </c>
      <c r="I3" s="8" t="n">
        <v>2</v>
      </c>
      <c r="J3" s="8" t="n">
        <v>2</v>
      </c>
      <c r="K3" s="8" t="n">
        <v>3</v>
      </c>
      <c r="L3" s="8" t="n">
        <v>3</v>
      </c>
      <c r="M3" s="8" t="n">
        <v>2</v>
      </c>
      <c r="N3" s="8" t="n">
        <v>0</v>
      </c>
      <c r="O3" s="8" t="n">
        <v>0</v>
      </c>
      <c r="P3" s="18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8" t="n">
        <v>0</v>
      </c>
      <c r="D4" s="8" t="n">
        <v>0</v>
      </c>
      <c r="E4" s="8" t="n">
        <v>89</v>
      </c>
      <c r="F4" s="8" t="n">
        <v>48</v>
      </c>
      <c r="G4" s="8" t="n">
        <v>177</v>
      </c>
      <c r="H4" s="8" t="n">
        <v>24</v>
      </c>
      <c r="I4" s="8" t="n">
        <v>8</v>
      </c>
      <c r="J4" s="8" t="n">
        <v>4</v>
      </c>
      <c r="K4" s="8" t="n">
        <v>4</v>
      </c>
      <c r="L4" s="8" t="n">
        <v>4</v>
      </c>
      <c r="M4" s="8" t="n">
        <v>3</v>
      </c>
      <c r="N4" s="8" t="n">
        <v>4</v>
      </c>
      <c r="O4" s="8" t="n">
        <v>0</v>
      </c>
      <c r="P4" s="18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8" t="n">
        <v>0</v>
      </c>
      <c r="D5" s="8" t="n">
        <v>0</v>
      </c>
      <c r="E5" s="8" t="n">
        <v>0</v>
      </c>
      <c r="F5" s="8" t="n">
        <v>43</v>
      </c>
      <c r="G5" s="8" t="n">
        <v>43</v>
      </c>
      <c r="H5" s="8" t="n">
        <v>211</v>
      </c>
      <c r="I5" s="8" t="n">
        <v>27</v>
      </c>
      <c r="J5" s="8" t="n">
        <v>13</v>
      </c>
      <c r="K5" s="8" t="n">
        <v>7</v>
      </c>
      <c r="L5" s="8" t="n">
        <v>7</v>
      </c>
      <c r="M5" s="8" t="n">
        <v>3</v>
      </c>
      <c r="N5" s="8" t="n">
        <v>5</v>
      </c>
      <c r="O5" s="8" t="n">
        <v>6</v>
      </c>
      <c r="P5" s="18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8">
        <f>SUM(P2:P5)</f>
        <v/>
      </c>
    </row>
    <row r="8" ht="30" customHeight="1">
      <c r="A8" s="11" t="inlineStr">
        <is>
          <t>코드</t>
        </is>
      </c>
      <c r="B8" s="11" t="inlineStr">
        <is>
          <t>플랫폼</t>
        </is>
      </c>
      <c r="C8" s="11" t="inlineStr">
        <is>
          <t>구성비</t>
        </is>
      </c>
      <c r="D8" s="11" t="inlineStr">
        <is>
          <t>평균 금융일수 E[d]</t>
        </is>
      </c>
      <c r="E8" s="11" t="inlineStr">
        <is>
          <t>E[d²]</t>
        </is>
      </c>
      <c r="F8" s="11" t="inlineStr">
        <is>
          <t>E[d²]/E[d]</t>
        </is>
      </c>
      <c r="G8" s="11" t="inlineStr">
        <is>
          <t>미지급률</t>
        </is>
      </c>
      <c r="H8" s="11" t="inlineStr">
        <is>
          <t>과지급률</t>
        </is>
      </c>
      <c r="I8" s="11" t="inlineStr">
        <is>
          <t>미지급-과지급</t>
        </is>
      </c>
      <c r="J8" s="11" t="inlineStr">
        <is>
          <t>대표 엑셀 평균</t>
        </is>
      </c>
      <c r="K8" s="11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7">
        <f>INDEX(구성비범위,1)</f>
        <v/>
      </c>
      <c r="D9" s="17">
        <f>Q2/P2</f>
        <v/>
      </c>
      <c r="E9" s="17">
        <f>R2/P2</f>
        <v/>
      </c>
      <c r="F9" s="10">
        <f>E9/D9</f>
        <v/>
      </c>
      <c r="G9" s="10">
        <f>INDEX(미지급률범위,1)</f>
        <v/>
      </c>
      <c r="H9" s="10">
        <f>INDEX(과지급률범위,1)</f>
        <v/>
      </c>
      <c r="I9" s="10">
        <f>G9-H9</f>
        <v/>
      </c>
      <c r="J9" s="17" t="n">
        <v>2.016438356164384</v>
      </c>
      <c r="K9" s="21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7">
        <f>INDEX(구성비범위,2)</f>
        <v/>
      </c>
      <c r="D10" s="17">
        <f>Q3/P3</f>
        <v/>
      </c>
      <c r="E10" s="17">
        <f>R3/P3</f>
        <v/>
      </c>
      <c r="F10" s="10">
        <f>E10/D10</f>
        <v/>
      </c>
      <c r="G10" s="10">
        <f>INDEX(미지급률범위,2)</f>
        <v/>
      </c>
      <c r="H10" s="10">
        <f>INDEX(과지급률범위,2)</f>
        <v/>
      </c>
      <c r="I10" s="10">
        <f>G10-H10</f>
        <v/>
      </c>
      <c r="J10" s="17" t="n">
        <v>3.350684931506849</v>
      </c>
      <c r="K10" s="21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7">
        <f>INDEX(구성비범위,3)</f>
        <v/>
      </c>
      <c r="D11" s="17">
        <f>Q4/P4</f>
        <v/>
      </c>
      <c r="E11" s="17">
        <f>R4/P4</f>
        <v/>
      </c>
      <c r="F11" s="10">
        <f>E11/D11</f>
        <v/>
      </c>
      <c r="G11" s="10">
        <f>INDEX(미지급률범위,3)</f>
        <v/>
      </c>
      <c r="H11" s="10">
        <f>INDEX(과지급률범위,3)</f>
        <v/>
      </c>
      <c r="I11" s="10">
        <f>G11-H11</f>
        <v/>
      </c>
      <c r="J11" s="17" t="n">
        <v>4.747945205479452</v>
      </c>
      <c r="K11" s="21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7">
        <f>INDEX(구성비범위,4)</f>
        <v/>
      </c>
      <c r="D12" s="17">
        <f>Q5/P5</f>
        <v/>
      </c>
      <c r="E12" s="17">
        <f>R5/P5</f>
        <v/>
      </c>
      <c r="F12" s="10">
        <f>E12/D12</f>
        <v/>
      </c>
      <c r="G12" s="10">
        <f>INDEX(미지급률범위,4)</f>
        <v/>
      </c>
      <c r="H12" s="10">
        <f>INDEX(과지급률범위,4)</f>
        <v/>
      </c>
      <c r="I12" s="10">
        <f>G12-H12</f>
        <v/>
      </c>
      <c r="J12" s="17" t="n">
        <v>6.164383561643835</v>
      </c>
      <c r="K12" s="21">
        <f>D12-J12</f>
        <v/>
      </c>
    </row>
    <row r="13">
      <c r="B13" s="3" t="inlineStr">
        <is>
          <t>가중</t>
        </is>
      </c>
      <c r="C13" s="19">
        <f>SUM(C9:C12)</f>
        <v/>
      </c>
      <c r="D13" s="19">
        <f>SUMPRODUCT(C9:C12,D9:D12)</f>
        <v/>
      </c>
      <c r="E13" s="19">
        <f>SUMPRODUCT(C9:C12,E9:E12)</f>
        <v/>
      </c>
      <c r="F13" s="22">
        <f>E13/D13</f>
        <v/>
      </c>
    </row>
    <row r="15" ht="30" customHeight="1">
      <c r="A15" s="11" t="inlineStr">
        <is>
          <t>항목</t>
        </is>
      </c>
      <c r="B15" s="11" t="inlineStr">
        <is>
          <t>값</t>
        </is>
      </c>
      <c r="C15" s="11" t="inlineStr">
        <is>
          <t>산식</t>
        </is>
      </c>
    </row>
    <row r="16">
      <c r="A16" s="3" t="inlineStr">
        <is>
          <t>구성비 합</t>
        </is>
      </c>
      <c r="B16" s="14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4">
        <f>ROUND(SUMPRODUCT(구성비범위,평균금융일수범위),6)</f>
        <v/>
      </c>
      <c r="C17" s="5" t="inlineStr">
        <is>
          <t>ROUND(Σ 구성비 x 평균 금융일수, 6)</t>
        </is>
      </c>
    </row>
    <row r="18">
      <c r="A18" s="3" t="inlineStr">
        <is>
          <t>대표 엑셀 MAU 시장 평균 참고값 H41</t>
        </is>
      </c>
      <c r="B18" s="14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1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4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9">
        <f>ROUND(B20/B17,6)</f>
        <v/>
      </c>
      <c r="C21" s="5" t="inlineStr">
        <is>
          <t>ROUND(가중 E[d²] / W, 6)</t>
        </is>
      </c>
    </row>
    <row r="22">
      <c r="A22" s="3" t="inlineStr">
        <is>
          <t>Ty수익율(%) — 구성비 W 기준</t>
        </is>
      </c>
      <c r="B22" s="6">
        <f>ROUND(할인율퍼센트*연일수/ROUND(B17,SW_자릿수),6)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하루 선정산액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t>하루 Ai</t>
        </is>
      </c>
      <c r="R1" s="1" t="inlineStr">
        <is>
          <t>투자실행액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20">
        <f>입력!F50</f>
        <v/>
      </c>
      <c r="G2" s="5">
        <f>IF(A2&lt;=SW_가맹점수,1,0)</f>
        <v/>
      </c>
      <c r="H2" s="2">
        <f>입력!G50</f>
        <v/>
      </c>
      <c r="I2" s="17">
        <f>입력!H50</f>
        <v/>
      </c>
      <c r="J2" s="10">
        <f>G2*(1-I2)</f>
        <v/>
      </c>
      <c r="K2" s="10">
        <f>G2*I2*INDEX(배달배분범위,1)</f>
        <v/>
      </c>
      <c r="L2" s="10">
        <f>G2*I2*INDEX(배달배분범위,2)</f>
        <v/>
      </c>
      <c r="M2" s="10">
        <f>G2*I2*INDEX(배달배분범위,3)</f>
        <v/>
      </c>
      <c r="N2" s="10">
        <f>SUM(J2:M2)</f>
        <v/>
      </c>
      <c r="O2" s="10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3">
        <f>IF($R$10=0,0,R2/$R$10)</f>
        <v/>
      </c>
      <c r="T2" s="5">
        <f>IF(G2=0,"",ROUND(ROUND(O2,6),SW_자릿수))</f>
        <v/>
      </c>
      <c r="U2" s="17">
        <f>J2*INDEX(미지급률범위,1)+K2*INDEX(미지급률범위,2)+L2*INDEX(미지급률범위,3)+M2*INDEX(미지급률범위,4)</f>
        <v/>
      </c>
      <c r="V2" s="17">
        <f>J2*INDEX(과지급률범위,1)+K2*INDEX(과지급률범위,2)+L2*INDEX(과지급률범위,3)+M2*INDEX(과지급률범위,4)</f>
        <v/>
      </c>
      <c r="W2" s="7">
        <f>IF(G2=0,"",ROUND((U2-V2)/(1-할인율)*100,6))</f>
        <v/>
      </c>
      <c r="X2" s="7">
        <f>IF(G2=0,"",ROUND(할인율퍼센트*연일수/ROUND(O2,6),6))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0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20">
        <f>입력!F51</f>
        <v/>
      </c>
      <c r="G3" s="5">
        <f>IF(A3&lt;=SW_가맹점수,1,0)</f>
        <v/>
      </c>
      <c r="H3" s="2">
        <f>입력!G51</f>
        <v/>
      </c>
      <c r="I3" s="17">
        <f>입력!H51</f>
        <v/>
      </c>
      <c r="J3" s="10">
        <f>G3*(1-I3)</f>
        <v/>
      </c>
      <c r="K3" s="10">
        <f>G3*I3*INDEX(배달배분범위,1)</f>
        <v/>
      </c>
      <c r="L3" s="10">
        <f>G3*I3*INDEX(배달배분범위,2)</f>
        <v/>
      </c>
      <c r="M3" s="10">
        <f>G3*I3*INDEX(배달배분범위,3)</f>
        <v/>
      </c>
      <c r="N3" s="10">
        <f>SUM(J3:M3)</f>
        <v/>
      </c>
      <c r="O3" s="10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3">
        <f>IF($R$10=0,0,R3/$R$10)</f>
        <v/>
      </c>
      <c r="T3" s="5">
        <f>IF(G3=0,"",ROUND(ROUND(O3,6),SW_자릿수))</f>
        <v/>
      </c>
      <c r="U3" s="17">
        <f>J3*INDEX(미지급률범위,1)+K3*INDEX(미지급률범위,2)+L3*INDEX(미지급률범위,3)+M3*INDEX(미지급률범위,4)</f>
        <v/>
      </c>
      <c r="V3" s="17">
        <f>J3*INDEX(과지급률범위,1)+K3*INDEX(과지급률범위,2)+L3*INDEX(과지급률범위,3)+M3*INDEX(과지급률범위,4)</f>
        <v/>
      </c>
      <c r="W3" s="7">
        <f>IF(G3=0,"",ROUND((U3-V3)/(1-할인율)*100,6))</f>
        <v/>
      </c>
      <c r="X3" s="7">
        <f>IF(G3=0,"",ROUND(할인율퍼센트*연일수/ROUND(O3,6),6))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0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20">
        <f>입력!F52</f>
        <v/>
      </c>
      <c r="G4" s="5">
        <f>IF(A4&lt;=SW_가맹점수,1,0)</f>
        <v/>
      </c>
      <c r="H4" s="2">
        <f>입력!G52</f>
        <v/>
      </c>
      <c r="I4" s="17">
        <f>입력!H52</f>
        <v/>
      </c>
      <c r="J4" s="10">
        <f>G4*(1-I4)</f>
        <v/>
      </c>
      <c r="K4" s="10">
        <f>G4*I4*INDEX(배달배분범위,1)</f>
        <v/>
      </c>
      <c r="L4" s="10">
        <f>G4*I4*INDEX(배달배분범위,2)</f>
        <v/>
      </c>
      <c r="M4" s="10">
        <f>G4*I4*INDEX(배달배분범위,3)</f>
        <v/>
      </c>
      <c r="N4" s="10">
        <f>SUM(J4:M4)</f>
        <v/>
      </c>
      <c r="O4" s="10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3">
        <f>IF($R$10=0,0,R4/$R$10)</f>
        <v/>
      </c>
      <c r="T4" s="5">
        <f>IF(G4=0,"",ROUND(ROUND(O4,6),SW_자릿수))</f>
        <v/>
      </c>
      <c r="U4" s="17">
        <f>J4*INDEX(미지급률범위,1)+K4*INDEX(미지급률범위,2)+L4*INDEX(미지급률범위,3)+M4*INDEX(미지급률범위,4)</f>
        <v/>
      </c>
      <c r="V4" s="17">
        <f>J4*INDEX(과지급률범위,1)+K4*INDEX(과지급률범위,2)+L4*INDEX(과지급률범위,3)+M4*INDEX(과지급률범위,4)</f>
        <v/>
      </c>
      <c r="W4" s="7">
        <f>IF(G4=0,"",ROUND((U4-V4)/(1-할인율)*100,6))</f>
        <v/>
      </c>
      <c r="X4" s="7">
        <f>IF(G4=0,"",ROUND(할인율퍼센트*연일수/ROUND(O4,6),6))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0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20">
        <f>입력!F53</f>
        <v/>
      </c>
      <c r="G5" s="5">
        <f>IF(A5&lt;=SW_가맹점수,1,0)</f>
        <v/>
      </c>
      <c r="H5" s="2">
        <f>입력!G53</f>
        <v/>
      </c>
      <c r="I5" s="17">
        <f>입력!H53</f>
        <v/>
      </c>
      <c r="J5" s="10">
        <f>G5*(1-I5)</f>
        <v/>
      </c>
      <c r="K5" s="10">
        <f>G5*I5*INDEX(배달배분범위,1)</f>
        <v/>
      </c>
      <c r="L5" s="10">
        <f>G5*I5*INDEX(배달배분범위,2)</f>
        <v/>
      </c>
      <c r="M5" s="10">
        <f>G5*I5*INDEX(배달배분범위,3)</f>
        <v/>
      </c>
      <c r="N5" s="10">
        <f>SUM(J5:M5)</f>
        <v/>
      </c>
      <c r="O5" s="10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3">
        <f>IF($R$10=0,0,R5/$R$10)</f>
        <v/>
      </c>
      <c r="T5" s="5">
        <f>IF(G5=0,"",ROUND(ROUND(O5,6),SW_자릿수))</f>
        <v/>
      </c>
      <c r="U5" s="17">
        <f>J5*INDEX(미지급률범위,1)+K5*INDEX(미지급률범위,2)+L5*INDEX(미지급률범위,3)+M5*INDEX(미지급률범위,4)</f>
        <v/>
      </c>
      <c r="V5" s="17">
        <f>J5*INDEX(과지급률범위,1)+K5*INDEX(과지급률범위,2)+L5*INDEX(과지급률범위,3)+M5*INDEX(과지급률범위,4)</f>
        <v/>
      </c>
      <c r="W5" s="7">
        <f>IF(G5=0,"",ROUND((U5-V5)/(1-할인율)*100,6))</f>
        <v/>
      </c>
      <c r="X5" s="7">
        <f>IF(G5=0,"",ROUND(할인율퍼센트*연일수/ROUND(O5,6),6))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0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20">
        <f>입력!F54</f>
        <v/>
      </c>
      <c r="G6" s="5">
        <f>IF(A6&lt;=SW_가맹점수,1,0)</f>
        <v/>
      </c>
      <c r="H6" s="2">
        <f>입력!G54</f>
        <v/>
      </c>
      <c r="I6" s="17">
        <f>입력!H54</f>
        <v/>
      </c>
      <c r="J6" s="10">
        <f>G6*(1-I6)</f>
        <v/>
      </c>
      <c r="K6" s="10">
        <f>G6*I6*INDEX(배달배분범위,1)</f>
        <v/>
      </c>
      <c r="L6" s="10">
        <f>G6*I6*INDEX(배달배분범위,2)</f>
        <v/>
      </c>
      <c r="M6" s="10">
        <f>G6*I6*INDEX(배달배분범위,3)</f>
        <v/>
      </c>
      <c r="N6" s="10">
        <f>SUM(J6:M6)</f>
        <v/>
      </c>
      <c r="O6" s="10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3">
        <f>IF($R$10=0,0,R6/$R$10)</f>
        <v/>
      </c>
      <c r="T6" s="5">
        <f>IF(G6=0,"",ROUND(ROUND(O6,6),SW_자릿수))</f>
        <v/>
      </c>
      <c r="U6" s="17">
        <f>J6*INDEX(미지급률범위,1)+K6*INDEX(미지급률범위,2)+L6*INDEX(미지급률범위,3)+M6*INDEX(미지급률범위,4)</f>
        <v/>
      </c>
      <c r="V6" s="17">
        <f>J6*INDEX(과지급률범위,1)+K6*INDEX(과지급률범위,2)+L6*INDEX(과지급률범위,3)+M6*INDEX(과지급률범위,4)</f>
        <v/>
      </c>
      <c r="W6" s="7">
        <f>IF(G6=0,"",ROUND((U6-V6)/(1-할인율)*100,6))</f>
        <v/>
      </c>
      <c r="X6" s="7">
        <f>IF(G6=0,"",ROUND(할인율퍼센트*연일수/ROUND(O6,6),6))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0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20">
        <f>입력!F55</f>
        <v/>
      </c>
      <c r="G7" s="5">
        <f>IF(A7&lt;=SW_가맹점수,1,0)</f>
        <v/>
      </c>
      <c r="H7" s="2">
        <f>입력!G55</f>
        <v/>
      </c>
      <c r="I7" s="17">
        <f>입력!H55</f>
        <v/>
      </c>
      <c r="J7" s="10">
        <f>G7*(1-I7)</f>
        <v/>
      </c>
      <c r="K7" s="10">
        <f>G7*I7*INDEX(배달배분범위,1)</f>
        <v/>
      </c>
      <c r="L7" s="10">
        <f>G7*I7*INDEX(배달배분범위,2)</f>
        <v/>
      </c>
      <c r="M7" s="10">
        <f>G7*I7*INDEX(배달배분범위,3)</f>
        <v/>
      </c>
      <c r="N7" s="10">
        <f>SUM(J7:M7)</f>
        <v/>
      </c>
      <c r="O7" s="10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3">
        <f>IF($R$10=0,0,R7/$R$10)</f>
        <v/>
      </c>
      <c r="T7" s="5">
        <f>IF(G7=0,"",ROUND(ROUND(O7,6),SW_자릿수))</f>
        <v/>
      </c>
      <c r="U7" s="17">
        <f>J7*INDEX(미지급률범위,1)+K7*INDEX(미지급률범위,2)+L7*INDEX(미지급률범위,3)+M7*INDEX(미지급률범위,4)</f>
        <v/>
      </c>
      <c r="V7" s="17">
        <f>J7*INDEX(과지급률범위,1)+K7*INDEX(과지급률범위,2)+L7*INDEX(과지급률범위,3)+M7*INDEX(과지급률범위,4)</f>
        <v/>
      </c>
      <c r="W7" s="7">
        <f>IF(G7=0,"",ROUND((U7-V7)/(1-할인율)*100,6))</f>
        <v/>
      </c>
      <c r="X7" s="7">
        <f>IF(G7=0,"",ROUND(할인율퍼센트*연일수/ROUND(O7,6),6))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0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20">
        <f>입력!F56</f>
        <v/>
      </c>
      <c r="G8" s="5">
        <f>IF(A8&lt;=SW_가맹점수,1,0)</f>
        <v/>
      </c>
      <c r="H8" s="2">
        <f>입력!G56</f>
        <v/>
      </c>
      <c r="I8" s="17">
        <f>입력!H56</f>
        <v/>
      </c>
      <c r="J8" s="10">
        <f>G8*(1-I8)</f>
        <v/>
      </c>
      <c r="K8" s="10">
        <f>G8*I8*INDEX(배달배분범위,1)</f>
        <v/>
      </c>
      <c r="L8" s="10">
        <f>G8*I8*INDEX(배달배분범위,2)</f>
        <v/>
      </c>
      <c r="M8" s="10">
        <f>G8*I8*INDEX(배달배분범위,3)</f>
        <v/>
      </c>
      <c r="N8" s="10">
        <f>SUM(J8:M8)</f>
        <v/>
      </c>
      <c r="O8" s="10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3">
        <f>IF($R$10=0,0,R8/$R$10)</f>
        <v/>
      </c>
      <c r="T8" s="5">
        <f>IF(G8=0,"",ROUND(ROUND(O8,6),SW_자릿수))</f>
        <v/>
      </c>
      <c r="U8" s="17">
        <f>J8*INDEX(미지급률범위,1)+K8*INDEX(미지급률범위,2)+L8*INDEX(미지급률범위,3)+M8*INDEX(미지급률범위,4)</f>
        <v/>
      </c>
      <c r="V8" s="17">
        <f>J8*INDEX(과지급률범위,1)+K8*INDEX(과지급률범위,2)+L8*INDEX(과지급률범위,3)+M8*INDEX(과지급률범위,4)</f>
        <v/>
      </c>
      <c r="W8" s="7">
        <f>IF(G8=0,"",ROUND((U8-V8)/(1-할인율)*100,6))</f>
        <v/>
      </c>
      <c r="X8" s="7">
        <f>IF(G8=0,"",ROUND(할인율퍼센트*연일수/ROUND(O8,6),6))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0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20">
        <f>입력!F57</f>
        <v/>
      </c>
      <c r="G9" s="5">
        <f>IF(A9&lt;=SW_가맹점수,1,0)</f>
        <v/>
      </c>
      <c r="H9" s="2">
        <f>입력!G57</f>
        <v/>
      </c>
      <c r="I9" s="17">
        <f>입력!H57</f>
        <v/>
      </c>
      <c r="J9" s="10">
        <f>G9*(1-I9)</f>
        <v/>
      </c>
      <c r="K9" s="10">
        <f>G9*I9*INDEX(배달배분범위,1)</f>
        <v/>
      </c>
      <c r="L9" s="10">
        <f>G9*I9*INDEX(배달배분범위,2)</f>
        <v/>
      </c>
      <c r="M9" s="10">
        <f>G9*I9*INDEX(배달배분범위,3)</f>
        <v/>
      </c>
      <c r="N9" s="10">
        <f>SUM(J9:M9)</f>
        <v/>
      </c>
      <c r="O9" s="10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3">
        <f>IF($R$10=0,0,R9/$R$10)</f>
        <v/>
      </c>
      <c r="T9" s="5">
        <f>IF(G9=0,"",ROUND(ROUND(O9,6),SW_자릿수))</f>
        <v/>
      </c>
      <c r="U9" s="17">
        <f>J9*INDEX(미지급률범위,1)+K9*INDEX(미지급률범위,2)+L9*INDEX(미지급률범위,3)+M9*INDEX(미지급률범위,4)</f>
        <v/>
      </c>
      <c r="V9" s="17">
        <f>J9*INDEX(과지급률범위,1)+K9*INDEX(과지급률범위,2)+L9*INDEX(과지급률범위,3)+M9*INDEX(과지급률범위,4)</f>
        <v/>
      </c>
      <c r="W9" s="7">
        <f>IF(G9=0,"",ROUND((U9-V9)/(1-할인율)*100,6))</f>
        <v/>
      </c>
      <c r="X9" s="7">
        <f>IF(G9=0,"",ROUND(할인율퍼센트*연일수/ROUND(O9,6),6))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0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8">
        <f>SUM(G2:G9)</f>
        <v/>
      </c>
      <c r="H10" s="18">
        <f>SUM(H2:H9)</f>
        <v/>
      </c>
      <c r="O10" s="19">
        <f>IF(P10=0,0,SUMPRODUCT(P2:P9,O2:O9)/P10)</f>
        <v/>
      </c>
      <c r="P10" s="18">
        <f>SUM(P2:P9)</f>
        <v/>
      </c>
      <c r="Q10" s="18">
        <f>SUM(Q2:Q9)</f>
        <v/>
      </c>
      <c r="R10" s="18">
        <f>SUM(R2:R9)</f>
        <v/>
      </c>
      <c r="S10" s="26">
        <f>SUM(S2:S9)</f>
        <v/>
      </c>
      <c r="T10" s="3">
        <f>ROUND(ROUND(O10,6),SW_자릿수)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8">
        <f>ROUND((100-Z10)/0.1,0)</f>
        <v/>
      </c>
      <c r="C11" s="5" t="inlineStr">
        <is>
          <t>(100 - Σ 비중 내림) / 0.1</t>
        </is>
      </c>
    </row>
    <row r="12" ht="30" customHeight="1">
      <c r="A12" s="11" t="inlineStr">
        <is>
          <t>항목</t>
        </is>
      </c>
      <c r="B12" s="11" t="inlineStr">
        <is>
          <t>값</t>
        </is>
      </c>
      <c r="C12" s="11" t="inlineStr">
        <is>
          <t>산식</t>
        </is>
      </c>
    </row>
    <row r="13">
      <c r="A13" s="3" t="inlineStr">
        <is>
          <t>flow 가중 w금융일수 W_flow</t>
        </is>
      </c>
      <c r="B13" s="14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4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4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8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8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12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12">
        <f>B22/B23</f>
        <v/>
      </c>
      <c r="C25" s="5" t="inlineStr">
        <is>
          <t>순현금 / 투자자산</t>
        </is>
      </c>
    </row>
    <row r="27" ht="30" customHeight="1">
      <c r="A27" s="11" t="inlineStr">
        <is>
          <t>플랫폼</t>
        </is>
      </c>
      <c r="B27" s="11" t="inlineStr">
        <is>
          <t>로스터 금액가중 구성비</t>
        </is>
      </c>
      <c r="C27" s="11" t="inlineStr">
        <is>
          <t>대표 구성비</t>
        </is>
      </c>
      <c r="D27" s="11" t="inlineStr">
        <is>
          <t>차</t>
        </is>
      </c>
    </row>
    <row r="28">
      <c r="A28" s="3" t="inlineStr">
        <is>
          <t>카드사</t>
        </is>
      </c>
      <c r="B28" s="17">
        <f>IF($P$10=0,0,SUMPRODUCT($P$2:$P$9,J2:J9)/$P$10)</f>
        <v/>
      </c>
      <c r="C28" s="17">
        <f>INDEX(구성비범위,1)</f>
        <v/>
      </c>
      <c r="D28" s="21">
        <f>B28-C28</f>
        <v/>
      </c>
    </row>
    <row r="29">
      <c r="A29" s="3" t="inlineStr">
        <is>
          <t>배달의민족</t>
        </is>
      </c>
      <c r="B29" s="17">
        <f>IF($P$10=0,0,SUMPRODUCT($P$2:$P$9,K2:K9)/$P$10)</f>
        <v/>
      </c>
      <c r="C29" s="17">
        <f>INDEX(구성비범위,2)</f>
        <v/>
      </c>
      <c r="D29" s="21">
        <f>B29-C29</f>
        <v/>
      </c>
    </row>
    <row r="30">
      <c r="A30" s="3" t="inlineStr">
        <is>
          <t>쿠팡이츠</t>
        </is>
      </c>
      <c r="B30" s="17">
        <f>IF($P$10=0,0,SUMPRODUCT($P$2:$P$9,L2:L9)/$P$10)</f>
        <v/>
      </c>
      <c r="C30" s="17">
        <f>INDEX(구성비범위,3)</f>
        <v/>
      </c>
      <c r="D30" s="21">
        <f>B30-C30</f>
        <v/>
      </c>
    </row>
    <row r="31">
      <c r="A31" s="3" t="inlineStr">
        <is>
          <t>요기요</t>
        </is>
      </c>
      <c r="B31" s="17">
        <f>IF($P$10=0,0,SUMPRODUCT($P$2:$P$9,M2:M9)/$P$10)</f>
        <v/>
      </c>
      <c r="C31" s="17">
        <f>INDEX(구성비범위,4)</f>
        <v/>
      </c>
      <c r="D31" s="21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t>금융일수 Di</t>
        </is>
      </c>
      <c r="I1" s="1" t="inlineStr">
        <is>
          <t>순지급액</t>
        </is>
      </c>
      <c r="J1" s="1" t="inlineStr">
        <is>
          <t>Ai</t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t>투자수익 Mi</t>
        </is>
      </c>
      <c r="P1" s="1" t="inlineStr">
        <is>
          <t>상환액 Bi</t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t>Ai x Di</t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20">
        <f>축시작+INT((A2-1)/32)</f>
        <v/>
      </c>
      <c r="G2" s="20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20">
        <f>축시작+INT((A3-1)/32)</f>
        <v/>
      </c>
      <c r="G3" s="20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20">
        <f>축시작+INT((A4-1)/32)</f>
        <v/>
      </c>
      <c r="G4" s="20">
        <f>F4+H4</f>
        <v/>
      </c>
      <c r="H4" s="5" t="n">
        <v>9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20">
        <f>축시작+INT((A5-1)/32)</f>
        <v/>
      </c>
      <c r="G5" s="20">
        <f>F5+H5</f>
        <v/>
      </c>
      <c r="H5" s="5" t="n">
        <v>6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20">
        <f>축시작+INT((A6-1)/32)</f>
        <v/>
      </c>
      <c r="G6" s="20">
        <f>F6+H6</f>
        <v/>
      </c>
      <c r="H6" s="5" t="n">
        <v>8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20">
        <f>축시작+INT((A7-1)/32)</f>
        <v/>
      </c>
      <c r="G7" s="20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20">
        <f>축시작+INT((A8-1)/32)</f>
        <v/>
      </c>
      <c r="G8" s="20">
        <f>F8+H8</f>
        <v/>
      </c>
      <c r="H8" s="5" t="n">
        <v>9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20">
        <f>축시작+INT((A9-1)/32)</f>
        <v/>
      </c>
      <c r="G9" s="20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20">
        <f>축시작+INT((A10-1)/32)</f>
        <v/>
      </c>
      <c r="G10" s="20">
        <f>F10+H10</f>
        <v/>
      </c>
      <c r="H10" s="5" t="n">
        <v>3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20">
        <f>축시작+INT((A11-1)/32)</f>
        <v/>
      </c>
      <c r="G11" s="20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20">
        <f>축시작+INT((A12-1)/32)</f>
        <v/>
      </c>
      <c r="G12" s="20">
        <f>F12+H12</f>
        <v/>
      </c>
      <c r="H12" s="5" t="n">
        <v>4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20">
        <f>축시작+INT((A13-1)/32)</f>
        <v/>
      </c>
      <c r="G13" s="20">
        <f>F13+H13</f>
        <v/>
      </c>
      <c r="H13" s="5" t="n">
        <v>11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20">
        <f>축시작+INT((A14-1)/32)</f>
        <v/>
      </c>
      <c r="G14" s="20">
        <f>F14+H14</f>
        <v/>
      </c>
      <c r="H14" s="5" t="n">
        <v>8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20">
        <f>축시작+INT((A15-1)/32)</f>
        <v/>
      </c>
      <c r="G15" s="20">
        <f>F15+H15</f>
        <v/>
      </c>
      <c r="H15" s="5" t="n">
        <v>5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20">
        <f>축시작+INT((A16-1)/32)</f>
        <v/>
      </c>
      <c r="G16" s="20">
        <f>F16+H16</f>
        <v/>
      </c>
      <c r="H16" s="5" t="n">
        <v>9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20">
        <f>축시작+INT((A17-1)/32)</f>
        <v/>
      </c>
      <c r="G17" s="20">
        <f>F17+H17</f>
        <v/>
      </c>
      <c r="H17" s="5" t="n">
        <v>10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20">
        <f>축시작+INT((A18-1)/32)</f>
        <v/>
      </c>
      <c r="G18" s="20">
        <f>F18+H18</f>
        <v/>
      </c>
      <c r="H18" s="5" t="n">
        <v>6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20">
        <f>축시작+INT((A19-1)/32)</f>
        <v/>
      </c>
      <c r="G19" s="20">
        <f>F19+H19</f>
        <v/>
      </c>
      <c r="H19" s="5" t="n">
        <v>8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20">
        <f>축시작+INT((A20-1)/32)</f>
        <v/>
      </c>
      <c r="G20" s="20">
        <f>F20+H20</f>
        <v/>
      </c>
      <c r="H20" s="5" t="n">
        <v>3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20">
        <f>축시작+INT((A21-1)/32)</f>
        <v/>
      </c>
      <c r="G21" s="20">
        <f>F21+H21</f>
        <v/>
      </c>
      <c r="H21" s="5" t="n">
        <v>6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20">
        <f>축시작+INT((A22-1)/32)</f>
        <v/>
      </c>
      <c r="G22" s="20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20">
        <f>축시작+INT((A23-1)/32)</f>
        <v/>
      </c>
      <c r="G23" s="20">
        <f>F23+H23</f>
        <v/>
      </c>
      <c r="H23" s="5" t="n">
        <v>7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20">
        <f>축시작+INT((A24-1)/32)</f>
        <v/>
      </c>
      <c r="G24" s="20">
        <f>F24+H24</f>
        <v/>
      </c>
      <c r="H24" s="5" t="n">
        <v>5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20">
        <f>축시작+INT((A25-1)/32)</f>
        <v/>
      </c>
      <c r="G25" s="20">
        <f>F25+H25</f>
        <v/>
      </c>
      <c r="H25" s="5" t="n">
        <v>10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20">
        <f>축시작+INT((A26-1)/32)</f>
        <v/>
      </c>
      <c r="G26" s="20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20">
        <f>축시작+INT((A27-1)/32)</f>
        <v/>
      </c>
      <c r="G27" s="20">
        <f>F27+H27</f>
        <v/>
      </c>
      <c r="H27" s="5" t="n">
        <v>3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20">
        <f>축시작+INT((A28-1)/32)</f>
        <v/>
      </c>
      <c r="G28" s="20">
        <f>F28+H28</f>
        <v/>
      </c>
      <c r="H28" s="5" t="n">
        <v>3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20">
        <f>축시작+INT((A29-1)/32)</f>
        <v/>
      </c>
      <c r="G29" s="20">
        <f>F29+H29</f>
        <v/>
      </c>
      <c r="H29" s="5" t="n">
        <v>12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20">
        <f>축시작+INT((A30-1)/32)</f>
        <v/>
      </c>
      <c r="G30" s="20">
        <f>F30+H30</f>
        <v/>
      </c>
      <c r="H30" s="5" t="n">
        <v>1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20">
        <f>축시작+INT((A31-1)/32)</f>
        <v/>
      </c>
      <c r="G31" s="20">
        <f>F31+H31</f>
        <v/>
      </c>
      <c r="H31" s="5" t="n">
        <v>5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20">
        <f>축시작+INT((A32-1)/32)</f>
        <v/>
      </c>
      <c r="G32" s="20">
        <f>F32+H32</f>
        <v/>
      </c>
      <c r="H32" s="5" t="n">
        <v>3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20">
        <f>축시작+INT((A33-1)/32)</f>
        <v/>
      </c>
      <c r="G33" s="20">
        <f>F33+H33</f>
        <v/>
      </c>
      <c r="H33" s="5" t="n">
        <v>10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20">
        <f>축시작+INT((A34-1)/32)</f>
        <v/>
      </c>
      <c r="G34" s="20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20">
        <f>축시작+INT((A35-1)/32)</f>
        <v/>
      </c>
      <c r="G35" s="20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20">
        <f>축시작+INT((A36-1)/32)</f>
        <v/>
      </c>
      <c r="G36" s="20">
        <f>F36+H36</f>
        <v/>
      </c>
      <c r="H36" s="5" t="n">
        <v>5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20">
        <f>축시작+INT((A37-1)/32)</f>
        <v/>
      </c>
      <c r="G37" s="20">
        <f>F37+H37</f>
        <v/>
      </c>
      <c r="H37" s="5" t="n">
        <v>6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20">
        <f>축시작+INT((A38-1)/32)</f>
        <v/>
      </c>
      <c r="G38" s="20">
        <f>F38+H38</f>
        <v/>
      </c>
      <c r="H38" s="5" t="n">
        <v>1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20">
        <f>축시작+INT((A39-1)/32)</f>
        <v/>
      </c>
      <c r="G39" s="20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20">
        <f>축시작+INT((A40-1)/32)</f>
        <v/>
      </c>
      <c r="G40" s="20">
        <f>F40+H40</f>
        <v/>
      </c>
      <c r="H40" s="5" t="n">
        <v>3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20">
        <f>축시작+INT((A41-1)/32)</f>
        <v/>
      </c>
      <c r="G41" s="20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20">
        <f>축시작+INT((A42-1)/32)</f>
        <v/>
      </c>
      <c r="G42" s="20">
        <f>F42+H42</f>
        <v/>
      </c>
      <c r="H42" s="5" t="n">
        <v>7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20">
        <f>축시작+INT((A43-1)/32)</f>
        <v/>
      </c>
      <c r="G43" s="20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20">
        <f>축시작+INT((A44-1)/32)</f>
        <v/>
      </c>
      <c r="G44" s="20">
        <f>F44+H44</f>
        <v/>
      </c>
      <c r="H44" s="5" t="n">
        <v>8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20">
        <f>축시작+INT((A45-1)/32)</f>
        <v/>
      </c>
      <c r="G45" s="20">
        <f>F45+H45</f>
        <v/>
      </c>
      <c r="H45" s="5" t="n">
        <v>10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20">
        <f>축시작+INT((A46-1)/32)</f>
        <v/>
      </c>
      <c r="G46" s="20">
        <f>F46+H46</f>
        <v/>
      </c>
      <c r="H46" s="5" t="n">
        <v>1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20">
        <f>축시작+INT((A47-1)/32)</f>
        <v/>
      </c>
      <c r="G47" s="20">
        <f>F47+H47</f>
        <v/>
      </c>
      <c r="H47" s="5" t="n">
        <v>3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20">
        <f>축시작+INT((A48-1)/32)</f>
        <v/>
      </c>
      <c r="G48" s="20">
        <f>F48+H48</f>
        <v/>
      </c>
      <c r="H48" s="5" t="n">
        <v>3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20">
        <f>축시작+INT((A49-1)/32)</f>
        <v/>
      </c>
      <c r="G49" s="20">
        <f>F49+H49</f>
        <v/>
      </c>
      <c r="H49" s="5" t="n">
        <v>8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20">
        <f>축시작+INT((A50-1)/32)</f>
        <v/>
      </c>
      <c r="G50" s="20">
        <f>F50+H50</f>
        <v/>
      </c>
      <c r="H50" s="5" t="n">
        <v>5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20">
        <f>축시작+INT((A51-1)/32)</f>
        <v/>
      </c>
      <c r="G51" s="20">
        <f>F51+H51</f>
        <v/>
      </c>
      <c r="H51" s="5" t="n">
        <v>2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20">
        <f>축시작+INT((A52-1)/32)</f>
        <v/>
      </c>
      <c r="G52" s="20">
        <f>F52+H52</f>
        <v/>
      </c>
      <c r="H52" s="5" t="n">
        <v>9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20">
        <f>축시작+INT((A53-1)/32)</f>
        <v/>
      </c>
      <c r="G53" s="20">
        <f>F53+H53</f>
        <v/>
      </c>
      <c r="H53" s="5" t="n">
        <v>6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20">
        <f>축시작+INT((A54-1)/32)</f>
        <v/>
      </c>
      <c r="G54" s="20">
        <f>F54+H54</f>
        <v/>
      </c>
      <c r="H54" s="5" t="n">
        <v>1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20">
        <f>축시작+INT((A55-1)/32)</f>
        <v/>
      </c>
      <c r="G55" s="20">
        <f>F55+H55</f>
        <v/>
      </c>
      <c r="H55" s="5" t="n">
        <v>4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20">
        <f>축시작+INT((A56-1)/32)</f>
        <v/>
      </c>
      <c r="G56" s="20">
        <f>F56+H56</f>
        <v/>
      </c>
      <c r="H56" s="5" t="n">
        <v>9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20">
        <f>축시작+INT((A57-1)/32)</f>
        <v/>
      </c>
      <c r="G57" s="20">
        <f>F57+H57</f>
        <v/>
      </c>
      <c r="H57" s="5" t="n">
        <v>8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20">
        <f>축시작+INT((A58-1)/32)</f>
        <v/>
      </c>
      <c r="G58" s="20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20">
        <f>축시작+INT((A59-1)/32)</f>
        <v/>
      </c>
      <c r="G59" s="20">
        <f>F59+H59</f>
        <v/>
      </c>
      <c r="H59" s="5" t="n">
        <v>3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20">
        <f>축시작+INT((A60-1)/32)</f>
        <v/>
      </c>
      <c r="G60" s="20">
        <f>F60+H60</f>
        <v/>
      </c>
      <c r="H60" s="5" t="n">
        <v>5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20">
        <f>축시작+INT((A61-1)/32)</f>
        <v/>
      </c>
      <c r="G61" s="20">
        <f>F61+H61</f>
        <v/>
      </c>
      <c r="H61" s="5" t="n">
        <v>11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20">
        <f>축시작+INT((A62-1)/32)</f>
        <v/>
      </c>
      <c r="G62" s="20">
        <f>F62+H62</f>
        <v/>
      </c>
      <c r="H62" s="5" t="n">
        <v>1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20">
        <f>축시작+INT((A63-1)/32)</f>
        <v/>
      </c>
      <c r="G63" s="20">
        <f>F63+H63</f>
        <v/>
      </c>
      <c r="H63" s="5" t="n">
        <v>6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20">
        <f>축시작+INT((A64-1)/32)</f>
        <v/>
      </c>
      <c r="G64" s="20">
        <f>F64+H64</f>
        <v/>
      </c>
      <c r="H64" s="5" t="n">
        <v>3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20">
        <f>축시작+INT((A65-1)/32)</f>
        <v/>
      </c>
      <c r="G65" s="20">
        <f>F65+H65</f>
        <v/>
      </c>
      <c r="H65" s="5" t="n">
        <v>6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20">
        <f>축시작+INT((A66-1)/32)</f>
        <v/>
      </c>
      <c r="G66" s="20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20">
        <f>축시작+INT((A67-1)/32)</f>
        <v/>
      </c>
      <c r="G67" s="20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20">
        <f>축시작+INT((A68-1)/32)</f>
        <v/>
      </c>
      <c r="G68" s="20">
        <f>F68+H68</f>
        <v/>
      </c>
      <c r="H68" s="5" t="n">
        <v>6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20">
        <f>축시작+INT((A69-1)/32)</f>
        <v/>
      </c>
      <c r="G69" s="20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20">
        <f>축시작+INT((A70-1)/32)</f>
        <v/>
      </c>
      <c r="G70" s="20">
        <f>F70+H70</f>
        <v/>
      </c>
      <c r="H70" s="5" t="n">
        <v>1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20">
        <f>축시작+INT((A71-1)/32)</f>
        <v/>
      </c>
      <c r="G71" s="20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20">
        <f>축시작+INT((A72-1)/32)</f>
        <v/>
      </c>
      <c r="G72" s="20">
        <f>F72+H72</f>
        <v/>
      </c>
      <c r="H72" s="5" t="n">
        <v>3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20">
        <f>축시작+INT((A73-1)/32)</f>
        <v/>
      </c>
      <c r="G73" s="20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20">
        <f>축시작+INT((A74-1)/32)</f>
        <v/>
      </c>
      <c r="G74" s="20">
        <f>F74+H74</f>
        <v/>
      </c>
      <c r="H74" s="5" t="n">
        <v>5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20">
        <f>축시작+INT((A75-1)/32)</f>
        <v/>
      </c>
      <c r="G75" s="20">
        <f>F75+H75</f>
        <v/>
      </c>
      <c r="H75" s="5" t="n">
        <v>2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20">
        <f>축시작+INT((A76-1)/32)</f>
        <v/>
      </c>
      <c r="G76" s="20">
        <f>F76+H76</f>
        <v/>
      </c>
      <c r="H76" s="5" t="n">
        <v>3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20">
        <f>축시작+INT((A77-1)/32)</f>
        <v/>
      </c>
      <c r="G77" s="20">
        <f>F77+H77</f>
        <v/>
      </c>
      <c r="H77" s="5" t="n">
        <v>8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20">
        <f>축시작+INT((A78-1)/32)</f>
        <v/>
      </c>
      <c r="G78" s="20">
        <f>F78+H78</f>
        <v/>
      </c>
      <c r="H78" s="5" t="n">
        <v>1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20">
        <f>축시작+INT((A79-1)/32)</f>
        <v/>
      </c>
      <c r="G79" s="20">
        <f>F79+H79</f>
        <v/>
      </c>
      <c r="H79" s="5" t="n">
        <v>5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20">
        <f>축시작+INT((A80-1)/32)</f>
        <v/>
      </c>
      <c r="G80" s="20">
        <f>F80+H80</f>
        <v/>
      </c>
      <c r="H80" s="5" t="n">
        <v>3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20">
        <f>축시작+INT((A81-1)/32)</f>
        <v/>
      </c>
      <c r="G81" s="20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20">
        <f>축시작+INT((A82-1)/32)</f>
        <v/>
      </c>
      <c r="G82" s="20">
        <f>F82+H82</f>
        <v/>
      </c>
      <c r="H82" s="5" t="n">
        <v>1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20">
        <f>축시작+INT((A83-1)/32)</f>
        <v/>
      </c>
      <c r="G83" s="20">
        <f>F83+H83</f>
        <v/>
      </c>
      <c r="H83" s="5" t="n">
        <v>4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20">
        <f>축시작+INT((A84-1)/32)</f>
        <v/>
      </c>
      <c r="G84" s="20">
        <f>F84+H84</f>
        <v/>
      </c>
      <c r="H84" s="5" t="n">
        <v>5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20">
        <f>축시작+INT((A85-1)/32)</f>
        <v/>
      </c>
      <c r="G85" s="20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20">
        <f>축시작+INT((A86-1)/32)</f>
        <v/>
      </c>
      <c r="G86" s="20">
        <f>F86+H86</f>
        <v/>
      </c>
      <c r="H86" s="5" t="n">
        <v>2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20">
        <f>축시작+INT((A87-1)/32)</f>
        <v/>
      </c>
      <c r="G87" s="20">
        <f>F87+H87</f>
        <v/>
      </c>
      <c r="H87" s="5" t="n">
        <v>6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20">
        <f>축시작+INT((A88-1)/32)</f>
        <v/>
      </c>
      <c r="G88" s="20">
        <f>F88+H88</f>
        <v/>
      </c>
      <c r="H88" s="5" t="n">
        <v>6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20">
        <f>축시작+INT((A89-1)/32)</f>
        <v/>
      </c>
      <c r="G89" s="20">
        <f>F89+H89</f>
        <v/>
      </c>
      <c r="H89" s="5" t="n">
        <v>9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20">
        <f>축시작+INT((A90-1)/32)</f>
        <v/>
      </c>
      <c r="G90" s="20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20">
        <f>축시작+INT((A91-1)/32)</f>
        <v/>
      </c>
      <c r="G91" s="20">
        <f>F91+H91</f>
        <v/>
      </c>
      <c r="H91" s="5" t="n">
        <v>6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20">
        <f>축시작+INT((A92-1)/32)</f>
        <v/>
      </c>
      <c r="G92" s="20">
        <f>F92+H92</f>
        <v/>
      </c>
      <c r="H92" s="5" t="n">
        <v>3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20">
        <f>축시작+INT((A93-1)/32)</f>
        <v/>
      </c>
      <c r="G93" s="20">
        <f>F93+H93</f>
        <v/>
      </c>
      <c r="H93" s="5" t="n">
        <v>10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20">
        <f>축시작+INT((A94-1)/32)</f>
        <v/>
      </c>
      <c r="G94" s="20">
        <f>F94+H94</f>
        <v/>
      </c>
      <c r="H94" s="5" t="n">
        <v>5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20">
        <f>축시작+INT((A95-1)/32)</f>
        <v/>
      </c>
      <c r="G95" s="20">
        <f>F95+H95</f>
        <v/>
      </c>
      <c r="H95" s="5" t="n">
        <v>4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20">
        <f>축시작+INT((A96-1)/32)</f>
        <v/>
      </c>
      <c r="G96" s="20">
        <f>F96+H96</f>
        <v/>
      </c>
      <c r="H96" s="5" t="n">
        <v>5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20">
        <f>축시작+INT((A97-1)/32)</f>
        <v/>
      </c>
      <c r="G97" s="20">
        <f>F97+H97</f>
        <v/>
      </c>
      <c r="H97" s="5" t="n">
        <v>10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20">
        <f>축시작+INT((A98-1)/32)</f>
        <v/>
      </c>
      <c r="G98" s="20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20">
        <f>축시작+INT((A99-1)/32)</f>
        <v/>
      </c>
      <c r="G99" s="20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20">
        <f>축시작+INT((A100-1)/32)</f>
        <v/>
      </c>
      <c r="G100" s="20">
        <f>F100+H100</f>
        <v/>
      </c>
      <c r="H100" s="5" t="n">
        <v>4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20">
        <f>축시작+INT((A101-1)/32)</f>
        <v/>
      </c>
      <c r="G101" s="20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20">
        <f>축시작+INT((A102-1)/32)</f>
        <v/>
      </c>
      <c r="G102" s="20">
        <f>F102+H102</f>
        <v/>
      </c>
      <c r="H102" s="5" t="n">
        <v>1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20">
        <f>축시작+INT((A103-1)/32)</f>
        <v/>
      </c>
      <c r="G103" s="20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20">
        <f>축시작+INT((A104-1)/32)</f>
        <v/>
      </c>
      <c r="G104" s="20">
        <f>F104+H104</f>
        <v/>
      </c>
      <c r="H104" s="5" t="n">
        <v>5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20">
        <f>축시작+INT((A105-1)/32)</f>
        <v/>
      </c>
      <c r="G105" s="20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20">
        <f>축시작+INT((A106-1)/32)</f>
        <v/>
      </c>
      <c r="G106" s="20">
        <f>F106+H106</f>
        <v/>
      </c>
      <c r="H106" s="5" t="n">
        <v>1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20">
        <f>축시작+INT((A107-1)/32)</f>
        <v/>
      </c>
      <c r="G107" s="20">
        <f>F107+H107</f>
        <v/>
      </c>
      <c r="H107" s="5" t="n">
        <v>3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20">
        <f>축시작+INT((A108-1)/32)</f>
        <v/>
      </c>
      <c r="G108" s="20">
        <f>F108+H108</f>
        <v/>
      </c>
      <c r="H108" s="5" t="n">
        <v>5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20">
        <f>축시작+INT((A109-1)/32)</f>
        <v/>
      </c>
      <c r="G109" s="20">
        <f>F109+H109</f>
        <v/>
      </c>
      <c r="H109" s="5" t="n">
        <v>9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20">
        <f>축시작+INT((A110-1)/32)</f>
        <v/>
      </c>
      <c r="G110" s="20">
        <f>F110+H110</f>
        <v/>
      </c>
      <c r="H110" s="5" t="n">
        <v>3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20">
        <f>축시작+INT((A111-1)/32)</f>
        <v/>
      </c>
      <c r="G111" s="20">
        <f>F111+H111</f>
        <v/>
      </c>
      <c r="H111" s="5" t="n">
        <v>9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20">
        <f>축시작+INT((A112-1)/32)</f>
        <v/>
      </c>
      <c r="G112" s="20">
        <f>F112+H112</f>
        <v/>
      </c>
      <c r="H112" s="5" t="n">
        <v>7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20">
        <f>축시작+INT((A113-1)/32)</f>
        <v/>
      </c>
      <c r="G113" s="20">
        <f>F113+H113</f>
        <v/>
      </c>
      <c r="H113" s="5" t="n">
        <v>9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20">
        <f>축시작+INT((A114-1)/32)</f>
        <v/>
      </c>
      <c r="G114" s="20">
        <f>F114+H114</f>
        <v/>
      </c>
      <c r="H114" s="5" t="n">
        <v>1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20">
        <f>축시작+INT((A115-1)/32)</f>
        <v/>
      </c>
      <c r="G115" s="20">
        <f>F115+H115</f>
        <v/>
      </c>
      <c r="H115" s="5" t="n">
        <v>4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20">
        <f>축시작+INT((A116-1)/32)</f>
        <v/>
      </c>
      <c r="G116" s="20">
        <f>F116+H116</f>
        <v/>
      </c>
      <c r="H116" s="5" t="n">
        <v>3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20">
        <f>축시작+INT((A117-1)/32)</f>
        <v/>
      </c>
      <c r="G117" s="20">
        <f>F117+H117</f>
        <v/>
      </c>
      <c r="H117" s="5" t="n">
        <v>6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20">
        <f>축시작+INT((A118-1)/32)</f>
        <v/>
      </c>
      <c r="G118" s="20">
        <f>F118+H118</f>
        <v/>
      </c>
      <c r="H118" s="5" t="n">
        <v>5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20">
        <f>축시작+INT((A119-1)/32)</f>
        <v/>
      </c>
      <c r="G119" s="20">
        <f>F119+H119</f>
        <v/>
      </c>
      <c r="H119" s="5" t="n">
        <v>8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20">
        <f>축시작+INT((A120-1)/32)</f>
        <v/>
      </c>
      <c r="G120" s="20">
        <f>F120+H120</f>
        <v/>
      </c>
      <c r="H120" s="5" t="n">
        <v>8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20">
        <f>축시작+INT((A121-1)/32)</f>
        <v/>
      </c>
      <c r="G121" s="20">
        <f>F121+H121</f>
        <v/>
      </c>
      <c r="H121" s="5" t="n">
        <v>9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20">
        <f>축시작+INT((A122-1)/32)</f>
        <v/>
      </c>
      <c r="G122" s="20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20">
        <f>축시작+INT((A123-1)/32)</f>
        <v/>
      </c>
      <c r="G123" s="20">
        <f>F123+H123</f>
        <v/>
      </c>
      <c r="H123" s="5" t="n">
        <v>6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20">
        <f>축시작+INT((A124-1)/32)</f>
        <v/>
      </c>
      <c r="G124" s="20">
        <f>F124+H124</f>
        <v/>
      </c>
      <c r="H124" s="5" t="n">
        <v>5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20">
        <f>축시작+INT((A125-1)/32)</f>
        <v/>
      </c>
      <c r="G125" s="20">
        <f>F125+H125</f>
        <v/>
      </c>
      <c r="H125" s="5" t="n">
        <v>6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20">
        <f>축시작+INT((A126-1)/32)</f>
        <v/>
      </c>
      <c r="G126" s="20">
        <f>F126+H126</f>
        <v/>
      </c>
      <c r="H126" s="5" t="n">
        <v>1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20">
        <f>축시작+INT((A127-1)/32)</f>
        <v/>
      </c>
      <c r="G127" s="20">
        <f>F127+H127</f>
        <v/>
      </c>
      <c r="H127" s="5" t="n">
        <v>5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20">
        <f>축시작+INT((A128-1)/32)</f>
        <v/>
      </c>
      <c r="G128" s="20">
        <f>F128+H128</f>
        <v/>
      </c>
      <c r="H128" s="5" t="n">
        <v>5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20">
        <f>축시작+INT((A129-1)/32)</f>
        <v/>
      </c>
      <c r="G129" s="20">
        <f>F129+H129</f>
        <v/>
      </c>
      <c r="H129" s="5" t="n">
        <v>6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20">
        <f>축시작+INT((A130-1)/32)</f>
        <v/>
      </c>
      <c r="G130" s="20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20">
        <f>축시작+INT((A131-1)/32)</f>
        <v/>
      </c>
      <c r="G131" s="20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20">
        <f>축시작+INT((A132-1)/32)</f>
        <v/>
      </c>
      <c r="G132" s="20">
        <f>F132+H132</f>
        <v/>
      </c>
      <c r="H132" s="5" t="n">
        <v>7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20">
        <f>축시작+INT((A133-1)/32)</f>
        <v/>
      </c>
      <c r="G133" s="20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20">
        <f>축시작+INT((A134-1)/32)</f>
        <v/>
      </c>
      <c r="G134" s="20">
        <f>F134+H134</f>
        <v/>
      </c>
      <c r="H134" s="5" t="n">
        <v>1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20">
        <f>축시작+INT((A135-1)/32)</f>
        <v/>
      </c>
      <c r="G135" s="20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20">
        <f>축시작+INT((A136-1)/32)</f>
        <v/>
      </c>
      <c r="G136" s="20">
        <f>F136+H136</f>
        <v/>
      </c>
      <c r="H136" s="5" t="n">
        <v>3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20">
        <f>축시작+INT((A137-1)/32)</f>
        <v/>
      </c>
      <c r="G137" s="20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20">
        <f>축시작+INT((A138-1)/32)</f>
        <v/>
      </c>
      <c r="G138" s="20">
        <f>F138+H138</f>
        <v/>
      </c>
      <c r="H138" s="5" t="n">
        <v>1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20">
        <f>축시작+INT((A139-1)/32)</f>
        <v/>
      </c>
      <c r="G139" s="20">
        <f>F139+H139</f>
        <v/>
      </c>
      <c r="H139" s="5" t="n">
        <v>4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20">
        <f>축시작+INT((A140-1)/32)</f>
        <v/>
      </c>
      <c r="G140" s="20">
        <f>F140+H140</f>
        <v/>
      </c>
      <c r="H140" s="5" t="n">
        <v>3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20">
        <f>축시작+INT((A141-1)/32)</f>
        <v/>
      </c>
      <c r="G141" s="20">
        <f>F141+H141</f>
        <v/>
      </c>
      <c r="H141" s="5" t="n">
        <v>8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20">
        <f>축시작+INT((A142-1)/32)</f>
        <v/>
      </c>
      <c r="G142" s="20">
        <f>F142+H142</f>
        <v/>
      </c>
      <c r="H142" s="5" t="n">
        <v>1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20">
        <f>축시작+INT((A143-1)/32)</f>
        <v/>
      </c>
      <c r="G143" s="20">
        <f>F143+H143</f>
        <v/>
      </c>
      <c r="H143" s="5" t="n">
        <v>2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20">
        <f>축시작+INT((A144-1)/32)</f>
        <v/>
      </c>
      <c r="G144" s="20">
        <f>F144+H144</f>
        <v/>
      </c>
      <c r="H144" s="5" t="n">
        <v>3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20">
        <f>축시작+INT((A145-1)/32)</f>
        <v/>
      </c>
      <c r="G145" s="20">
        <f>F145+H145</f>
        <v/>
      </c>
      <c r="H145" s="5" t="n">
        <v>8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20">
        <f>축시작+INT((A146-1)/32)</f>
        <v/>
      </c>
      <c r="G146" s="20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20">
        <f>축시작+INT((A147-1)/32)</f>
        <v/>
      </c>
      <c r="G147" s="20">
        <f>F147+H147</f>
        <v/>
      </c>
      <c r="H147" s="5" t="n">
        <v>6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20">
        <f>축시작+INT((A148-1)/32)</f>
        <v/>
      </c>
      <c r="G148" s="20">
        <f>F148+H148</f>
        <v/>
      </c>
      <c r="H148" s="5" t="n">
        <v>5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20">
        <f>축시작+INT((A149-1)/32)</f>
        <v/>
      </c>
      <c r="G149" s="20">
        <f>F149+H149</f>
        <v/>
      </c>
      <c r="H149" s="5" t="n">
        <v>6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20">
        <f>축시작+INT((A150-1)/32)</f>
        <v/>
      </c>
      <c r="G150" s="20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20">
        <f>축시작+INT((A151-1)/32)</f>
        <v/>
      </c>
      <c r="G151" s="20">
        <f>F151+H151</f>
        <v/>
      </c>
      <c r="H151" s="5" t="n">
        <v>2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20">
        <f>축시작+INT((A152-1)/32)</f>
        <v/>
      </c>
      <c r="G152" s="20">
        <f>F152+H152</f>
        <v/>
      </c>
      <c r="H152" s="5" t="n">
        <v>3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20">
        <f>축시작+INT((A153-1)/32)</f>
        <v/>
      </c>
      <c r="G153" s="20">
        <f>F153+H153</f>
        <v/>
      </c>
      <c r="H153" s="5" t="n">
        <v>8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20">
        <f>축시작+INT((A154-1)/32)</f>
        <v/>
      </c>
      <c r="G154" s="20">
        <f>F154+H154</f>
        <v/>
      </c>
      <c r="H154" s="5" t="n">
        <v>7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20">
        <f>축시작+INT((A155-1)/32)</f>
        <v/>
      </c>
      <c r="G155" s="20">
        <f>F155+H155</f>
        <v/>
      </c>
      <c r="H155" s="5" t="n">
        <v>2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20">
        <f>축시작+INT((A156-1)/32)</f>
        <v/>
      </c>
      <c r="G156" s="20">
        <f>F156+H156</f>
        <v/>
      </c>
      <c r="H156" s="5" t="n">
        <v>7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20">
        <f>축시작+INT((A157-1)/32)</f>
        <v/>
      </c>
      <c r="G157" s="20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20">
        <f>축시작+INT((A158-1)/32)</f>
        <v/>
      </c>
      <c r="G158" s="20">
        <f>F158+H158</f>
        <v/>
      </c>
      <c r="H158" s="5" t="n">
        <v>2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20">
        <f>축시작+INT((A159-1)/32)</f>
        <v/>
      </c>
      <c r="G159" s="20">
        <f>F159+H159</f>
        <v/>
      </c>
      <c r="H159" s="5" t="n">
        <v>5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20">
        <f>축시작+INT((A160-1)/32)</f>
        <v/>
      </c>
      <c r="G160" s="20">
        <f>F160+H160</f>
        <v/>
      </c>
      <c r="H160" s="5" t="n">
        <v>5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20">
        <f>축시작+INT((A161-1)/32)</f>
        <v/>
      </c>
      <c r="G161" s="20">
        <f>F161+H161</f>
        <v/>
      </c>
      <c r="H161" s="5" t="n">
        <v>8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20">
        <f>축시작+INT((A162-1)/32)</f>
        <v/>
      </c>
      <c r="G162" s="20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20">
        <f>축시작+INT((A163-1)/32)</f>
        <v/>
      </c>
      <c r="G163" s="20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20">
        <f>축시작+INT((A164-1)/32)</f>
        <v/>
      </c>
      <c r="G164" s="20">
        <f>F164+H164</f>
        <v/>
      </c>
      <c r="H164" s="5" t="n">
        <v>4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20">
        <f>축시작+INT((A165-1)/32)</f>
        <v/>
      </c>
      <c r="G165" s="20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20">
        <f>축시작+INT((A166-1)/32)</f>
        <v/>
      </c>
      <c r="G166" s="20">
        <f>F166+H166</f>
        <v/>
      </c>
      <c r="H166" s="5" t="n">
        <v>7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20">
        <f>축시작+INT((A167-1)/32)</f>
        <v/>
      </c>
      <c r="G167" s="20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20">
        <f>축시작+INT((A168-1)/32)</f>
        <v/>
      </c>
      <c r="G168" s="20">
        <f>F168+H168</f>
        <v/>
      </c>
      <c r="H168" s="5" t="n">
        <v>5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20">
        <f>축시작+INT((A169-1)/32)</f>
        <v/>
      </c>
      <c r="G169" s="20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20">
        <f>축시작+INT((A170-1)/32)</f>
        <v/>
      </c>
      <c r="G170" s="20">
        <f>F170+H170</f>
        <v/>
      </c>
      <c r="H170" s="5" t="n">
        <v>1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20">
        <f>축시작+INT((A171-1)/32)</f>
        <v/>
      </c>
      <c r="G171" s="20">
        <f>F171+H171</f>
        <v/>
      </c>
      <c r="H171" s="5" t="n">
        <v>2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20">
        <f>축시작+INT((A172-1)/32)</f>
        <v/>
      </c>
      <c r="G172" s="20">
        <f>F172+H172</f>
        <v/>
      </c>
      <c r="H172" s="5" t="n">
        <v>5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20">
        <f>축시작+INT((A173-1)/32)</f>
        <v/>
      </c>
      <c r="G173" s="20">
        <f>F173+H173</f>
        <v/>
      </c>
      <c r="H173" s="5" t="n">
        <v>7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20">
        <f>축시작+INT((A174-1)/32)</f>
        <v/>
      </c>
      <c r="G174" s="20">
        <f>F174+H174</f>
        <v/>
      </c>
      <c r="H174" s="5" t="n">
        <v>6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20">
        <f>축시작+INT((A175-1)/32)</f>
        <v/>
      </c>
      <c r="G175" s="20">
        <f>F175+H175</f>
        <v/>
      </c>
      <c r="H175" s="5" t="n">
        <v>3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20">
        <f>축시작+INT((A176-1)/32)</f>
        <v/>
      </c>
      <c r="G176" s="20">
        <f>F176+H176</f>
        <v/>
      </c>
      <c r="H176" s="5" t="n">
        <v>7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20">
        <f>축시작+INT((A177-1)/32)</f>
        <v/>
      </c>
      <c r="G177" s="20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20">
        <f>축시작+INT((A178-1)/32)</f>
        <v/>
      </c>
      <c r="G178" s="20">
        <f>F178+H178</f>
        <v/>
      </c>
      <c r="H178" s="5" t="n">
        <v>2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20">
        <f>축시작+INT((A179-1)/32)</f>
        <v/>
      </c>
      <c r="G179" s="20">
        <f>F179+H179</f>
        <v/>
      </c>
      <c r="H179" s="5" t="n">
        <v>4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20">
        <f>축시작+INT((A180-1)/32)</f>
        <v/>
      </c>
      <c r="G180" s="20">
        <f>F180+H180</f>
        <v/>
      </c>
      <c r="H180" s="5" t="n">
        <v>3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20">
        <f>축시작+INT((A181-1)/32)</f>
        <v/>
      </c>
      <c r="G181" s="20">
        <f>F181+H181</f>
        <v/>
      </c>
      <c r="H181" s="5" t="n">
        <v>6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20">
        <f>축시작+INT((A182-1)/32)</f>
        <v/>
      </c>
      <c r="G182" s="20">
        <f>F182+H182</f>
        <v/>
      </c>
      <c r="H182" s="5" t="n">
        <v>7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20">
        <f>축시작+INT((A183-1)/32)</f>
        <v/>
      </c>
      <c r="G183" s="20">
        <f>F183+H183</f>
        <v/>
      </c>
      <c r="H183" s="5" t="n">
        <v>4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20">
        <f>축시작+INT((A184-1)/32)</f>
        <v/>
      </c>
      <c r="G184" s="20">
        <f>F184+H184</f>
        <v/>
      </c>
      <c r="H184" s="5" t="n">
        <v>7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20">
        <f>축시작+INT((A185-1)/32)</f>
        <v/>
      </c>
      <c r="G185" s="20">
        <f>F185+H185</f>
        <v/>
      </c>
      <c r="H185" s="5" t="n">
        <v>7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20">
        <f>축시작+INT((A186-1)/32)</f>
        <v/>
      </c>
      <c r="G186" s="20">
        <f>F186+H186</f>
        <v/>
      </c>
      <c r="H186" s="5" t="n">
        <v>5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20">
        <f>축시작+INT((A187-1)/32)</f>
        <v/>
      </c>
      <c r="G187" s="20">
        <f>F187+H187</f>
        <v/>
      </c>
      <c r="H187" s="5" t="n">
        <v>2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20">
        <f>축시작+INT((A188-1)/32)</f>
        <v/>
      </c>
      <c r="G188" s="20">
        <f>F188+H188</f>
        <v/>
      </c>
      <c r="H188" s="5" t="n">
        <v>5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20">
        <f>축시작+INT((A189-1)/32)</f>
        <v/>
      </c>
      <c r="G189" s="20">
        <f>F189+H189</f>
        <v/>
      </c>
      <c r="H189" s="5" t="n">
        <v>6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20">
        <f>축시작+INT((A190-1)/32)</f>
        <v/>
      </c>
      <c r="G190" s="20">
        <f>F190+H190</f>
        <v/>
      </c>
      <c r="H190" s="5" t="n">
        <v>7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20">
        <f>축시작+INT((A191-1)/32)</f>
        <v/>
      </c>
      <c r="G191" s="20">
        <f>F191+H191</f>
        <v/>
      </c>
      <c r="H191" s="5" t="n">
        <v>6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20">
        <f>축시작+INT((A192-1)/32)</f>
        <v/>
      </c>
      <c r="G192" s="20">
        <f>F192+H192</f>
        <v/>
      </c>
      <c r="H192" s="5" t="n">
        <v>5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20">
        <f>축시작+INT((A193-1)/32)</f>
        <v/>
      </c>
      <c r="G193" s="20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20">
        <f>축시작+INT((A194-1)/32)</f>
        <v/>
      </c>
      <c r="G194" s="20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20">
        <f>축시작+INT((A195-1)/32)</f>
        <v/>
      </c>
      <c r="G195" s="20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20">
        <f>축시작+INT((A196-1)/32)</f>
        <v/>
      </c>
      <c r="G196" s="20">
        <f>F196+H196</f>
        <v/>
      </c>
      <c r="H196" s="5" t="n">
        <v>5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20">
        <f>축시작+INT((A197-1)/32)</f>
        <v/>
      </c>
      <c r="G197" s="20">
        <f>F197+H197</f>
        <v/>
      </c>
      <c r="H197" s="5" t="n">
        <v>6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20">
        <f>축시작+INT((A198-1)/32)</f>
        <v/>
      </c>
      <c r="G198" s="20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20">
        <f>축시작+INT((A199-1)/32)</f>
        <v/>
      </c>
      <c r="G199" s="20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20">
        <f>축시작+INT((A200-1)/32)</f>
        <v/>
      </c>
      <c r="G200" s="20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20">
        <f>축시작+INT((A201-1)/32)</f>
        <v/>
      </c>
      <c r="G201" s="20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20">
        <f>축시작+INT((A202-1)/32)</f>
        <v/>
      </c>
      <c r="G202" s="20">
        <f>F202+H202</f>
        <v/>
      </c>
      <c r="H202" s="5" t="n">
        <v>3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20">
        <f>축시작+INT((A203-1)/32)</f>
        <v/>
      </c>
      <c r="G203" s="20">
        <f>F203+H203</f>
        <v/>
      </c>
      <c r="H203" s="5" t="n">
        <v>4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20">
        <f>축시작+INT((A204-1)/32)</f>
        <v/>
      </c>
      <c r="G204" s="20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20">
        <f>축시작+INT((A205-1)/32)</f>
        <v/>
      </c>
      <c r="G205" s="20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20">
        <f>축시작+INT((A206-1)/32)</f>
        <v/>
      </c>
      <c r="G206" s="20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20">
        <f>축시작+INT((A207-1)/32)</f>
        <v/>
      </c>
      <c r="G207" s="20">
        <f>F207+H207</f>
        <v/>
      </c>
      <c r="H207" s="5" t="n">
        <v>5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20">
        <f>축시작+INT((A208-1)/32)</f>
        <v/>
      </c>
      <c r="G208" s="20">
        <f>F208+H208</f>
        <v/>
      </c>
      <c r="H208" s="5" t="n">
        <v>5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20">
        <f>축시작+INT((A209-1)/32)</f>
        <v/>
      </c>
      <c r="G209" s="20">
        <f>F209+H209</f>
        <v/>
      </c>
      <c r="H209" s="5" t="n">
        <v>6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20">
        <f>축시작+INT((A210-1)/32)</f>
        <v/>
      </c>
      <c r="G210" s="20">
        <f>F210+H210</f>
        <v/>
      </c>
      <c r="H210" s="5" t="n">
        <v>4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20">
        <f>축시작+INT((A211-1)/32)</f>
        <v/>
      </c>
      <c r="G211" s="20">
        <f>F211+H211</f>
        <v/>
      </c>
      <c r="H211" s="5" t="n">
        <v>5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20">
        <f>축시작+INT((A212-1)/32)</f>
        <v/>
      </c>
      <c r="G212" s="20">
        <f>F212+H212</f>
        <v/>
      </c>
      <c r="H212" s="5" t="n">
        <v>5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20">
        <f>축시작+INT((A213-1)/32)</f>
        <v/>
      </c>
      <c r="G213" s="20">
        <f>F213+H213</f>
        <v/>
      </c>
      <c r="H213" s="5" t="n">
        <v>4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20">
        <f>축시작+INT((A214-1)/32)</f>
        <v/>
      </c>
      <c r="G214" s="20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20">
        <f>축시작+INT((A215-1)/32)</f>
        <v/>
      </c>
      <c r="G215" s="20">
        <f>F215+H215</f>
        <v/>
      </c>
      <c r="H215" s="5" t="n">
        <v>4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20">
        <f>축시작+INT((A216-1)/32)</f>
        <v/>
      </c>
      <c r="G216" s="20">
        <f>F216+H216</f>
        <v/>
      </c>
      <c r="H216" s="5" t="n">
        <v>5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20">
        <f>축시작+INT((A217-1)/32)</f>
        <v/>
      </c>
      <c r="G217" s="20">
        <f>F217+H217</f>
        <v/>
      </c>
      <c r="H217" s="5" t="n">
        <v>7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20">
        <f>축시작+INT((A218-1)/32)</f>
        <v/>
      </c>
      <c r="G218" s="20">
        <f>F218+H218</f>
        <v/>
      </c>
      <c r="H218" s="5" t="n">
        <v>1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20">
        <f>축시작+INT((A219-1)/32)</f>
        <v/>
      </c>
      <c r="G219" s="20">
        <f>F219+H219</f>
        <v/>
      </c>
      <c r="H219" s="5" t="n">
        <v>5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20">
        <f>축시작+INT((A220-1)/32)</f>
        <v/>
      </c>
      <c r="G220" s="20">
        <f>F220+H220</f>
        <v/>
      </c>
      <c r="H220" s="5" t="n">
        <v>3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20">
        <f>축시작+INT((A221-1)/32)</f>
        <v/>
      </c>
      <c r="G221" s="20">
        <f>F221+H221</f>
        <v/>
      </c>
      <c r="H221" s="5" t="n">
        <v>5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20">
        <f>축시작+INT((A222-1)/32)</f>
        <v/>
      </c>
      <c r="G222" s="20">
        <f>F222+H222</f>
        <v/>
      </c>
      <c r="H222" s="5" t="n">
        <v>4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20">
        <f>축시작+INT((A223-1)/32)</f>
        <v/>
      </c>
      <c r="G223" s="20">
        <f>F223+H223</f>
        <v/>
      </c>
      <c r="H223" s="5" t="n">
        <v>6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20">
        <f>축시작+INT((A224-1)/32)</f>
        <v/>
      </c>
      <c r="G224" s="20">
        <f>F224+H224</f>
        <v/>
      </c>
      <c r="H224" s="5" t="n">
        <v>3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20">
        <f>축시작+INT((A225-1)/32)</f>
        <v/>
      </c>
      <c r="G225" s="20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20">
        <f>축시작+INT((A226-1)/32)</f>
        <v/>
      </c>
      <c r="G226" s="20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20">
        <f>축시작+INT((A227-1)/32)</f>
        <v/>
      </c>
      <c r="G227" s="20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20">
        <f>축시작+INT((A228-1)/32)</f>
        <v/>
      </c>
      <c r="G228" s="20">
        <f>F228+H228</f>
        <v/>
      </c>
      <c r="H228" s="5" t="n">
        <v>3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20">
        <f>축시작+INT((A229-1)/32)</f>
        <v/>
      </c>
      <c r="G229" s="20">
        <f>F229+H229</f>
        <v/>
      </c>
      <c r="H229" s="5" t="n">
        <v>6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20">
        <f>축시작+INT((A230-1)/32)</f>
        <v/>
      </c>
      <c r="G230" s="20">
        <f>F230+H230</f>
        <v/>
      </c>
      <c r="H230" s="5" t="n">
        <v>2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20">
        <f>축시작+INT((A231-1)/32)</f>
        <v/>
      </c>
      <c r="G231" s="20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20">
        <f>축시작+INT((A232-1)/32)</f>
        <v/>
      </c>
      <c r="G232" s="20">
        <f>F232+H232</f>
        <v/>
      </c>
      <c r="H232" s="5" t="n">
        <v>5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20">
        <f>축시작+INT((A233-1)/32)</f>
        <v/>
      </c>
      <c r="G233" s="20">
        <f>F233+H233</f>
        <v/>
      </c>
      <c r="H233" s="5" t="n">
        <v>13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20">
        <f>축시작+INT((A234-1)/32)</f>
        <v/>
      </c>
      <c r="G234" s="20">
        <f>F234+H234</f>
        <v/>
      </c>
      <c r="H234" s="5" t="n">
        <v>3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20">
        <f>축시작+INT((A235-1)/32)</f>
        <v/>
      </c>
      <c r="G235" s="20">
        <f>F235+H235</f>
        <v/>
      </c>
      <c r="H235" s="5" t="n">
        <v>2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20">
        <f>축시작+INT((A236-1)/32)</f>
        <v/>
      </c>
      <c r="G236" s="20">
        <f>F236+H236</f>
        <v/>
      </c>
      <c r="H236" s="5" t="n">
        <v>5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20">
        <f>축시작+INT((A237-1)/32)</f>
        <v/>
      </c>
      <c r="G237" s="20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20">
        <f>축시작+INT((A238-1)/32)</f>
        <v/>
      </c>
      <c r="G238" s="20">
        <f>F238+H238</f>
        <v/>
      </c>
      <c r="H238" s="5" t="n">
        <v>3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20">
        <f>축시작+INT((A239-1)/32)</f>
        <v/>
      </c>
      <c r="G239" s="20">
        <f>F239+H239</f>
        <v/>
      </c>
      <c r="H239" s="5" t="n">
        <v>2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20">
        <f>축시작+INT((A240-1)/32)</f>
        <v/>
      </c>
      <c r="G240" s="20">
        <f>F240+H240</f>
        <v/>
      </c>
      <c r="H240" s="5" t="n">
        <v>4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20">
        <f>축시작+INT((A241-1)/32)</f>
        <v/>
      </c>
      <c r="G241" s="20">
        <f>F241+H241</f>
        <v/>
      </c>
      <c r="H241" s="5" t="n">
        <v>4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20">
        <f>축시작+INT((A242-1)/32)</f>
        <v/>
      </c>
      <c r="G242" s="20">
        <f>F242+H242</f>
        <v/>
      </c>
      <c r="H242" s="5" t="n">
        <v>1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20">
        <f>축시작+INT((A243-1)/32)</f>
        <v/>
      </c>
      <c r="G243" s="20">
        <f>F243+H243</f>
        <v/>
      </c>
      <c r="H243" s="5" t="n">
        <v>5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20">
        <f>축시작+INT((A244-1)/32)</f>
        <v/>
      </c>
      <c r="G244" s="20">
        <f>F244+H244</f>
        <v/>
      </c>
      <c r="H244" s="5" t="n">
        <v>5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20">
        <f>축시작+INT((A245-1)/32)</f>
        <v/>
      </c>
      <c r="G245" s="20">
        <f>F245+H245</f>
        <v/>
      </c>
      <c r="H245" s="5" t="n">
        <v>10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20">
        <f>축시작+INT((A246-1)/32)</f>
        <v/>
      </c>
      <c r="G246" s="20">
        <f>F246+H246</f>
        <v/>
      </c>
      <c r="H246" s="5" t="n">
        <v>4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20">
        <f>축시작+INT((A247-1)/32)</f>
        <v/>
      </c>
      <c r="G247" s="20">
        <f>F247+H247</f>
        <v/>
      </c>
      <c r="H247" s="5" t="n">
        <v>5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20">
        <f>축시작+INT((A248-1)/32)</f>
        <v/>
      </c>
      <c r="G248" s="20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20">
        <f>축시작+INT((A249-1)/32)</f>
        <v/>
      </c>
      <c r="G249" s="20">
        <f>F249+H249</f>
        <v/>
      </c>
      <c r="H249" s="5" t="n">
        <v>7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20">
        <f>축시작+INT((A250-1)/32)</f>
        <v/>
      </c>
      <c r="G250" s="20">
        <f>F250+H250</f>
        <v/>
      </c>
      <c r="H250" s="5" t="n">
        <v>1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20">
        <f>축시작+INT((A251-1)/32)</f>
        <v/>
      </c>
      <c r="G251" s="20">
        <f>F251+H251</f>
        <v/>
      </c>
      <c r="H251" s="5" t="n">
        <v>5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20">
        <f>축시작+INT((A252-1)/32)</f>
        <v/>
      </c>
      <c r="G252" s="20">
        <f>F252+H252</f>
        <v/>
      </c>
      <c r="H252" s="5" t="n">
        <v>3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20">
        <f>축시작+INT((A253-1)/32)</f>
        <v/>
      </c>
      <c r="G253" s="20">
        <f>F253+H253</f>
        <v/>
      </c>
      <c r="H253" s="5" t="n">
        <v>5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20">
        <f>축시작+INT((A254-1)/32)</f>
        <v/>
      </c>
      <c r="G254" s="20">
        <f>F254+H254</f>
        <v/>
      </c>
      <c r="H254" s="5" t="n">
        <v>1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20">
        <f>축시작+INT((A255-1)/32)</f>
        <v/>
      </c>
      <c r="G255" s="20">
        <f>F255+H255</f>
        <v/>
      </c>
      <c r="H255" s="5" t="n">
        <v>4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20">
        <f>축시작+INT((A256-1)/32)</f>
        <v/>
      </c>
      <c r="G256" s="20">
        <f>F256+H256</f>
        <v/>
      </c>
      <c r="H256" s="5" t="n">
        <v>5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20">
        <f>축시작+INT((A257-1)/32)</f>
        <v/>
      </c>
      <c r="G257" s="20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20">
        <f>축시작+INT((A258-1)/32)</f>
        <v/>
      </c>
      <c r="G258" s="20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20">
        <f>축시작+INT((A259-1)/32)</f>
        <v/>
      </c>
      <c r="G259" s="20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20">
        <f>축시작+INT((A260-1)/32)</f>
        <v/>
      </c>
      <c r="G260" s="20">
        <f>F260+H260</f>
        <v/>
      </c>
      <c r="H260" s="5" t="n">
        <v>9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20">
        <f>축시작+INT((A261-1)/32)</f>
        <v/>
      </c>
      <c r="G261" s="20">
        <f>F261+H261</f>
        <v/>
      </c>
      <c r="H261" s="5" t="n">
        <v>6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20">
        <f>축시작+INT((A262-1)/32)</f>
        <v/>
      </c>
      <c r="G262" s="20">
        <f>F262+H262</f>
        <v/>
      </c>
      <c r="H262" s="5" t="n">
        <v>2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20">
        <f>축시작+INT((A263-1)/32)</f>
        <v/>
      </c>
      <c r="G263" s="20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20">
        <f>축시작+INT((A264-1)/32)</f>
        <v/>
      </c>
      <c r="G264" s="20">
        <f>F264+H264</f>
        <v/>
      </c>
      <c r="H264" s="5" t="n">
        <v>3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20">
        <f>축시작+INT((A265-1)/32)</f>
        <v/>
      </c>
      <c r="G265" s="20">
        <f>F265+H265</f>
        <v/>
      </c>
      <c r="H265" s="5" t="n">
        <v>6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20">
        <f>축시작+INT((A266-1)/32)</f>
        <v/>
      </c>
      <c r="G266" s="20">
        <f>F266+H266</f>
        <v/>
      </c>
      <c r="H266" s="5" t="n">
        <v>1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20">
        <f>축시작+INT((A267-1)/32)</f>
        <v/>
      </c>
      <c r="G267" s="20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20">
        <f>축시작+INT((A268-1)/32)</f>
        <v/>
      </c>
      <c r="G268" s="20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20">
        <f>축시작+INT((A269-1)/32)</f>
        <v/>
      </c>
      <c r="G269" s="20">
        <f>F269+H269</f>
        <v/>
      </c>
      <c r="H269" s="5" t="n">
        <v>6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20">
        <f>축시작+INT((A270-1)/32)</f>
        <v/>
      </c>
      <c r="G270" s="20">
        <f>F270+H270</f>
        <v/>
      </c>
      <c r="H270" s="5" t="n">
        <v>1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20">
        <f>축시작+INT((A271-1)/32)</f>
        <v/>
      </c>
      <c r="G271" s="20">
        <f>F271+H271</f>
        <v/>
      </c>
      <c r="H271" s="5" t="n">
        <v>2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20">
        <f>축시작+INT((A272-1)/32)</f>
        <v/>
      </c>
      <c r="G272" s="20">
        <f>F272+H272</f>
        <v/>
      </c>
      <c r="H272" s="5" t="n">
        <v>4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20">
        <f>축시작+INT((A273-1)/32)</f>
        <v/>
      </c>
      <c r="G273" s="20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20">
        <f>축시작+INT((A274-1)/32)</f>
        <v/>
      </c>
      <c r="G274" s="20">
        <f>F274+H274</f>
        <v/>
      </c>
      <c r="H274" s="5" t="n">
        <v>1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20">
        <f>축시작+INT((A275-1)/32)</f>
        <v/>
      </c>
      <c r="G275" s="20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20">
        <f>축시작+INT((A276-1)/32)</f>
        <v/>
      </c>
      <c r="G276" s="20">
        <f>F276+H276</f>
        <v/>
      </c>
      <c r="H276" s="5" t="n">
        <v>5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20">
        <f>축시작+INT((A277-1)/32)</f>
        <v/>
      </c>
      <c r="G277" s="20">
        <f>F277+H277</f>
        <v/>
      </c>
      <c r="H277" s="5" t="n">
        <v>6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20">
        <f>축시작+INT((A278-1)/32)</f>
        <v/>
      </c>
      <c r="G278" s="20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20">
        <f>축시작+INT((A279-1)/32)</f>
        <v/>
      </c>
      <c r="G279" s="20">
        <f>F279+H279</f>
        <v/>
      </c>
      <c r="H279" s="5" t="n">
        <v>2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20">
        <f>축시작+INT((A280-1)/32)</f>
        <v/>
      </c>
      <c r="G280" s="20">
        <f>F280+H280</f>
        <v/>
      </c>
      <c r="H280" s="5" t="n">
        <v>5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20">
        <f>축시작+INT((A281-1)/32)</f>
        <v/>
      </c>
      <c r="G281" s="20">
        <f>F281+H281</f>
        <v/>
      </c>
      <c r="H281" s="5" t="n">
        <v>6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20">
        <f>축시작+INT((A282-1)/32)</f>
        <v/>
      </c>
      <c r="G282" s="20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20">
        <f>축시작+INT((A283-1)/32)</f>
        <v/>
      </c>
      <c r="G283" s="20">
        <f>F283+H283</f>
        <v/>
      </c>
      <c r="H283" s="5" t="n">
        <v>2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20">
        <f>축시작+INT((A284-1)/32)</f>
        <v/>
      </c>
      <c r="G284" s="20">
        <f>F284+H284</f>
        <v/>
      </c>
      <c r="H284" s="5" t="n">
        <v>4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20">
        <f>축시작+INT((A285-1)/32)</f>
        <v/>
      </c>
      <c r="G285" s="20">
        <f>F285+H285</f>
        <v/>
      </c>
      <c r="H285" s="5" t="n">
        <v>4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20">
        <f>축시작+INT((A286-1)/32)</f>
        <v/>
      </c>
      <c r="G286" s="20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20">
        <f>축시작+INT((A287-1)/32)</f>
        <v/>
      </c>
      <c r="G287" s="20">
        <f>F287+H287</f>
        <v/>
      </c>
      <c r="H287" s="5" t="n">
        <v>2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20">
        <f>축시작+INT((A288-1)/32)</f>
        <v/>
      </c>
      <c r="G288" s="20">
        <f>F288+H288</f>
        <v/>
      </c>
      <c r="H288" s="5" t="n">
        <v>3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20">
        <f>축시작+INT((A289-1)/32)</f>
        <v/>
      </c>
      <c r="G289" s="20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20">
        <f>축시작+INT((A290-1)/32)</f>
        <v/>
      </c>
      <c r="G290" s="20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20">
        <f>축시작+INT((A291-1)/32)</f>
        <v/>
      </c>
      <c r="G291" s="20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20">
        <f>축시작+INT((A292-1)/32)</f>
        <v/>
      </c>
      <c r="G292" s="20">
        <f>F292+H292</f>
        <v/>
      </c>
      <c r="H292" s="5" t="n">
        <v>3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20">
        <f>축시작+INT((A293-1)/32)</f>
        <v/>
      </c>
      <c r="G293" s="20">
        <f>F293+H293</f>
        <v/>
      </c>
      <c r="H293" s="5" t="n">
        <v>6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20">
        <f>축시작+INT((A294-1)/32)</f>
        <v/>
      </c>
      <c r="G294" s="20">
        <f>F294+H294</f>
        <v/>
      </c>
      <c r="H294" s="5" t="n">
        <v>1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20">
        <f>축시작+INT((A295-1)/32)</f>
        <v/>
      </c>
      <c r="G295" s="20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20">
        <f>축시작+INT((A296-1)/32)</f>
        <v/>
      </c>
      <c r="G296" s="20">
        <f>F296+H296</f>
        <v/>
      </c>
      <c r="H296" s="5" t="n">
        <v>4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20">
        <f>축시작+INT((A297-1)/32)</f>
        <v/>
      </c>
      <c r="G297" s="20">
        <f>F297+H297</f>
        <v/>
      </c>
      <c r="H297" s="5" t="n">
        <v>4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20">
        <f>축시작+INT((A298-1)/32)</f>
        <v/>
      </c>
      <c r="G298" s="20">
        <f>F298+H298</f>
        <v/>
      </c>
      <c r="H298" s="5" t="n">
        <v>3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20">
        <f>축시작+INT((A299-1)/32)</f>
        <v/>
      </c>
      <c r="G299" s="20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20">
        <f>축시작+INT((A300-1)/32)</f>
        <v/>
      </c>
      <c r="G300" s="20">
        <f>F300+H300</f>
        <v/>
      </c>
      <c r="H300" s="5" t="n">
        <v>4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20">
        <f>축시작+INT((A301-1)/32)</f>
        <v/>
      </c>
      <c r="G301" s="20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20">
        <f>축시작+INT((A302-1)/32)</f>
        <v/>
      </c>
      <c r="G302" s="20">
        <f>F302+H302</f>
        <v/>
      </c>
      <c r="H302" s="5" t="n">
        <v>3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20">
        <f>축시작+INT((A303-1)/32)</f>
        <v/>
      </c>
      <c r="G303" s="20">
        <f>F303+H303</f>
        <v/>
      </c>
      <c r="H303" s="5" t="n">
        <v>3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20">
        <f>축시작+INT((A304-1)/32)</f>
        <v/>
      </c>
      <c r="G304" s="20">
        <f>F304+H304</f>
        <v/>
      </c>
      <c r="H304" s="5" t="n">
        <v>5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20">
        <f>축시작+INT((A305-1)/32)</f>
        <v/>
      </c>
      <c r="G305" s="20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20">
        <f>축시작+INT((A306-1)/32)</f>
        <v/>
      </c>
      <c r="G306" s="20">
        <f>F306+H306</f>
        <v/>
      </c>
      <c r="H306" s="5" t="n">
        <v>2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20">
        <f>축시작+INT((A307-1)/32)</f>
        <v/>
      </c>
      <c r="G307" s="20">
        <f>F307+H307</f>
        <v/>
      </c>
      <c r="H307" s="5" t="n">
        <v>4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20">
        <f>축시작+INT((A308-1)/32)</f>
        <v/>
      </c>
      <c r="G308" s="20">
        <f>F308+H308</f>
        <v/>
      </c>
      <c r="H308" s="5" t="n">
        <v>3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20">
        <f>축시작+INT((A309-1)/32)</f>
        <v/>
      </c>
      <c r="G309" s="20">
        <f>F309+H309</f>
        <v/>
      </c>
      <c r="H309" s="5" t="n">
        <v>4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20">
        <f>축시작+INT((A310-1)/32)</f>
        <v/>
      </c>
      <c r="G310" s="20">
        <f>F310+H310</f>
        <v/>
      </c>
      <c r="H310" s="5" t="n">
        <v>1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20">
        <f>축시작+INT((A311-1)/32)</f>
        <v/>
      </c>
      <c r="G311" s="20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20">
        <f>축시작+INT((A312-1)/32)</f>
        <v/>
      </c>
      <c r="G312" s="20">
        <f>F312+H312</f>
        <v/>
      </c>
      <c r="H312" s="5" t="n">
        <v>5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20">
        <f>축시작+INT((A313-1)/32)</f>
        <v/>
      </c>
      <c r="G313" s="20">
        <f>F313+H313</f>
        <v/>
      </c>
      <c r="H313" s="5" t="n">
        <v>7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20">
        <f>축시작+INT((A314-1)/32)</f>
        <v/>
      </c>
      <c r="G314" s="20">
        <f>F314+H314</f>
        <v/>
      </c>
      <c r="H314" s="5" t="n">
        <v>3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20">
        <f>축시작+INT((A315-1)/32)</f>
        <v/>
      </c>
      <c r="G315" s="20">
        <f>F315+H315</f>
        <v/>
      </c>
      <c r="H315" s="5" t="n">
        <v>2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20">
        <f>축시작+INT((A316-1)/32)</f>
        <v/>
      </c>
      <c r="G316" s="20">
        <f>F316+H316</f>
        <v/>
      </c>
      <c r="H316" s="5" t="n">
        <v>4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20">
        <f>축시작+INT((A317-1)/32)</f>
        <v/>
      </c>
      <c r="G317" s="20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20">
        <f>축시작+INT((A318-1)/32)</f>
        <v/>
      </c>
      <c r="G318" s="20">
        <f>F318+H318</f>
        <v/>
      </c>
      <c r="H318" s="5" t="n">
        <v>2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20">
        <f>축시작+INT((A319-1)/32)</f>
        <v/>
      </c>
      <c r="G319" s="20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20">
        <f>축시작+INT((A320-1)/32)</f>
        <v/>
      </c>
      <c r="G320" s="20">
        <f>F320+H320</f>
        <v/>
      </c>
      <c r="H320" s="5" t="n">
        <v>4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20">
        <f>축시작+INT((A321-1)/32)</f>
        <v/>
      </c>
      <c r="G321" s="20">
        <f>F321+H321</f>
        <v/>
      </c>
      <c r="H321" s="5" t="n">
        <v>5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20">
        <f>축시작+INT((A322-1)/32)</f>
        <v/>
      </c>
      <c r="G322" s="20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20">
        <f>축시작+INT((A323-1)/32)</f>
        <v/>
      </c>
      <c r="G323" s="20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20">
        <f>축시작+INT((A324-1)/32)</f>
        <v/>
      </c>
      <c r="G324" s="20">
        <f>F324+H324</f>
        <v/>
      </c>
      <c r="H324" s="5" t="n">
        <v>3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20">
        <f>축시작+INT((A325-1)/32)</f>
        <v/>
      </c>
      <c r="G325" s="20">
        <f>F325+H325</f>
        <v/>
      </c>
      <c r="H325" s="5" t="n">
        <v>6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20">
        <f>축시작+INT((A326-1)/32)</f>
        <v/>
      </c>
      <c r="G326" s="20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20">
        <f>축시작+INT((A327-1)/32)</f>
        <v/>
      </c>
      <c r="G327" s="20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20">
        <f>축시작+INT((A328-1)/32)</f>
        <v/>
      </c>
      <c r="G328" s="20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20">
        <f>축시작+INT((A329-1)/32)</f>
        <v/>
      </c>
      <c r="G329" s="20">
        <f>F329+H329</f>
        <v/>
      </c>
      <c r="H329" s="5" t="n">
        <v>5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20">
        <f>축시작+INT((A330-1)/32)</f>
        <v/>
      </c>
      <c r="G330" s="20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20">
        <f>축시작+INT((A331-1)/32)</f>
        <v/>
      </c>
      <c r="G331" s="20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20">
        <f>축시작+INT((A332-1)/32)</f>
        <v/>
      </c>
      <c r="G332" s="20">
        <f>F332+H332</f>
        <v/>
      </c>
      <c r="H332" s="5" t="n">
        <v>5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20">
        <f>축시작+INT((A333-1)/32)</f>
        <v/>
      </c>
      <c r="G333" s="20">
        <f>F333+H333</f>
        <v/>
      </c>
      <c r="H333" s="5" t="n">
        <v>6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20">
        <f>축시작+INT((A334-1)/32)</f>
        <v/>
      </c>
      <c r="G334" s="20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20">
        <f>축시작+INT((A335-1)/32)</f>
        <v/>
      </c>
      <c r="G335" s="20">
        <f>F335+H335</f>
        <v/>
      </c>
      <c r="H335" s="5" t="n">
        <v>6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20">
        <f>축시작+INT((A336-1)/32)</f>
        <v/>
      </c>
      <c r="G336" s="20">
        <f>F336+H336</f>
        <v/>
      </c>
      <c r="H336" s="5" t="n">
        <v>3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20">
        <f>축시작+INT((A337-1)/32)</f>
        <v/>
      </c>
      <c r="G337" s="20">
        <f>F337+H337</f>
        <v/>
      </c>
      <c r="H337" s="5" t="n">
        <v>6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20">
        <f>축시작+INT((A338-1)/32)</f>
        <v/>
      </c>
      <c r="G338" s="20">
        <f>F338+H338</f>
        <v/>
      </c>
      <c r="H338" s="5" t="n">
        <v>7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20">
        <f>축시작+INT((A339-1)/32)</f>
        <v/>
      </c>
      <c r="G339" s="20">
        <f>F339+H339</f>
        <v/>
      </c>
      <c r="H339" s="5" t="n">
        <v>4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20">
        <f>축시작+INT((A340-1)/32)</f>
        <v/>
      </c>
      <c r="G340" s="20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20">
        <f>축시작+INT((A341-1)/32)</f>
        <v/>
      </c>
      <c r="G341" s="20">
        <f>F341+H341</f>
        <v/>
      </c>
      <c r="H341" s="5" t="n">
        <v>6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20">
        <f>축시작+INT((A342-1)/32)</f>
        <v/>
      </c>
      <c r="G342" s="20">
        <f>F342+H342</f>
        <v/>
      </c>
      <c r="H342" s="5" t="n">
        <v>1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20">
        <f>축시작+INT((A343-1)/32)</f>
        <v/>
      </c>
      <c r="G343" s="20">
        <f>F343+H343</f>
        <v/>
      </c>
      <c r="H343" s="5" t="n">
        <v>5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20">
        <f>축시작+INT((A344-1)/32)</f>
        <v/>
      </c>
      <c r="G344" s="20">
        <f>F344+H344</f>
        <v/>
      </c>
      <c r="H344" s="5" t="n">
        <v>5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20">
        <f>축시작+INT((A345-1)/32)</f>
        <v/>
      </c>
      <c r="G345" s="20">
        <f>F345+H345</f>
        <v/>
      </c>
      <c r="H345" s="5" t="n">
        <v>7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20">
        <f>축시작+INT((A346-1)/32)</f>
        <v/>
      </c>
      <c r="G346" s="20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20">
        <f>축시작+INT((A347-1)/32)</f>
        <v/>
      </c>
      <c r="G347" s="20">
        <f>F347+H347</f>
        <v/>
      </c>
      <c r="H347" s="5" t="n">
        <v>6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20">
        <f>축시작+INT((A348-1)/32)</f>
        <v/>
      </c>
      <c r="G348" s="20">
        <f>F348+H348</f>
        <v/>
      </c>
      <c r="H348" s="5" t="n">
        <v>5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20">
        <f>축시작+INT((A349-1)/32)</f>
        <v/>
      </c>
      <c r="G349" s="20">
        <f>F349+H349</f>
        <v/>
      </c>
      <c r="H349" s="5" t="n">
        <v>6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20">
        <f>축시작+INT((A350-1)/32)</f>
        <v/>
      </c>
      <c r="G350" s="20">
        <f>F350+H350</f>
        <v/>
      </c>
      <c r="H350" s="5" t="n">
        <v>8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20">
        <f>축시작+INT((A351-1)/32)</f>
        <v/>
      </c>
      <c r="G351" s="20">
        <f>F351+H351</f>
        <v/>
      </c>
      <c r="H351" s="5" t="n">
        <v>4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20">
        <f>축시작+INT((A352-1)/32)</f>
        <v/>
      </c>
      <c r="G352" s="20">
        <f>F352+H352</f>
        <v/>
      </c>
      <c r="H352" s="5" t="n">
        <v>5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20">
        <f>축시작+INT((A353-1)/32)</f>
        <v/>
      </c>
      <c r="G353" s="20">
        <f>F353+H353</f>
        <v/>
      </c>
      <c r="H353" s="5" t="n">
        <v>5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20">
        <f>축시작+INT((A354-1)/32)</f>
        <v/>
      </c>
      <c r="G354" s="20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20">
        <f>축시작+INT((A355-1)/32)</f>
        <v/>
      </c>
      <c r="G355" s="20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20">
        <f>축시작+INT((A356-1)/32)</f>
        <v/>
      </c>
      <c r="G356" s="20">
        <f>F356+H356</f>
        <v/>
      </c>
      <c r="H356" s="5" t="n">
        <v>3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20">
        <f>축시작+INT((A357-1)/32)</f>
        <v/>
      </c>
      <c r="G357" s="20">
        <f>F357+H357</f>
        <v/>
      </c>
      <c r="H357" s="5" t="n">
        <v>13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20">
        <f>축시작+INT((A358-1)/32)</f>
        <v/>
      </c>
      <c r="G358" s="20">
        <f>F358+H358</f>
        <v/>
      </c>
      <c r="H358" s="5" t="n">
        <v>5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20">
        <f>축시작+INT((A359-1)/32)</f>
        <v/>
      </c>
      <c r="G359" s="20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20">
        <f>축시작+INT((A360-1)/32)</f>
        <v/>
      </c>
      <c r="G360" s="20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20">
        <f>축시작+INT((A361-1)/32)</f>
        <v/>
      </c>
      <c r="G361" s="20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20">
        <f>축시작+INT((A362-1)/32)</f>
        <v/>
      </c>
      <c r="G362" s="20">
        <f>F362+H362</f>
        <v/>
      </c>
      <c r="H362" s="5" t="n">
        <v>3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20">
        <f>축시작+INT((A363-1)/32)</f>
        <v/>
      </c>
      <c r="G363" s="20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20">
        <f>축시작+INT((A364-1)/32)</f>
        <v/>
      </c>
      <c r="G364" s="20">
        <f>F364+H364</f>
        <v/>
      </c>
      <c r="H364" s="5" t="n">
        <v>3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20">
        <f>축시작+INT((A365-1)/32)</f>
        <v/>
      </c>
      <c r="G365" s="20">
        <f>F365+H365</f>
        <v/>
      </c>
      <c r="H365" s="5" t="n">
        <v>6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20">
        <f>축시작+INT((A366-1)/32)</f>
        <v/>
      </c>
      <c r="G366" s="20">
        <f>F366+H366</f>
        <v/>
      </c>
      <c r="H366" s="5" t="n">
        <v>7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20">
        <f>축시작+INT((A367-1)/32)</f>
        <v/>
      </c>
      <c r="G367" s="20">
        <f>F367+H367</f>
        <v/>
      </c>
      <c r="H367" s="5" t="n">
        <v>2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20">
        <f>축시작+INT((A368-1)/32)</f>
        <v/>
      </c>
      <c r="G368" s="20">
        <f>F368+H368</f>
        <v/>
      </c>
      <c r="H368" s="5" t="n">
        <v>6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20">
        <f>축시작+INT((A369-1)/32)</f>
        <v/>
      </c>
      <c r="G369" s="20">
        <f>F369+H369</f>
        <v/>
      </c>
      <c r="H369" s="5" t="n">
        <v>6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20">
        <f>축시작+INT((A370-1)/32)</f>
        <v/>
      </c>
      <c r="G370" s="20">
        <f>F370+H370</f>
        <v/>
      </c>
      <c r="H370" s="5" t="n">
        <v>1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20">
        <f>축시작+INT((A371-1)/32)</f>
        <v/>
      </c>
      <c r="G371" s="20">
        <f>F371+H371</f>
        <v/>
      </c>
      <c r="H371" s="5" t="n">
        <v>4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20">
        <f>축시작+INT((A372-1)/32)</f>
        <v/>
      </c>
      <c r="G372" s="20">
        <f>F372+H372</f>
        <v/>
      </c>
      <c r="H372" s="5" t="n">
        <v>3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20">
        <f>축시작+INT((A373-1)/32)</f>
        <v/>
      </c>
      <c r="G373" s="20">
        <f>F373+H373</f>
        <v/>
      </c>
      <c r="H373" s="5" t="n">
        <v>4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20">
        <f>축시작+INT((A374-1)/32)</f>
        <v/>
      </c>
      <c r="G374" s="20">
        <f>F374+H374</f>
        <v/>
      </c>
      <c r="H374" s="5" t="n">
        <v>1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20">
        <f>축시작+INT((A375-1)/32)</f>
        <v/>
      </c>
      <c r="G375" s="20">
        <f>F375+H375</f>
        <v/>
      </c>
      <c r="H375" s="5" t="n">
        <v>5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20">
        <f>축시작+INT((A376-1)/32)</f>
        <v/>
      </c>
      <c r="G376" s="20">
        <f>F376+H376</f>
        <v/>
      </c>
      <c r="H376" s="5" t="n">
        <v>5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20">
        <f>축시작+INT((A377-1)/32)</f>
        <v/>
      </c>
      <c r="G377" s="20">
        <f>F377+H377</f>
        <v/>
      </c>
      <c r="H377" s="5" t="n">
        <v>4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20">
        <f>축시작+INT((A378-1)/32)</f>
        <v/>
      </c>
      <c r="G378" s="20">
        <f>F378+H378</f>
        <v/>
      </c>
      <c r="H378" s="5" t="n">
        <v>6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20">
        <f>축시작+INT((A379-1)/32)</f>
        <v/>
      </c>
      <c r="G379" s="20">
        <f>F379+H379</f>
        <v/>
      </c>
      <c r="H379" s="5" t="n">
        <v>2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20">
        <f>축시작+INT((A380-1)/32)</f>
        <v/>
      </c>
      <c r="G380" s="20">
        <f>F380+H380</f>
        <v/>
      </c>
      <c r="H380" s="5" t="n">
        <v>3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20">
        <f>축시작+INT((A381-1)/32)</f>
        <v/>
      </c>
      <c r="G381" s="20">
        <f>F381+H381</f>
        <v/>
      </c>
      <c r="H381" s="5" t="n">
        <v>6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20">
        <f>축시작+INT((A382-1)/32)</f>
        <v/>
      </c>
      <c r="G382" s="20">
        <f>F382+H382</f>
        <v/>
      </c>
      <c r="H382" s="5" t="n">
        <v>1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20">
        <f>축시작+INT((A383-1)/32)</f>
        <v/>
      </c>
      <c r="G383" s="20">
        <f>F383+H383</f>
        <v/>
      </c>
      <c r="H383" s="5" t="n">
        <v>4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20">
        <f>축시작+INT((A384-1)/32)</f>
        <v/>
      </c>
      <c r="G384" s="20">
        <f>F384+H384</f>
        <v/>
      </c>
      <c r="H384" s="5" t="n">
        <v>3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20">
        <f>축시작+INT((A385-1)/32)</f>
        <v/>
      </c>
      <c r="G385" s="20">
        <f>F385+H385</f>
        <v/>
      </c>
      <c r="H385" s="5" t="n">
        <v>8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20">
        <f>축시작+INT((A386-1)/32)</f>
        <v/>
      </c>
      <c r="G386" s="20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20">
        <f>축시작+INT((A387-1)/32)</f>
        <v/>
      </c>
      <c r="G387" s="20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20">
        <f>축시작+INT((A388-1)/32)</f>
        <v/>
      </c>
      <c r="G388" s="20">
        <f>F388+H388</f>
        <v/>
      </c>
      <c r="H388" s="5" t="n">
        <v>3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20">
        <f>축시작+INT((A389-1)/32)</f>
        <v/>
      </c>
      <c r="G389" s="20">
        <f>F389+H389</f>
        <v/>
      </c>
      <c r="H389" s="5" t="n">
        <v>6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20">
        <f>축시작+INT((A390-1)/32)</f>
        <v/>
      </c>
      <c r="G390" s="20">
        <f>F390+H390</f>
        <v/>
      </c>
      <c r="H390" s="5" t="n">
        <v>1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20">
        <f>축시작+INT((A391-1)/32)</f>
        <v/>
      </c>
      <c r="G391" s="20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20">
        <f>축시작+INT((A392-1)/32)</f>
        <v/>
      </c>
      <c r="G392" s="20">
        <f>F392+H392</f>
        <v/>
      </c>
      <c r="H392" s="5" t="n">
        <v>9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20">
        <f>축시작+INT((A393-1)/32)</f>
        <v/>
      </c>
      <c r="G393" s="20">
        <f>F393+H393</f>
        <v/>
      </c>
      <c r="H393" s="5" t="n">
        <v>5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20">
        <f>축시작+INT((A394-1)/32)</f>
        <v/>
      </c>
      <c r="G394" s="20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20">
        <f>축시작+INT((A395-1)/32)</f>
        <v/>
      </c>
      <c r="G395" s="20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20">
        <f>축시작+INT((A396-1)/32)</f>
        <v/>
      </c>
      <c r="G396" s="20">
        <f>F396+H396</f>
        <v/>
      </c>
      <c r="H396" s="5" t="n">
        <v>5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20">
        <f>축시작+INT((A397-1)/32)</f>
        <v/>
      </c>
      <c r="G397" s="20">
        <f>F397+H397</f>
        <v/>
      </c>
      <c r="H397" s="5" t="n">
        <v>7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20">
        <f>축시작+INT((A398-1)/32)</f>
        <v/>
      </c>
      <c r="G398" s="20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20">
        <f>축시작+INT((A399-1)/32)</f>
        <v/>
      </c>
      <c r="G399" s="20">
        <f>F399+H399</f>
        <v/>
      </c>
      <c r="H399" s="5" t="n">
        <v>2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20">
        <f>축시작+INT((A400-1)/32)</f>
        <v/>
      </c>
      <c r="G400" s="20">
        <f>F400+H400</f>
        <v/>
      </c>
      <c r="H400" s="5" t="n">
        <v>9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20">
        <f>축시작+INT((A401-1)/32)</f>
        <v/>
      </c>
      <c r="G401" s="20">
        <f>F401+H401</f>
        <v/>
      </c>
      <c r="H401" s="5" t="n">
        <v>6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20">
        <f>축시작+INT((A402-1)/32)</f>
        <v/>
      </c>
      <c r="G402" s="20">
        <f>F402+H402</f>
        <v/>
      </c>
      <c r="H402" s="5" t="n">
        <v>1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20">
        <f>축시작+INT((A403-1)/32)</f>
        <v/>
      </c>
      <c r="G403" s="20">
        <f>F403+H403</f>
        <v/>
      </c>
      <c r="H403" s="5" t="n">
        <v>4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20">
        <f>축시작+INT((A404-1)/32)</f>
        <v/>
      </c>
      <c r="G404" s="20">
        <f>F404+H404</f>
        <v/>
      </c>
      <c r="H404" s="5" t="n">
        <v>4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20">
        <f>축시작+INT((A405-1)/32)</f>
        <v/>
      </c>
      <c r="G405" s="20">
        <f>F405+H405</f>
        <v/>
      </c>
      <c r="H405" s="5" t="n">
        <v>9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20">
        <f>축시작+INT((A406-1)/32)</f>
        <v/>
      </c>
      <c r="G406" s="20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20">
        <f>축시작+INT((A407-1)/32)</f>
        <v/>
      </c>
      <c r="G407" s="20">
        <f>F407+H407</f>
        <v/>
      </c>
      <c r="H407" s="5" t="n">
        <v>2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20">
        <f>축시작+INT((A408-1)/32)</f>
        <v/>
      </c>
      <c r="G408" s="20">
        <f>F408+H408</f>
        <v/>
      </c>
      <c r="H408" s="5" t="n">
        <v>5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20">
        <f>축시작+INT((A409-1)/32)</f>
        <v/>
      </c>
      <c r="G409" s="20">
        <f>F409+H409</f>
        <v/>
      </c>
      <c r="H409" s="5" t="n">
        <v>6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20">
        <f>축시작+INT((A410-1)/32)</f>
        <v/>
      </c>
      <c r="G410" s="20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20">
        <f>축시작+INT((A411-1)/32)</f>
        <v/>
      </c>
      <c r="G411" s="20">
        <f>F411+H411</f>
        <v/>
      </c>
      <c r="H411" s="5" t="n">
        <v>2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20">
        <f>축시작+INT((A412-1)/32)</f>
        <v/>
      </c>
      <c r="G412" s="20">
        <f>F412+H412</f>
        <v/>
      </c>
      <c r="H412" s="5" t="n">
        <v>5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20">
        <f>축시작+INT((A413-1)/32)</f>
        <v/>
      </c>
      <c r="G413" s="20">
        <f>F413+H413</f>
        <v/>
      </c>
      <c r="H413" s="5" t="n">
        <v>12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20">
        <f>축시작+INT((A414-1)/32)</f>
        <v/>
      </c>
      <c r="G414" s="20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20">
        <f>축시작+INT((A415-1)/32)</f>
        <v/>
      </c>
      <c r="G415" s="20">
        <f>F415+H415</f>
        <v/>
      </c>
      <c r="H415" s="5" t="n">
        <v>4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20">
        <f>축시작+INT((A416-1)/32)</f>
        <v/>
      </c>
      <c r="G416" s="20">
        <f>F416+H416</f>
        <v/>
      </c>
      <c r="H416" s="5" t="n">
        <v>5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20">
        <f>축시작+INT((A417-1)/32)</f>
        <v/>
      </c>
      <c r="G417" s="20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20">
        <f>축시작+INT((A418-1)/32)</f>
        <v/>
      </c>
      <c r="G418" s="20">
        <f>F418+H418</f>
        <v/>
      </c>
      <c r="H418" s="5" t="n">
        <v>1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20">
        <f>축시작+INT((A419-1)/32)</f>
        <v/>
      </c>
      <c r="G419" s="20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20">
        <f>축시작+INT((A420-1)/32)</f>
        <v/>
      </c>
      <c r="G420" s="20">
        <f>F420+H420</f>
        <v/>
      </c>
      <c r="H420" s="5" t="n">
        <v>5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20">
        <f>축시작+INT((A421-1)/32)</f>
        <v/>
      </c>
      <c r="G421" s="20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20">
        <f>축시작+INT((A422-1)/32)</f>
        <v/>
      </c>
      <c r="G422" s="20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20">
        <f>축시작+INT((A423-1)/32)</f>
        <v/>
      </c>
      <c r="G423" s="20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20">
        <f>축시작+INT((A424-1)/32)</f>
        <v/>
      </c>
      <c r="G424" s="20">
        <f>F424+H424</f>
        <v/>
      </c>
      <c r="H424" s="5" t="n">
        <v>3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20">
        <f>축시작+INT((A425-1)/32)</f>
        <v/>
      </c>
      <c r="G425" s="20">
        <f>F425+H425</f>
        <v/>
      </c>
      <c r="H425" s="5" t="n">
        <v>6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20">
        <f>축시작+INT((A426-1)/32)</f>
        <v/>
      </c>
      <c r="G426" s="20">
        <f>F426+H426</f>
        <v/>
      </c>
      <c r="H426" s="5" t="n">
        <v>8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20">
        <f>축시작+INT((A427-1)/32)</f>
        <v/>
      </c>
      <c r="G427" s="20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20">
        <f>축시작+INT((A428-1)/32)</f>
        <v/>
      </c>
      <c r="G428" s="20">
        <f>F428+H428</f>
        <v/>
      </c>
      <c r="H428" s="5" t="n">
        <v>3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20">
        <f>축시작+INT((A429-1)/32)</f>
        <v/>
      </c>
      <c r="G429" s="20">
        <f>F429+H429</f>
        <v/>
      </c>
      <c r="H429" s="5" t="n">
        <v>9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20">
        <f>축시작+INT((A430-1)/32)</f>
        <v/>
      </c>
      <c r="G430" s="20">
        <f>F430+H430</f>
        <v/>
      </c>
      <c r="H430" s="5" t="n">
        <v>1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20">
        <f>축시작+INT((A431-1)/32)</f>
        <v/>
      </c>
      <c r="G431" s="20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20">
        <f>축시작+INT((A432-1)/32)</f>
        <v/>
      </c>
      <c r="G432" s="20">
        <f>F432+H432</f>
        <v/>
      </c>
      <c r="H432" s="5" t="n">
        <v>3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20">
        <f>축시작+INT((A433-1)/32)</f>
        <v/>
      </c>
      <c r="G433" s="20">
        <f>F433+H433</f>
        <v/>
      </c>
      <c r="H433" s="5" t="n">
        <v>6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20">
        <f>축시작+INT((A434-1)/32)</f>
        <v/>
      </c>
      <c r="G434" s="20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20">
        <f>축시작+INT((A435-1)/32)</f>
        <v/>
      </c>
      <c r="G435" s="20">
        <f>F435+H435</f>
        <v/>
      </c>
      <c r="H435" s="5" t="n">
        <v>9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20">
        <f>축시작+INT((A436-1)/32)</f>
        <v/>
      </c>
      <c r="G436" s="20">
        <f>F436+H436</f>
        <v/>
      </c>
      <c r="H436" s="5" t="n">
        <v>4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20">
        <f>축시작+INT((A437-1)/32)</f>
        <v/>
      </c>
      <c r="G437" s="20">
        <f>F437+H437</f>
        <v/>
      </c>
      <c r="H437" s="5" t="n">
        <v>5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20">
        <f>축시작+INT((A438-1)/32)</f>
        <v/>
      </c>
      <c r="G438" s="20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20">
        <f>축시작+INT((A439-1)/32)</f>
        <v/>
      </c>
      <c r="G439" s="20">
        <f>F439+H439</f>
        <v/>
      </c>
      <c r="H439" s="5" t="n">
        <v>9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20">
        <f>축시작+INT((A440-1)/32)</f>
        <v/>
      </c>
      <c r="G440" s="20">
        <f>F440+H440</f>
        <v/>
      </c>
      <c r="H440" s="5" t="n">
        <v>7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20">
        <f>축시작+INT((A441-1)/32)</f>
        <v/>
      </c>
      <c r="G441" s="20">
        <f>F441+H441</f>
        <v/>
      </c>
      <c r="H441" s="5" t="n">
        <v>6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20">
        <f>축시작+INT((A442-1)/32)</f>
        <v/>
      </c>
      <c r="G442" s="20">
        <f>F442+H442</f>
        <v/>
      </c>
      <c r="H442" s="5" t="n">
        <v>1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20">
        <f>축시작+INT((A443-1)/32)</f>
        <v/>
      </c>
      <c r="G443" s="20">
        <f>F443+H443</f>
        <v/>
      </c>
      <c r="H443" s="5" t="n">
        <v>2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20">
        <f>축시작+INT((A444-1)/32)</f>
        <v/>
      </c>
      <c r="G444" s="20">
        <f>F444+H444</f>
        <v/>
      </c>
      <c r="H444" s="5" t="n">
        <v>5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20">
        <f>축시작+INT((A445-1)/32)</f>
        <v/>
      </c>
      <c r="G445" s="20">
        <f>F445+H445</f>
        <v/>
      </c>
      <c r="H445" s="5" t="n">
        <v>12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20">
        <f>축시작+INT((A446-1)/32)</f>
        <v/>
      </c>
      <c r="G446" s="20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20">
        <f>축시작+INT((A447-1)/32)</f>
        <v/>
      </c>
      <c r="G447" s="20">
        <f>F447+H447</f>
        <v/>
      </c>
      <c r="H447" s="5" t="n">
        <v>5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20">
        <f>축시작+INT((A448-1)/32)</f>
        <v/>
      </c>
      <c r="G448" s="20">
        <f>F448+H448</f>
        <v/>
      </c>
      <c r="H448" s="5" t="n">
        <v>5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20">
        <f>축시작+INT((A449-1)/32)</f>
        <v/>
      </c>
      <c r="G449" s="20">
        <f>F449+H449</f>
        <v/>
      </c>
      <c r="H449" s="5" t="n">
        <v>5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20">
        <f>축시작+INT((A450-1)/32)</f>
        <v/>
      </c>
      <c r="G450" s="20">
        <f>F450+H450</f>
        <v/>
      </c>
      <c r="H450" s="5" t="n">
        <v>3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20">
        <f>축시작+INT((A451-1)/32)</f>
        <v/>
      </c>
      <c r="G451" s="20">
        <f>F451+H451</f>
        <v/>
      </c>
      <c r="H451" s="5" t="n">
        <v>4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20">
        <f>축시작+INT((A452-1)/32)</f>
        <v/>
      </c>
      <c r="G452" s="20">
        <f>F452+H452</f>
        <v/>
      </c>
      <c r="H452" s="5" t="n">
        <v>7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20">
        <f>축시작+INT((A453-1)/32)</f>
        <v/>
      </c>
      <c r="G453" s="20">
        <f>F453+H453</f>
        <v/>
      </c>
      <c r="H453" s="5" t="n">
        <v>6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20">
        <f>축시작+INT((A454-1)/32)</f>
        <v/>
      </c>
      <c r="G454" s="20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20">
        <f>축시작+INT((A455-1)/32)</f>
        <v/>
      </c>
      <c r="G455" s="20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20">
        <f>축시작+INT((A456-1)/32)</f>
        <v/>
      </c>
      <c r="G456" s="20">
        <f>F456+H456</f>
        <v/>
      </c>
      <c r="H456" s="5" t="n">
        <v>5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20">
        <f>축시작+INT((A457-1)/32)</f>
        <v/>
      </c>
      <c r="G457" s="20">
        <f>F457+H457</f>
        <v/>
      </c>
      <c r="H457" s="5" t="n">
        <v>4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20">
        <f>축시작+INT((A458-1)/32)</f>
        <v/>
      </c>
      <c r="G458" s="20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20">
        <f>축시작+INT((A459-1)/32)</f>
        <v/>
      </c>
      <c r="G459" s="20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20">
        <f>축시작+INT((A460-1)/32)</f>
        <v/>
      </c>
      <c r="G460" s="20">
        <f>F460+H460</f>
        <v/>
      </c>
      <c r="H460" s="5" t="n">
        <v>5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20">
        <f>축시작+INT((A461-1)/32)</f>
        <v/>
      </c>
      <c r="G461" s="20">
        <f>F461+H461</f>
        <v/>
      </c>
      <c r="H461" s="5" t="n">
        <v>4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20">
        <f>축시작+INT((A462-1)/32)</f>
        <v/>
      </c>
      <c r="G462" s="20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20">
        <f>축시작+INT((A463-1)/32)</f>
        <v/>
      </c>
      <c r="G463" s="20">
        <f>F463+H463</f>
        <v/>
      </c>
      <c r="H463" s="5" t="n">
        <v>3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20">
        <f>축시작+INT((A464-1)/32)</f>
        <v/>
      </c>
      <c r="G464" s="20">
        <f>F464+H464</f>
        <v/>
      </c>
      <c r="H464" s="5" t="n">
        <v>4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20">
        <f>축시작+INT((A465-1)/32)</f>
        <v/>
      </c>
      <c r="G465" s="20">
        <f>F465+H465</f>
        <v/>
      </c>
      <c r="H465" s="5" t="n">
        <v>6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20">
        <f>축시작+INT((A466-1)/32)</f>
        <v/>
      </c>
      <c r="G466" s="20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20">
        <f>축시작+INT((A467-1)/32)</f>
        <v/>
      </c>
      <c r="G467" s="20">
        <f>F467+H467</f>
        <v/>
      </c>
      <c r="H467" s="5" t="n">
        <v>4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20">
        <f>축시작+INT((A468-1)/32)</f>
        <v/>
      </c>
      <c r="G468" s="20">
        <f>F468+H468</f>
        <v/>
      </c>
      <c r="H468" s="5" t="n">
        <v>4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20">
        <f>축시작+INT((A469-1)/32)</f>
        <v/>
      </c>
      <c r="G469" s="20">
        <f>F469+H469</f>
        <v/>
      </c>
      <c r="H469" s="5" t="n">
        <v>5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20">
        <f>축시작+INT((A470-1)/32)</f>
        <v/>
      </c>
      <c r="G470" s="20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20">
        <f>축시작+INT((A471-1)/32)</f>
        <v/>
      </c>
      <c r="G471" s="20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20">
        <f>축시작+INT((A472-1)/32)</f>
        <v/>
      </c>
      <c r="G472" s="20">
        <f>F472+H472</f>
        <v/>
      </c>
      <c r="H472" s="5" t="n">
        <v>5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20">
        <f>축시작+INT((A473-1)/32)</f>
        <v/>
      </c>
      <c r="G473" s="20">
        <f>F473+H473</f>
        <v/>
      </c>
      <c r="H473" s="5" t="n">
        <v>6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20">
        <f>축시작+INT((A474-1)/32)</f>
        <v/>
      </c>
      <c r="G474" s="20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20">
        <f>축시작+INT((A475-1)/32)</f>
        <v/>
      </c>
      <c r="G475" s="20">
        <f>F475+H475</f>
        <v/>
      </c>
      <c r="H475" s="5" t="n">
        <v>3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20">
        <f>축시작+INT((A476-1)/32)</f>
        <v/>
      </c>
      <c r="G476" s="20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20">
        <f>축시작+INT((A477-1)/32)</f>
        <v/>
      </c>
      <c r="G477" s="20">
        <f>F477+H477</f>
        <v/>
      </c>
      <c r="H477" s="5" t="n">
        <v>6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20">
        <f>축시작+INT((A478-1)/32)</f>
        <v/>
      </c>
      <c r="G478" s="20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20">
        <f>축시작+INT((A479-1)/32)</f>
        <v/>
      </c>
      <c r="G479" s="20">
        <f>F479+H479</f>
        <v/>
      </c>
      <c r="H479" s="5" t="n">
        <v>4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20">
        <f>축시작+INT((A480-1)/32)</f>
        <v/>
      </c>
      <c r="G480" s="20">
        <f>F480+H480</f>
        <v/>
      </c>
      <c r="H480" s="5" t="n">
        <v>5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20">
        <f>축시작+INT((A481-1)/32)</f>
        <v/>
      </c>
      <c r="G481" s="20">
        <f>F481+H481</f>
        <v/>
      </c>
      <c r="H481" s="5" t="n">
        <v>6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20">
        <f>축시작+INT((A482-1)/32)</f>
        <v/>
      </c>
      <c r="G482" s="20">
        <f>F482+H482</f>
        <v/>
      </c>
      <c r="H482" s="5" t="n">
        <v>1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20">
        <f>축시작+INT((A483-1)/32)</f>
        <v/>
      </c>
      <c r="G483" s="20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20">
        <f>축시작+INT((A484-1)/32)</f>
        <v/>
      </c>
      <c r="G484" s="20">
        <f>F484+H484</f>
        <v/>
      </c>
      <c r="H484" s="5" t="n">
        <v>4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20">
        <f>축시작+INT((A485-1)/32)</f>
        <v/>
      </c>
      <c r="G485" s="20">
        <f>F485+H485</f>
        <v/>
      </c>
      <c r="H485" s="5" t="n">
        <v>4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20">
        <f>축시작+INT((A486-1)/32)</f>
        <v/>
      </c>
      <c r="G486" s="20">
        <f>F486+H486</f>
        <v/>
      </c>
      <c r="H486" s="5" t="n">
        <v>1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20">
        <f>축시작+INT((A487-1)/32)</f>
        <v/>
      </c>
      <c r="G487" s="20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20">
        <f>축시작+INT((A488-1)/32)</f>
        <v/>
      </c>
      <c r="G488" s="20">
        <f>F488+H488</f>
        <v/>
      </c>
      <c r="H488" s="5" t="n">
        <v>3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20">
        <f>축시작+INT((A489-1)/32)</f>
        <v/>
      </c>
      <c r="G489" s="20">
        <f>F489+H489</f>
        <v/>
      </c>
      <c r="H489" s="5" t="n">
        <v>6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20">
        <f>축시작+INT((A490-1)/32)</f>
        <v/>
      </c>
      <c r="G490" s="20">
        <f>F490+H490</f>
        <v/>
      </c>
      <c r="H490" s="5" t="n">
        <v>1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20">
        <f>축시작+INT((A491-1)/32)</f>
        <v/>
      </c>
      <c r="G491" s="20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20">
        <f>축시작+INT((A492-1)/32)</f>
        <v/>
      </c>
      <c r="G492" s="20">
        <f>F492+H492</f>
        <v/>
      </c>
      <c r="H492" s="5" t="n">
        <v>3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20">
        <f>축시작+INT((A493-1)/32)</f>
        <v/>
      </c>
      <c r="G493" s="20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20">
        <f>축시작+INT((A494-1)/32)</f>
        <v/>
      </c>
      <c r="G494" s="20">
        <f>F494+H494</f>
        <v/>
      </c>
      <c r="H494" s="5" t="n">
        <v>1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20">
        <f>축시작+INT((A495-1)/32)</f>
        <v/>
      </c>
      <c r="G495" s="20">
        <f>F495+H495</f>
        <v/>
      </c>
      <c r="H495" s="5" t="n">
        <v>7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20">
        <f>축시작+INT((A496-1)/32)</f>
        <v/>
      </c>
      <c r="G496" s="20">
        <f>F496+H496</f>
        <v/>
      </c>
      <c r="H496" s="5" t="n">
        <v>5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20">
        <f>축시작+INT((A497-1)/32)</f>
        <v/>
      </c>
      <c r="G497" s="20">
        <f>F497+H497</f>
        <v/>
      </c>
      <c r="H497" s="5" t="n">
        <v>9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20">
        <f>축시작+INT((A498-1)/32)</f>
        <v/>
      </c>
      <c r="G498" s="20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20">
        <f>축시작+INT((A499-1)/32)</f>
        <v/>
      </c>
      <c r="G499" s="20">
        <f>F499+H499</f>
        <v/>
      </c>
      <c r="H499" s="5" t="n">
        <v>2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20">
        <f>축시작+INT((A500-1)/32)</f>
        <v/>
      </c>
      <c r="G500" s="20">
        <f>F500+H500</f>
        <v/>
      </c>
      <c r="H500" s="5" t="n">
        <v>7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20">
        <f>축시작+INT((A501-1)/32)</f>
        <v/>
      </c>
      <c r="G501" s="20">
        <f>F501+H501</f>
        <v/>
      </c>
      <c r="H501" s="5" t="n">
        <v>7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20">
        <f>축시작+INT((A502-1)/32)</f>
        <v/>
      </c>
      <c r="G502" s="20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20">
        <f>축시작+INT((A503-1)/32)</f>
        <v/>
      </c>
      <c r="G503" s="20">
        <f>F503+H503</f>
        <v/>
      </c>
      <c r="H503" s="5" t="n">
        <v>2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20">
        <f>축시작+INT((A504-1)/32)</f>
        <v/>
      </c>
      <c r="G504" s="20">
        <f>F504+H504</f>
        <v/>
      </c>
      <c r="H504" s="5" t="n">
        <v>3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20">
        <f>축시작+INT((A505-1)/32)</f>
        <v/>
      </c>
      <c r="G505" s="20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20">
        <f>축시작+INT((A506-1)/32)</f>
        <v/>
      </c>
      <c r="G506" s="20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20">
        <f>축시작+INT((A507-1)/32)</f>
        <v/>
      </c>
      <c r="G507" s="20">
        <f>F507+H507</f>
        <v/>
      </c>
      <c r="H507" s="5" t="n">
        <v>3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20">
        <f>축시작+INT((A508-1)/32)</f>
        <v/>
      </c>
      <c r="G508" s="20">
        <f>F508+H508</f>
        <v/>
      </c>
      <c r="H508" s="5" t="n">
        <v>9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20">
        <f>축시작+INT((A509-1)/32)</f>
        <v/>
      </c>
      <c r="G509" s="20">
        <f>F509+H509</f>
        <v/>
      </c>
      <c r="H509" s="5" t="n">
        <v>4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20">
        <f>축시작+INT((A510-1)/32)</f>
        <v/>
      </c>
      <c r="G510" s="20">
        <f>F510+H510</f>
        <v/>
      </c>
      <c r="H510" s="5" t="n">
        <v>1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20">
        <f>축시작+INT((A511-1)/32)</f>
        <v/>
      </c>
      <c r="G511" s="20">
        <f>F511+H511</f>
        <v/>
      </c>
      <c r="H511" s="5" t="n">
        <v>2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20">
        <f>축시작+INT((A512-1)/32)</f>
        <v/>
      </c>
      <c r="G512" s="20">
        <f>F512+H512</f>
        <v/>
      </c>
      <c r="H512" s="5" t="n">
        <v>6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20">
        <f>축시작+INT((A513-1)/32)</f>
        <v/>
      </c>
      <c r="G513" s="20">
        <f>F513+H513</f>
        <v/>
      </c>
      <c r="H513" s="5" t="n">
        <v>10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20">
        <f>축시작+INT((A514-1)/32)</f>
        <v/>
      </c>
      <c r="G514" s="20">
        <f>F514+H514</f>
        <v/>
      </c>
      <c r="H514" s="5" t="n">
        <v>3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20">
        <f>축시작+INT((A515-1)/32)</f>
        <v/>
      </c>
      <c r="G515" s="20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20">
        <f>축시작+INT((A516-1)/32)</f>
        <v/>
      </c>
      <c r="G516" s="20">
        <f>F516+H516</f>
        <v/>
      </c>
      <c r="H516" s="5" t="n">
        <v>8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20">
        <f>축시작+INT((A517-1)/32)</f>
        <v/>
      </c>
      <c r="G517" s="20">
        <f>F517+H517</f>
        <v/>
      </c>
      <c r="H517" s="5" t="n">
        <v>12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20">
        <f>축시작+INT((A518-1)/32)</f>
        <v/>
      </c>
      <c r="G518" s="20">
        <f>F518+H518</f>
        <v/>
      </c>
      <c r="H518" s="5" t="n">
        <v>1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20">
        <f>축시작+INT((A519-1)/32)</f>
        <v/>
      </c>
      <c r="G519" s="20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20">
        <f>축시작+INT((A520-1)/32)</f>
        <v/>
      </c>
      <c r="G520" s="20">
        <f>F520+H520</f>
        <v/>
      </c>
      <c r="H520" s="5" t="n">
        <v>4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20">
        <f>축시작+INT((A521-1)/32)</f>
        <v/>
      </c>
      <c r="G521" s="20">
        <f>F521+H521</f>
        <v/>
      </c>
      <c r="H521" s="5" t="n">
        <v>6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20">
        <f>축시작+INT((A522-1)/32)</f>
        <v/>
      </c>
      <c r="G522" s="20">
        <f>F522+H522</f>
        <v/>
      </c>
      <c r="H522" s="5" t="n">
        <v>1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20">
        <f>축시작+INT((A523-1)/32)</f>
        <v/>
      </c>
      <c r="G523" s="20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20">
        <f>축시작+INT((A524-1)/32)</f>
        <v/>
      </c>
      <c r="G524" s="20">
        <f>F524+H524</f>
        <v/>
      </c>
      <c r="H524" s="5" t="n">
        <v>5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20">
        <f>축시작+INT((A525-1)/32)</f>
        <v/>
      </c>
      <c r="G525" s="20">
        <f>F525+H525</f>
        <v/>
      </c>
      <c r="H525" s="5" t="n">
        <v>4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20">
        <f>축시작+INT((A526-1)/32)</f>
        <v/>
      </c>
      <c r="G526" s="20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20">
        <f>축시작+INT((A527-1)/32)</f>
        <v/>
      </c>
      <c r="G527" s="20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20">
        <f>축시작+INT((A528-1)/32)</f>
        <v/>
      </c>
      <c r="G528" s="20">
        <f>F528+H528</f>
        <v/>
      </c>
      <c r="H528" s="5" t="n">
        <v>3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20">
        <f>축시작+INT((A529-1)/32)</f>
        <v/>
      </c>
      <c r="G529" s="20">
        <f>F529+H529</f>
        <v/>
      </c>
      <c r="H529" s="5" t="n">
        <v>6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20">
        <f>축시작+INT((A530-1)/32)</f>
        <v/>
      </c>
      <c r="G530" s="20">
        <f>F530+H530</f>
        <v/>
      </c>
      <c r="H530" s="5" t="n">
        <v>2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20">
        <f>축시작+INT((A531-1)/32)</f>
        <v/>
      </c>
      <c r="G531" s="20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20">
        <f>축시작+INT((A532-1)/32)</f>
        <v/>
      </c>
      <c r="G532" s="20">
        <f>F532+H532</f>
        <v/>
      </c>
      <c r="H532" s="5" t="n">
        <v>3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20">
        <f>축시작+INT((A533-1)/32)</f>
        <v/>
      </c>
      <c r="G533" s="20">
        <f>F533+H533</f>
        <v/>
      </c>
      <c r="H533" s="5" t="n">
        <v>4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20">
        <f>축시작+INT((A534-1)/32)</f>
        <v/>
      </c>
      <c r="G534" s="20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20">
        <f>축시작+INT((A535-1)/32)</f>
        <v/>
      </c>
      <c r="G535" s="20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20">
        <f>축시작+INT((A536-1)/32)</f>
        <v/>
      </c>
      <c r="G536" s="20">
        <f>F536+H536</f>
        <v/>
      </c>
      <c r="H536" s="5" t="n">
        <v>5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20">
        <f>축시작+INT((A537-1)/32)</f>
        <v/>
      </c>
      <c r="G537" s="20">
        <f>F537+H537</f>
        <v/>
      </c>
      <c r="H537" s="5" t="n">
        <v>6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20">
        <f>축시작+INT((A538-1)/32)</f>
        <v/>
      </c>
      <c r="G538" s="20">
        <f>F538+H538</f>
        <v/>
      </c>
      <c r="H538" s="5" t="n">
        <v>8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20">
        <f>축시작+INT((A539-1)/32)</f>
        <v/>
      </c>
      <c r="G539" s="20">
        <f>F539+H539</f>
        <v/>
      </c>
      <c r="H539" s="5" t="n">
        <v>6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20">
        <f>축시작+INT((A540-1)/32)</f>
        <v/>
      </c>
      <c r="G540" s="20">
        <f>F540+H540</f>
        <v/>
      </c>
      <c r="H540" s="5" t="n">
        <v>4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20">
        <f>축시작+INT((A541-1)/32)</f>
        <v/>
      </c>
      <c r="G541" s="20">
        <f>F541+H541</f>
        <v/>
      </c>
      <c r="H541" s="5" t="n">
        <v>5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20">
        <f>축시작+INT((A542-1)/32)</f>
        <v/>
      </c>
      <c r="G542" s="20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20">
        <f>축시작+INT((A543-1)/32)</f>
        <v/>
      </c>
      <c r="G543" s="20">
        <f>F543+H543</f>
        <v/>
      </c>
      <c r="H543" s="5" t="n">
        <v>4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20">
        <f>축시작+INT((A544-1)/32)</f>
        <v/>
      </c>
      <c r="G544" s="20">
        <f>F544+H544</f>
        <v/>
      </c>
      <c r="H544" s="5" t="n">
        <v>4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20">
        <f>축시작+INT((A545-1)/32)</f>
        <v/>
      </c>
      <c r="G545" s="20">
        <f>F545+H545</f>
        <v/>
      </c>
      <c r="H545" s="5" t="n">
        <v>6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20">
        <f>축시작+INT((A546-1)/32)</f>
        <v/>
      </c>
      <c r="G546" s="20">
        <f>F546+H546</f>
        <v/>
      </c>
      <c r="H546" s="5" t="n">
        <v>1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20">
        <f>축시작+INT((A547-1)/32)</f>
        <v/>
      </c>
      <c r="G547" s="20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20">
        <f>축시작+INT((A548-1)/32)</f>
        <v/>
      </c>
      <c r="G548" s="20">
        <f>F548+H548</f>
        <v/>
      </c>
      <c r="H548" s="5" t="n">
        <v>3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20">
        <f>축시작+INT((A549-1)/32)</f>
        <v/>
      </c>
      <c r="G549" s="20">
        <f>F549+H549</f>
        <v/>
      </c>
      <c r="H549" s="5" t="n">
        <v>4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20">
        <f>축시작+INT((A550-1)/32)</f>
        <v/>
      </c>
      <c r="G550" s="20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20">
        <f>축시작+INT((A551-1)/32)</f>
        <v/>
      </c>
      <c r="G551" s="20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20">
        <f>축시작+INT((A552-1)/32)</f>
        <v/>
      </c>
      <c r="G552" s="20">
        <f>F552+H552</f>
        <v/>
      </c>
      <c r="H552" s="5" t="n">
        <v>5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20">
        <f>축시작+INT((A553-1)/32)</f>
        <v/>
      </c>
      <c r="G553" s="20">
        <f>F553+H553</f>
        <v/>
      </c>
      <c r="H553" s="5" t="n">
        <v>11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20">
        <f>축시작+INT((A554-1)/32)</f>
        <v/>
      </c>
      <c r="G554" s="20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20">
        <f>축시작+INT((A555-1)/32)</f>
        <v/>
      </c>
      <c r="G555" s="20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20">
        <f>축시작+INT((A556-1)/32)</f>
        <v/>
      </c>
      <c r="G556" s="20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20">
        <f>축시작+INT((A557-1)/32)</f>
        <v/>
      </c>
      <c r="G557" s="20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20">
        <f>축시작+INT((A558-1)/32)</f>
        <v/>
      </c>
      <c r="G558" s="20">
        <f>F558+H558</f>
        <v/>
      </c>
      <c r="H558" s="5" t="n">
        <v>3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20">
        <f>축시작+INT((A559-1)/32)</f>
        <v/>
      </c>
      <c r="G559" s="20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20">
        <f>축시작+INT((A560-1)/32)</f>
        <v/>
      </c>
      <c r="G560" s="20">
        <f>F560+H560</f>
        <v/>
      </c>
      <c r="H560" s="5" t="n">
        <v>7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20">
        <f>축시작+INT((A561-1)/32)</f>
        <v/>
      </c>
      <c r="G561" s="20">
        <f>F561+H561</f>
        <v/>
      </c>
      <c r="H561" s="5" t="n">
        <v>6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20">
        <f>축시작+INT((A562-1)/32)</f>
        <v/>
      </c>
      <c r="G562" s="20">
        <f>F562+H562</f>
        <v/>
      </c>
      <c r="H562" s="5" t="n">
        <v>2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20">
        <f>축시작+INT((A563-1)/32)</f>
        <v/>
      </c>
      <c r="G563" s="20">
        <f>F563+H563</f>
        <v/>
      </c>
      <c r="H563" s="5" t="n">
        <v>2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20">
        <f>축시작+INT((A564-1)/32)</f>
        <v/>
      </c>
      <c r="G564" s="20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20">
        <f>축시작+INT((A565-1)/32)</f>
        <v/>
      </c>
      <c r="G565" s="20">
        <f>F565+H565</f>
        <v/>
      </c>
      <c r="H565" s="5" t="n">
        <v>6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20">
        <f>축시작+INT((A566-1)/32)</f>
        <v/>
      </c>
      <c r="G566" s="20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20">
        <f>축시작+INT((A567-1)/32)</f>
        <v/>
      </c>
      <c r="G567" s="20">
        <f>F567+H567</f>
        <v/>
      </c>
      <c r="H567" s="5" t="n">
        <v>2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20">
        <f>축시작+INT((A568-1)/32)</f>
        <v/>
      </c>
      <c r="G568" s="20">
        <f>F568+H568</f>
        <v/>
      </c>
      <c r="H568" s="5" t="n">
        <v>5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20">
        <f>축시작+INT((A569-1)/32)</f>
        <v/>
      </c>
      <c r="G569" s="20">
        <f>F569+H569</f>
        <v/>
      </c>
      <c r="H569" s="5" t="n">
        <v>6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20">
        <f>축시작+INT((A570-1)/32)</f>
        <v/>
      </c>
      <c r="G570" s="20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20">
        <f>축시작+INT((A571-1)/32)</f>
        <v/>
      </c>
      <c r="G571" s="20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20">
        <f>축시작+INT((A572-1)/32)</f>
        <v/>
      </c>
      <c r="G572" s="20">
        <f>F572+H572</f>
        <v/>
      </c>
      <c r="H572" s="5" t="n">
        <v>5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20">
        <f>축시작+INT((A573-1)/32)</f>
        <v/>
      </c>
      <c r="G573" s="20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20">
        <f>축시작+INT((A574-1)/32)</f>
        <v/>
      </c>
      <c r="G574" s="20">
        <f>F574+H574</f>
        <v/>
      </c>
      <c r="H574" s="5" t="n">
        <v>2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20">
        <f>축시작+INT((A575-1)/32)</f>
        <v/>
      </c>
      <c r="G575" s="20">
        <f>F575+H575</f>
        <v/>
      </c>
      <c r="H575" s="5" t="n">
        <v>2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20">
        <f>축시작+INT((A576-1)/32)</f>
        <v/>
      </c>
      <c r="G576" s="20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20">
        <f>축시작+INT((A577-1)/32)</f>
        <v/>
      </c>
      <c r="G577" s="20">
        <f>F577+H577</f>
        <v/>
      </c>
      <c r="H577" s="5" t="n">
        <v>4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20">
        <f>축시작+INT((A578-1)/32)</f>
        <v/>
      </c>
      <c r="G578" s="20">
        <f>F578+H578</f>
        <v/>
      </c>
      <c r="H578" s="5" t="n">
        <v>3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20">
        <f>축시작+INT((A579-1)/32)</f>
        <v/>
      </c>
      <c r="G579" s="20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20">
        <f>축시작+INT((A580-1)/32)</f>
        <v/>
      </c>
      <c r="G580" s="20">
        <f>F580+H580</f>
        <v/>
      </c>
      <c r="H580" s="5" t="n">
        <v>4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20">
        <f>축시작+INT((A581-1)/32)</f>
        <v/>
      </c>
      <c r="G581" s="20">
        <f>F581+H581</f>
        <v/>
      </c>
      <c r="H581" s="5" t="n">
        <v>4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20">
        <f>축시작+INT((A582-1)/32)</f>
        <v/>
      </c>
      <c r="G582" s="20">
        <f>F582+H582</f>
        <v/>
      </c>
      <c r="H582" s="5" t="n">
        <v>1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20">
        <f>축시작+INT((A583-1)/32)</f>
        <v/>
      </c>
      <c r="G583" s="20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20">
        <f>축시작+INT((A584-1)/32)</f>
        <v/>
      </c>
      <c r="G584" s="20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20">
        <f>축시작+INT((A585-1)/32)</f>
        <v/>
      </c>
      <c r="G585" s="20">
        <f>F585+H585</f>
        <v/>
      </c>
      <c r="H585" s="5" t="n">
        <v>5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20">
        <f>축시작+INT((A586-1)/32)</f>
        <v/>
      </c>
      <c r="G586" s="20">
        <f>F586+H586</f>
        <v/>
      </c>
      <c r="H586" s="5" t="n">
        <v>1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20">
        <f>축시작+INT((A587-1)/32)</f>
        <v/>
      </c>
      <c r="G587" s="20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20">
        <f>축시작+INT((A588-1)/32)</f>
        <v/>
      </c>
      <c r="G588" s="20">
        <f>F588+H588</f>
        <v/>
      </c>
      <c r="H588" s="5" t="n">
        <v>4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20">
        <f>축시작+INT((A589-1)/32)</f>
        <v/>
      </c>
      <c r="G589" s="20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20">
        <f>축시작+INT((A590-1)/32)</f>
        <v/>
      </c>
      <c r="G590" s="20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20">
        <f>축시작+INT((A591-1)/32)</f>
        <v/>
      </c>
      <c r="G591" s="20">
        <f>F591+H591</f>
        <v/>
      </c>
      <c r="H591" s="5" t="n">
        <v>2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20">
        <f>축시작+INT((A592-1)/32)</f>
        <v/>
      </c>
      <c r="G592" s="20">
        <f>F592+H592</f>
        <v/>
      </c>
      <c r="H592" s="5" t="n">
        <v>7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20">
        <f>축시작+INT((A593-1)/32)</f>
        <v/>
      </c>
      <c r="G593" s="20">
        <f>F593+H593</f>
        <v/>
      </c>
      <c r="H593" s="5" t="n">
        <v>10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20">
        <f>축시작+INT((A594-1)/32)</f>
        <v/>
      </c>
      <c r="G594" s="20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20">
        <f>축시작+INT((A595-1)/32)</f>
        <v/>
      </c>
      <c r="G595" s="20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20">
        <f>축시작+INT((A596-1)/32)</f>
        <v/>
      </c>
      <c r="G596" s="20">
        <f>F596+H596</f>
        <v/>
      </c>
      <c r="H596" s="5" t="n">
        <v>3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20">
        <f>축시작+INT((A597-1)/32)</f>
        <v/>
      </c>
      <c r="G597" s="20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20">
        <f>축시작+INT((A598-1)/32)</f>
        <v/>
      </c>
      <c r="G598" s="20">
        <f>F598+H598</f>
        <v/>
      </c>
      <c r="H598" s="5" t="n">
        <v>1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20">
        <f>축시작+INT((A599-1)/32)</f>
        <v/>
      </c>
      <c r="G599" s="20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20">
        <f>축시작+INT((A600-1)/32)</f>
        <v/>
      </c>
      <c r="G600" s="20">
        <f>F600+H600</f>
        <v/>
      </c>
      <c r="H600" s="5" t="n">
        <v>9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20">
        <f>축시작+INT((A601-1)/32)</f>
        <v/>
      </c>
      <c r="G601" s="20">
        <f>F601+H601</f>
        <v/>
      </c>
      <c r="H601" s="5" t="n">
        <v>6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20">
        <f>축시작+INT((A602-1)/32)</f>
        <v/>
      </c>
      <c r="G602" s="20">
        <f>F602+H602</f>
        <v/>
      </c>
      <c r="H602" s="5" t="n">
        <v>1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20">
        <f>축시작+INT((A603-1)/32)</f>
        <v/>
      </c>
      <c r="G603" s="20">
        <f>F603+H603</f>
        <v/>
      </c>
      <c r="H603" s="5" t="n">
        <v>2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20">
        <f>축시작+INT((A604-1)/32)</f>
        <v/>
      </c>
      <c r="G604" s="20">
        <f>F604+H604</f>
        <v/>
      </c>
      <c r="H604" s="5" t="n">
        <v>3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20">
        <f>축시작+INT((A605-1)/32)</f>
        <v/>
      </c>
      <c r="G605" s="20">
        <f>F605+H605</f>
        <v/>
      </c>
      <c r="H605" s="5" t="n">
        <v>4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20">
        <f>축시작+INT((A606-1)/32)</f>
        <v/>
      </c>
      <c r="G606" s="20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20">
        <f>축시작+INT((A607-1)/32)</f>
        <v/>
      </c>
      <c r="G607" s="20">
        <f>F607+H607</f>
        <v/>
      </c>
      <c r="H607" s="5" t="n">
        <v>6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20">
        <f>축시작+INT((A608-1)/32)</f>
        <v/>
      </c>
      <c r="G608" s="20">
        <f>F608+H608</f>
        <v/>
      </c>
      <c r="H608" s="5" t="n">
        <v>5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20">
        <f>축시작+INT((A609-1)/32)</f>
        <v/>
      </c>
      <c r="G609" s="20">
        <f>F609+H609</f>
        <v/>
      </c>
      <c r="H609" s="5" t="n">
        <v>8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20">
        <f>축시작+INT((A610-1)/32)</f>
        <v/>
      </c>
      <c r="G610" s="20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20">
        <f>축시작+INT((A611-1)/32)</f>
        <v/>
      </c>
      <c r="G611" s="20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20">
        <f>축시작+INT((A612-1)/32)</f>
        <v/>
      </c>
      <c r="G612" s="20">
        <f>F612+H612</f>
        <v/>
      </c>
      <c r="H612" s="5" t="n">
        <v>6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20">
        <f>축시작+INT((A613-1)/32)</f>
        <v/>
      </c>
      <c r="G613" s="20">
        <f>F613+H613</f>
        <v/>
      </c>
      <c r="H613" s="5" t="n">
        <v>4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20">
        <f>축시작+INT((A614-1)/32)</f>
        <v/>
      </c>
      <c r="G614" s="20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20">
        <f>축시작+INT((A615-1)/32)</f>
        <v/>
      </c>
      <c r="G615" s="20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20">
        <f>축시작+INT((A616-1)/32)</f>
        <v/>
      </c>
      <c r="G616" s="20">
        <f>F616+H616</f>
        <v/>
      </c>
      <c r="H616" s="5" t="n">
        <v>7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20">
        <f>축시작+INT((A617-1)/32)</f>
        <v/>
      </c>
      <c r="G617" s="20">
        <f>F617+H617</f>
        <v/>
      </c>
      <c r="H617" s="5" t="n">
        <v>5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20">
        <f>축시작+INT((A618-1)/32)</f>
        <v/>
      </c>
      <c r="G618" s="20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20">
        <f>축시작+INT((A619-1)/32)</f>
        <v/>
      </c>
      <c r="G619" s="20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20">
        <f>축시작+INT((A620-1)/32)</f>
        <v/>
      </c>
      <c r="G620" s="20">
        <f>F620+H620</f>
        <v/>
      </c>
      <c r="H620" s="5" t="n">
        <v>5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20">
        <f>축시작+INT((A621-1)/32)</f>
        <v/>
      </c>
      <c r="G621" s="20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20">
        <f>축시작+INT((A622-1)/32)</f>
        <v/>
      </c>
      <c r="G622" s="20">
        <f>F622+H622</f>
        <v/>
      </c>
      <c r="H622" s="5" t="n">
        <v>3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20">
        <f>축시작+INT((A623-1)/32)</f>
        <v/>
      </c>
      <c r="G623" s="20">
        <f>F623+H623</f>
        <v/>
      </c>
      <c r="H623" s="5" t="n">
        <v>2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20">
        <f>축시작+INT((A624-1)/32)</f>
        <v/>
      </c>
      <c r="G624" s="20">
        <f>F624+H624</f>
        <v/>
      </c>
      <c r="H624" s="5" t="n">
        <v>3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20">
        <f>축시작+INT((A625-1)/32)</f>
        <v/>
      </c>
      <c r="G625" s="20">
        <f>F625+H625</f>
        <v/>
      </c>
      <c r="H625" s="5" t="n">
        <v>6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20">
        <f>축시작+INT((A626-1)/32)</f>
        <v/>
      </c>
      <c r="G626" s="20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20">
        <f>축시작+INT((A627-1)/32)</f>
        <v/>
      </c>
      <c r="G627" s="20">
        <f>F627+H627</f>
        <v/>
      </c>
      <c r="H627" s="5" t="n">
        <v>2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20">
        <f>축시작+INT((A628-1)/32)</f>
        <v/>
      </c>
      <c r="G628" s="20">
        <f>F628+H628</f>
        <v/>
      </c>
      <c r="H628" s="5" t="n">
        <v>5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20">
        <f>축시작+INT((A629-1)/32)</f>
        <v/>
      </c>
      <c r="G629" s="20">
        <f>F629+H629</f>
        <v/>
      </c>
      <c r="H629" s="5" t="n">
        <v>6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20">
        <f>축시작+INT((A630-1)/32)</f>
        <v/>
      </c>
      <c r="G630" s="20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20">
        <f>축시작+INT((A631-1)/32)</f>
        <v/>
      </c>
      <c r="G631" s="20">
        <f>F631+H631</f>
        <v/>
      </c>
      <c r="H631" s="5" t="n">
        <v>2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20">
        <f>축시작+INT((A632-1)/32)</f>
        <v/>
      </c>
      <c r="G632" s="20">
        <f>F632+H632</f>
        <v/>
      </c>
      <c r="H632" s="5" t="n">
        <v>5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20">
        <f>축시작+INT((A633-1)/32)</f>
        <v/>
      </c>
      <c r="G633" s="20">
        <f>F633+H633</f>
        <v/>
      </c>
      <c r="H633" s="5" t="n">
        <v>6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20">
        <f>축시작+INT((A634-1)/32)</f>
        <v/>
      </c>
      <c r="G634" s="20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20">
        <f>축시작+INT((A635-1)/32)</f>
        <v/>
      </c>
      <c r="G635" s="20">
        <f>F635+H635</f>
        <v/>
      </c>
      <c r="H635" s="5" t="n">
        <v>2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20">
        <f>축시작+INT((A636-1)/32)</f>
        <v/>
      </c>
      <c r="G636" s="20">
        <f>F636+H636</f>
        <v/>
      </c>
      <c r="H636" s="5" t="n">
        <v>4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20">
        <f>축시작+INT((A637-1)/32)</f>
        <v/>
      </c>
      <c r="G637" s="20">
        <f>F637+H637</f>
        <v/>
      </c>
      <c r="H637" s="5" t="n">
        <v>10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20">
        <f>축시작+INT((A638-1)/32)</f>
        <v/>
      </c>
      <c r="G638" s="20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20">
        <f>축시작+INT((A639-1)/32)</f>
        <v/>
      </c>
      <c r="G639" s="20">
        <f>F639+H639</f>
        <v/>
      </c>
      <c r="H639" s="5" t="n">
        <v>2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20">
        <f>축시작+INT((A640-1)/32)</f>
        <v/>
      </c>
      <c r="G640" s="20">
        <f>F640+H640</f>
        <v/>
      </c>
      <c r="H640" s="5" t="n">
        <v>6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20">
        <f>축시작+INT((A641-1)/32)</f>
        <v/>
      </c>
      <c r="G641" s="20">
        <f>F641+H641</f>
        <v/>
      </c>
      <c r="H641" s="5" t="n">
        <v>4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20">
        <f>축시작+INT((A642-1)/32)</f>
        <v/>
      </c>
      <c r="G642" s="20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20">
        <f>축시작+INT((A643-1)/32)</f>
        <v/>
      </c>
      <c r="G643" s="20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20">
        <f>축시작+INT((A644-1)/32)</f>
        <v/>
      </c>
      <c r="G644" s="20">
        <f>F644+H644</f>
        <v/>
      </c>
      <c r="H644" s="5" t="n">
        <v>3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20">
        <f>축시작+INT((A645-1)/32)</f>
        <v/>
      </c>
      <c r="G645" s="20">
        <f>F645+H645</f>
        <v/>
      </c>
      <c r="H645" s="5" t="n">
        <v>6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20">
        <f>축시작+INT((A646-1)/32)</f>
        <v/>
      </c>
      <c r="G646" s="20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20">
        <f>축시작+INT((A647-1)/32)</f>
        <v/>
      </c>
      <c r="G647" s="20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20">
        <f>축시작+INT((A648-1)/32)</f>
        <v/>
      </c>
      <c r="G648" s="20">
        <f>F648+H648</f>
        <v/>
      </c>
      <c r="H648" s="5" t="n">
        <v>5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20">
        <f>축시작+INT((A649-1)/32)</f>
        <v/>
      </c>
      <c r="G649" s="20">
        <f>F649+H649</f>
        <v/>
      </c>
      <c r="H649" s="5" t="n">
        <v>13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20">
        <f>축시작+INT((A650-1)/32)</f>
        <v/>
      </c>
      <c r="G650" s="20">
        <f>F650+H650</f>
        <v/>
      </c>
      <c r="H650" s="5" t="n">
        <v>3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20">
        <f>축시작+INT((A651-1)/32)</f>
        <v/>
      </c>
      <c r="G651" s="20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20">
        <f>축시작+INT((A652-1)/32)</f>
        <v/>
      </c>
      <c r="G652" s="20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20">
        <f>축시작+INT((A653-1)/32)</f>
        <v/>
      </c>
      <c r="G653" s="20">
        <f>F653+H653</f>
        <v/>
      </c>
      <c r="H653" s="5" t="n">
        <v>6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20">
        <f>축시작+INT((A654-1)/32)</f>
        <v/>
      </c>
      <c r="G654" s="20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20">
        <f>축시작+INT((A655-1)/32)</f>
        <v/>
      </c>
      <c r="G655" s="20">
        <f>F655+H655</f>
        <v/>
      </c>
      <c r="H655" s="5" t="n">
        <v>8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20">
        <f>축시작+INT((A656-1)/32)</f>
        <v/>
      </c>
      <c r="G656" s="20">
        <f>F656+H656</f>
        <v/>
      </c>
      <c r="H656" s="5" t="n">
        <v>3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20">
        <f>축시작+INT((A657-1)/32)</f>
        <v/>
      </c>
      <c r="G657" s="20">
        <f>F657+H657</f>
        <v/>
      </c>
      <c r="H657" s="5" t="n">
        <v>6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20">
        <f>축시작+INT((A658-1)/32)</f>
        <v/>
      </c>
      <c r="G658" s="20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20">
        <f>축시작+INT((A659-1)/32)</f>
        <v/>
      </c>
      <c r="G659" s="20">
        <f>F659+H659</f>
        <v/>
      </c>
      <c r="H659" s="5" t="n">
        <v>7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20">
        <f>축시작+INT((A660-1)/32)</f>
        <v/>
      </c>
      <c r="G660" s="20">
        <f>F660+H660</f>
        <v/>
      </c>
      <c r="H660" s="5" t="n">
        <v>5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20">
        <f>축시작+INT((A661-1)/32)</f>
        <v/>
      </c>
      <c r="G661" s="20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20">
        <f>축시작+INT((A662-1)/32)</f>
        <v/>
      </c>
      <c r="G662" s="20">
        <f>F662+H662</f>
        <v/>
      </c>
      <c r="H662" s="5" t="n">
        <v>2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20">
        <f>축시작+INT((A663-1)/32)</f>
        <v/>
      </c>
      <c r="G663" s="20">
        <f>F663+H663</f>
        <v/>
      </c>
      <c r="H663" s="5" t="n">
        <v>4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20">
        <f>축시작+INT((A664-1)/32)</f>
        <v/>
      </c>
      <c r="G664" s="20">
        <f>F664+H664</f>
        <v/>
      </c>
      <c r="H664" s="5" t="n">
        <v>3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20">
        <f>축시작+INT((A665-1)/32)</f>
        <v/>
      </c>
      <c r="G665" s="20">
        <f>F665+H665</f>
        <v/>
      </c>
      <c r="H665" s="5" t="n">
        <v>6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20">
        <f>축시작+INT((A666-1)/32)</f>
        <v/>
      </c>
      <c r="G666" s="20">
        <f>F666+H666</f>
        <v/>
      </c>
      <c r="H666" s="5" t="n">
        <v>1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20">
        <f>축시작+INT((A667-1)/32)</f>
        <v/>
      </c>
      <c r="G667" s="20">
        <f>F667+H667</f>
        <v/>
      </c>
      <c r="H667" s="5" t="n">
        <v>5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20">
        <f>축시작+INT((A668-1)/32)</f>
        <v/>
      </c>
      <c r="G668" s="20">
        <f>F668+H668</f>
        <v/>
      </c>
      <c r="H668" s="5" t="n">
        <v>7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20">
        <f>축시작+INT((A669-1)/32)</f>
        <v/>
      </c>
      <c r="G669" s="20">
        <f>F669+H669</f>
        <v/>
      </c>
      <c r="H669" s="5" t="n">
        <v>6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20">
        <f>축시작+INT((A670-1)/32)</f>
        <v/>
      </c>
      <c r="G670" s="20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20">
        <f>축시작+INT((A671-1)/32)</f>
        <v/>
      </c>
      <c r="G671" s="20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20">
        <f>축시작+INT((A672-1)/32)</f>
        <v/>
      </c>
      <c r="G672" s="20">
        <f>F672+H672</f>
        <v/>
      </c>
      <c r="H672" s="5" t="n">
        <v>6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20">
        <f>축시작+INT((A673-1)/32)</f>
        <v/>
      </c>
      <c r="G673" s="20">
        <f>F673+H673</f>
        <v/>
      </c>
      <c r="H673" s="5" t="n">
        <v>4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20">
        <f>축시작+INT((A674-1)/32)</f>
        <v/>
      </c>
      <c r="G674" s="20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20">
        <f>축시작+INT((A675-1)/32)</f>
        <v/>
      </c>
      <c r="G675" s="20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20">
        <f>축시작+INT((A676-1)/32)</f>
        <v/>
      </c>
      <c r="G676" s="20">
        <f>F676+H676</f>
        <v/>
      </c>
      <c r="H676" s="5" t="n">
        <v>7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20">
        <f>축시작+INT((A677-1)/32)</f>
        <v/>
      </c>
      <c r="G677" s="20">
        <f>F677+H677</f>
        <v/>
      </c>
      <c r="H677" s="5" t="n">
        <v>6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20">
        <f>축시작+INT((A678-1)/32)</f>
        <v/>
      </c>
      <c r="G678" s="20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20">
        <f>축시작+INT((A679-1)/32)</f>
        <v/>
      </c>
      <c r="G679" s="20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20">
        <f>축시작+INT((A680-1)/32)</f>
        <v/>
      </c>
      <c r="G680" s="20">
        <f>F680+H680</f>
        <v/>
      </c>
      <c r="H680" s="5" t="n">
        <v>3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20">
        <f>축시작+INT((A681-1)/32)</f>
        <v/>
      </c>
      <c r="G681" s="20">
        <f>F681+H681</f>
        <v/>
      </c>
      <c r="H681" s="5" t="n">
        <v>4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20">
        <f>축시작+INT((A682-1)/32)</f>
        <v/>
      </c>
      <c r="G682" s="20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20">
        <f>축시작+INT((A683-1)/32)</f>
        <v/>
      </c>
      <c r="G683" s="20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20">
        <f>축시작+INT((A684-1)/32)</f>
        <v/>
      </c>
      <c r="G684" s="20">
        <f>F684+H684</f>
        <v/>
      </c>
      <c r="H684" s="5" t="n">
        <v>9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20">
        <f>축시작+INT((A685-1)/32)</f>
        <v/>
      </c>
      <c r="G685" s="20">
        <f>F685+H685</f>
        <v/>
      </c>
      <c r="H685" s="5" t="n">
        <v>6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20">
        <f>축시작+INT((A686-1)/32)</f>
        <v/>
      </c>
      <c r="G686" s="20">
        <f>F686+H686</f>
        <v/>
      </c>
      <c r="H686" s="5" t="n">
        <v>5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20">
        <f>축시작+INT((A687-1)/32)</f>
        <v/>
      </c>
      <c r="G687" s="20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20">
        <f>축시작+INT((A688-1)/32)</f>
        <v/>
      </c>
      <c r="G688" s="20">
        <f>F688+H688</f>
        <v/>
      </c>
      <c r="H688" s="5" t="n">
        <v>5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20">
        <f>축시작+INT((A689-1)/32)</f>
        <v/>
      </c>
      <c r="G689" s="20">
        <f>F689+H689</f>
        <v/>
      </c>
      <c r="H689" s="5" t="n">
        <v>6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20">
        <f>축시작+INT((A690-1)/32)</f>
        <v/>
      </c>
      <c r="G690" s="20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20">
        <f>축시작+INT((A691-1)/32)</f>
        <v/>
      </c>
      <c r="G691" s="20">
        <f>F691+H691</f>
        <v/>
      </c>
      <c r="H691" s="5" t="n">
        <v>2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20">
        <f>축시작+INT((A692-1)/32)</f>
        <v/>
      </c>
      <c r="G692" s="20">
        <f>F692+H692</f>
        <v/>
      </c>
      <c r="H692" s="5" t="n">
        <v>5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20">
        <f>축시작+INT((A693-1)/32)</f>
        <v/>
      </c>
      <c r="G693" s="20">
        <f>F693+H693</f>
        <v/>
      </c>
      <c r="H693" s="5" t="n">
        <v>10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20">
        <f>축시작+INT((A694-1)/32)</f>
        <v/>
      </c>
      <c r="G694" s="20">
        <f>F694+H694</f>
        <v/>
      </c>
      <c r="H694" s="5" t="n">
        <v>8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20">
        <f>축시작+INT((A695-1)/32)</f>
        <v/>
      </c>
      <c r="G695" s="20">
        <f>F695+H695</f>
        <v/>
      </c>
      <c r="H695" s="5" t="n">
        <v>2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20">
        <f>축시작+INT((A696-1)/32)</f>
        <v/>
      </c>
      <c r="G696" s="20">
        <f>F696+H696</f>
        <v/>
      </c>
      <c r="H696" s="5" t="n">
        <v>7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20">
        <f>축시작+INT((A697-1)/32)</f>
        <v/>
      </c>
      <c r="G697" s="20">
        <f>F697+H697</f>
        <v/>
      </c>
      <c r="H697" s="5" t="n">
        <v>6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20">
        <f>축시작+INT((A698-1)/32)</f>
        <v/>
      </c>
      <c r="G698" s="20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20">
        <f>축시작+INT((A699-1)/32)</f>
        <v/>
      </c>
      <c r="G699" s="20">
        <f>F699+H699</f>
        <v/>
      </c>
      <c r="H699" s="5" t="n">
        <v>2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20">
        <f>축시작+INT((A700-1)/32)</f>
        <v/>
      </c>
      <c r="G700" s="20">
        <f>F700+H700</f>
        <v/>
      </c>
      <c r="H700" s="5" t="n">
        <v>7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20">
        <f>축시작+INT((A701-1)/32)</f>
        <v/>
      </c>
      <c r="G701" s="20">
        <f>F701+H701</f>
        <v/>
      </c>
      <c r="H701" s="5" t="n">
        <v>13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20">
        <f>축시작+INT((A702-1)/32)</f>
        <v/>
      </c>
      <c r="G702" s="20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20">
        <f>축시작+INT((A703-1)/32)</f>
        <v/>
      </c>
      <c r="G703" s="20">
        <f>F703+H703</f>
        <v/>
      </c>
      <c r="H703" s="5" t="n">
        <v>2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20">
        <f>축시작+INT((A704-1)/32)</f>
        <v/>
      </c>
      <c r="G704" s="20">
        <f>F704+H704</f>
        <v/>
      </c>
      <c r="H704" s="5" t="n">
        <v>3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20">
        <f>축시작+INT((A705-1)/32)</f>
        <v/>
      </c>
      <c r="G705" s="20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20">
        <f>축시작+INT((A706-1)/32)</f>
        <v/>
      </c>
      <c r="G706" s="20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20">
        <f>축시작+INT((A707-1)/32)</f>
        <v/>
      </c>
      <c r="G707" s="20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20">
        <f>축시작+INT((A708-1)/32)</f>
        <v/>
      </c>
      <c r="G708" s="20">
        <f>F708+H708</f>
        <v/>
      </c>
      <c r="H708" s="5" t="n">
        <v>7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20">
        <f>축시작+INT((A709-1)/32)</f>
        <v/>
      </c>
      <c r="G709" s="20">
        <f>F709+H709</f>
        <v/>
      </c>
      <c r="H709" s="5" t="n">
        <v>13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20">
        <f>축시작+INT((A710-1)/32)</f>
        <v/>
      </c>
      <c r="G710" s="20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20">
        <f>축시작+INT((A711-1)/32)</f>
        <v/>
      </c>
      <c r="G711" s="20">
        <f>F711+H711</f>
        <v/>
      </c>
      <c r="H711" s="5" t="n">
        <v>3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20">
        <f>축시작+INT((A712-1)/32)</f>
        <v/>
      </c>
      <c r="G712" s="20">
        <f>F712+H712</f>
        <v/>
      </c>
      <c r="H712" s="5" t="n">
        <v>8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20">
        <f>축시작+INT((A713-1)/32)</f>
        <v/>
      </c>
      <c r="G713" s="20">
        <f>F713+H713</f>
        <v/>
      </c>
      <c r="H713" s="5" t="n">
        <v>4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20">
        <f>축시작+INT((A714-1)/32)</f>
        <v/>
      </c>
      <c r="G714" s="20">
        <f>F714+H714</f>
        <v/>
      </c>
      <c r="H714" s="5" t="n">
        <v>6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20">
        <f>축시작+INT((A715-1)/32)</f>
        <v/>
      </c>
      <c r="G715" s="20">
        <f>F715+H715</f>
        <v/>
      </c>
      <c r="H715" s="5" t="n">
        <v>4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20">
        <f>축시작+INT((A716-1)/32)</f>
        <v/>
      </c>
      <c r="G716" s="20">
        <f>F716+H716</f>
        <v/>
      </c>
      <c r="H716" s="5" t="n">
        <v>3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20">
        <f>축시작+INT((A717-1)/32)</f>
        <v/>
      </c>
      <c r="G717" s="20">
        <f>F717+H717</f>
        <v/>
      </c>
      <c r="H717" s="5" t="n">
        <v>6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20">
        <f>축시작+INT((A718-1)/32)</f>
        <v/>
      </c>
      <c r="G718" s="20">
        <f>F718+H718</f>
        <v/>
      </c>
      <c r="H718" s="5" t="n">
        <v>1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20">
        <f>축시작+INT((A719-1)/32)</f>
        <v/>
      </c>
      <c r="G719" s="20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20">
        <f>축시작+INT((A720-1)/32)</f>
        <v/>
      </c>
      <c r="G720" s="20">
        <f>F720+H720</f>
        <v/>
      </c>
      <c r="H720" s="5" t="n">
        <v>5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20">
        <f>축시작+INT((A721-1)/32)</f>
        <v/>
      </c>
      <c r="G721" s="20">
        <f>F721+H721</f>
        <v/>
      </c>
      <c r="H721" s="5" t="n">
        <v>10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20">
        <f>축시작+INT((A722-1)/32)</f>
        <v/>
      </c>
      <c r="G722" s="20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20">
        <f>축시작+INT((A723-1)/32)</f>
        <v/>
      </c>
      <c r="G723" s="20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20">
        <f>축시작+INT((A724-1)/32)</f>
        <v/>
      </c>
      <c r="G724" s="20">
        <f>F724+H724</f>
        <v/>
      </c>
      <c r="H724" s="5" t="n">
        <v>9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20">
        <f>축시작+INT((A725-1)/32)</f>
        <v/>
      </c>
      <c r="G725" s="20">
        <f>F725+H725</f>
        <v/>
      </c>
      <c r="H725" s="5" t="n">
        <v>5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20">
        <f>축시작+INT((A726-1)/32)</f>
        <v/>
      </c>
      <c r="G726" s="20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20">
        <f>축시작+INT((A727-1)/32)</f>
        <v/>
      </c>
      <c r="G727" s="20">
        <f>F727+H727</f>
        <v/>
      </c>
      <c r="H727" s="5" t="n">
        <v>4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20">
        <f>축시작+INT((A728-1)/32)</f>
        <v/>
      </c>
      <c r="G728" s="20">
        <f>F728+H728</f>
        <v/>
      </c>
      <c r="H728" s="5" t="n">
        <v>3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20">
        <f>축시작+INT((A729-1)/32)</f>
        <v/>
      </c>
      <c r="G729" s="20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20">
        <f>축시작+INT((A730-1)/32)</f>
        <v/>
      </c>
      <c r="G730" s="20">
        <f>F730+H730</f>
        <v/>
      </c>
      <c r="H730" s="5" t="n">
        <v>1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20">
        <f>축시작+INT((A731-1)/32)</f>
        <v/>
      </c>
      <c r="G731" s="20">
        <f>F731+H731</f>
        <v/>
      </c>
      <c r="H731" s="5" t="n">
        <v>2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20">
        <f>축시작+INT((A732-1)/32)</f>
        <v/>
      </c>
      <c r="G732" s="20">
        <f>F732+H732</f>
        <v/>
      </c>
      <c r="H732" s="5" t="n">
        <v>3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20">
        <f>축시작+INT((A733-1)/32)</f>
        <v/>
      </c>
      <c r="G733" s="20">
        <f>F733+H733</f>
        <v/>
      </c>
      <c r="H733" s="5" t="n">
        <v>6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20">
        <f>축시작+INT((A734-1)/32)</f>
        <v/>
      </c>
      <c r="G734" s="20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20">
        <f>축시작+INT((A735-1)/32)</f>
        <v/>
      </c>
      <c r="G735" s="20">
        <f>F735+H735</f>
        <v/>
      </c>
      <c r="H735" s="5" t="n">
        <v>4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20">
        <f>축시작+INT((A736-1)/32)</f>
        <v/>
      </c>
      <c r="G736" s="20">
        <f>F736+H736</f>
        <v/>
      </c>
      <c r="H736" s="5" t="n">
        <v>5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20">
        <f>축시작+INT((A737-1)/32)</f>
        <v/>
      </c>
      <c r="G737" s="20">
        <f>F737+H737</f>
        <v/>
      </c>
      <c r="H737" s="5" t="n">
        <v>6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20">
        <f>축시작+INT((A738-1)/32)</f>
        <v/>
      </c>
      <c r="G738" s="20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20">
        <f>축시작+INT((A739-1)/32)</f>
        <v/>
      </c>
      <c r="G739" s="20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20">
        <f>축시작+INT((A740-1)/32)</f>
        <v/>
      </c>
      <c r="G740" s="20">
        <f>F740+H740</f>
        <v/>
      </c>
      <c r="H740" s="5" t="n">
        <v>3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20">
        <f>축시작+INT((A741-1)/32)</f>
        <v/>
      </c>
      <c r="G741" s="20">
        <f>F741+H741</f>
        <v/>
      </c>
      <c r="H741" s="5" t="n">
        <v>6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20">
        <f>축시작+INT((A742-1)/32)</f>
        <v/>
      </c>
      <c r="G742" s="20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20">
        <f>축시작+INT((A743-1)/32)</f>
        <v/>
      </c>
      <c r="G743" s="20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20">
        <f>축시작+INT((A744-1)/32)</f>
        <v/>
      </c>
      <c r="G744" s="20">
        <f>F744+H744</f>
        <v/>
      </c>
      <c r="H744" s="5" t="n">
        <v>4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20">
        <f>축시작+INT((A745-1)/32)</f>
        <v/>
      </c>
      <c r="G745" s="20">
        <f>F745+H745</f>
        <v/>
      </c>
      <c r="H745" s="5" t="n">
        <v>4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20">
        <f>축시작+INT((A746-1)/32)</f>
        <v/>
      </c>
      <c r="G746" s="20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20">
        <f>축시작+INT((A747-1)/32)</f>
        <v/>
      </c>
      <c r="G747" s="20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20">
        <f>축시작+INT((A748-1)/32)</f>
        <v/>
      </c>
      <c r="G748" s="20">
        <f>F748+H748</f>
        <v/>
      </c>
      <c r="H748" s="5" t="n">
        <v>5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20">
        <f>축시작+INT((A749-1)/32)</f>
        <v/>
      </c>
      <c r="G749" s="20">
        <f>F749+H749</f>
        <v/>
      </c>
      <c r="H749" s="5" t="n">
        <v>6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20">
        <f>축시작+INT((A750-1)/32)</f>
        <v/>
      </c>
      <c r="G750" s="20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20">
        <f>축시작+INT((A751-1)/32)</f>
        <v/>
      </c>
      <c r="G751" s="20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20">
        <f>축시작+INT((A752-1)/32)</f>
        <v/>
      </c>
      <c r="G752" s="20">
        <f>F752+H752</f>
        <v/>
      </c>
      <c r="H752" s="5" t="n">
        <v>8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20">
        <f>축시작+INT((A753-1)/32)</f>
        <v/>
      </c>
      <c r="G753" s="20">
        <f>F753+H753</f>
        <v/>
      </c>
      <c r="H753" s="5" t="n">
        <v>8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20">
        <f>축시작+INT((A754-1)/32)</f>
        <v/>
      </c>
      <c r="G754" s="20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20">
        <f>축시작+INT((A755-1)/32)</f>
        <v/>
      </c>
      <c r="G755" s="20">
        <f>F755+H755</f>
        <v/>
      </c>
      <c r="H755" s="5" t="n">
        <v>2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20">
        <f>축시작+INT((A756-1)/32)</f>
        <v/>
      </c>
      <c r="G756" s="20">
        <f>F756+H756</f>
        <v/>
      </c>
      <c r="H756" s="5" t="n">
        <v>5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20">
        <f>축시작+INT((A757-1)/32)</f>
        <v/>
      </c>
      <c r="G757" s="20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20">
        <f>축시작+INT((A758-1)/32)</f>
        <v/>
      </c>
      <c r="G758" s="20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20">
        <f>축시작+INT((A759-1)/32)</f>
        <v/>
      </c>
      <c r="G759" s="20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20">
        <f>축시작+INT((A760-1)/32)</f>
        <v/>
      </c>
      <c r="G760" s="20">
        <f>F760+H760</f>
        <v/>
      </c>
      <c r="H760" s="5" t="n">
        <v>3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20">
        <f>축시작+INT((A761-1)/32)</f>
        <v/>
      </c>
      <c r="G761" s="20">
        <f>F761+H761</f>
        <v/>
      </c>
      <c r="H761" s="5" t="n">
        <v>6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20">
        <f>축시작+INT((A762-1)/32)</f>
        <v/>
      </c>
      <c r="G762" s="20">
        <f>F762+H762</f>
        <v/>
      </c>
      <c r="H762" s="5" t="n">
        <v>3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20">
        <f>축시작+INT((A763-1)/32)</f>
        <v/>
      </c>
      <c r="G763" s="20">
        <f>F763+H763</f>
        <v/>
      </c>
      <c r="H763" s="5" t="n">
        <v>5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20">
        <f>축시작+INT((A764-1)/32)</f>
        <v/>
      </c>
      <c r="G764" s="20">
        <f>F764+H764</f>
        <v/>
      </c>
      <c r="H764" s="5" t="n">
        <v>3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20">
        <f>축시작+INT((A765-1)/32)</f>
        <v/>
      </c>
      <c r="G765" s="20">
        <f>F765+H765</f>
        <v/>
      </c>
      <c r="H765" s="5" t="n">
        <v>4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20">
        <f>축시작+INT((A766-1)/32)</f>
        <v/>
      </c>
      <c r="G766" s="20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20">
        <f>축시작+INT((A767-1)/32)</f>
        <v/>
      </c>
      <c r="G767" s="20">
        <f>F767+H767</f>
        <v/>
      </c>
      <c r="H767" s="5" t="n">
        <v>2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20">
        <f>축시작+INT((A768-1)/32)</f>
        <v/>
      </c>
      <c r="G768" s="20">
        <f>F768+H768</f>
        <v/>
      </c>
      <c r="H768" s="5" t="n">
        <v>5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20">
        <f>축시작+INT((A769-1)/32)</f>
        <v/>
      </c>
      <c r="G769" s="20">
        <f>F769+H769</f>
        <v/>
      </c>
      <c r="H769" s="5" t="n">
        <v>9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20">
        <f>축시작+INT((A770-1)/32)</f>
        <v/>
      </c>
      <c r="G770" s="20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20">
        <f>축시작+INT((A771-1)/32)</f>
        <v/>
      </c>
      <c r="G771" s="20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20">
        <f>축시작+INT((A772-1)/32)</f>
        <v/>
      </c>
      <c r="G772" s="20">
        <f>F772+H772</f>
        <v/>
      </c>
      <c r="H772" s="5" t="n">
        <v>3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20">
        <f>축시작+INT((A773-1)/32)</f>
        <v/>
      </c>
      <c r="G773" s="20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20">
        <f>축시작+INT((A774-1)/32)</f>
        <v/>
      </c>
      <c r="G774" s="20">
        <f>F774+H774</f>
        <v/>
      </c>
      <c r="H774" s="5" t="n">
        <v>2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20">
        <f>축시작+INT((A775-1)/32)</f>
        <v/>
      </c>
      <c r="G775" s="20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20">
        <f>축시작+INT((A776-1)/32)</f>
        <v/>
      </c>
      <c r="G776" s="20">
        <f>F776+H776</f>
        <v/>
      </c>
      <c r="H776" s="5" t="n">
        <v>5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20">
        <f>축시작+INT((A777-1)/32)</f>
        <v/>
      </c>
      <c r="G777" s="20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20">
        <f>축시작+INT((A778-1)/32)</f>
        <v/>
      </c>
      <c r="G778" s="20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20">
        <f>축시작+INT((A779-1)/32)</f>
        <v/>
      </c>
      <c r="G779" s="20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20">
        <f>축시작+INT((A780-1)/32)</f>
        <v/>
      </c>
      <c r="G780" s="20">
        <f>F780+H780</f>
        <v/>
      </c>
      <c r="H780" s="5" t="n">
        <v>3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20">
        <f>축시작+INT((A781-1)/32)</f>
        <v/>
      </c>
      <c r="G781" s="20">
        <f>F781+H781</f>
        <v/>
      </c>
      <c r="H781" s="5" t="n">
        <v>6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20">
        <f>축시작+INT((A782-1)/32)</f>
        <v/>
      </c>
      <c r="G782" s="20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20">
        <f>축시작+INT((A783-1)/32)</f>
        <v/>
      </c>
      <c r="G783" s="20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20">
        <f>축시작+INT((A784-1)/32)</f>
        <v/>
      </c>
      <c r="G784" s="20">
        <f>F784+H784</f>
        <v/>
      </c>
      <c r="H784" s="5" t="n">
        <v>5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20">
        <f>축시작+INT((A785-1)/32)</f>
        <v/>
      </c>
      <c r="G785" s="20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20">
        <f>축시작+INT((A786-1)/32)</f>
        <v/>
      </c>
      <c r="G786" s="20">
        <f>F786+H786</f>
        <v/>
      </c>
      <c r="H786" s="5" t="n">
        <v>1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20">
        <f>축시작+INT((A787-1)/32)</f>
        <v/>
      </c>
      <c r="G787" s="20">
        <f>F787+H787</f>
        <v/>
      </c>
      <c r="H787" s="5" t="n">
        <v>2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20">
        <f>축시작+INT((A788-1)/32)</f>
        <v/>
      </c>
      <c r="G788" s="20">
        <f>F788+H788</f>
        <v/>
      </c>
      <c r="H788" s="5" t="n">
        <v>8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20">
        <f>축시작+INT((A789-1)/32)</f>
        <v/>
      </c>
      <c r="G789" s="20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20">
        <f>축시작+INT((A790-1)/32)</f>
        <v/>
      </c>
      <c r="G790" s="20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20">
        <f>축시작+INT((A791-1)/32)</f>
        <v/>
      </c>
      <c r="G791" s="20">
        <f>F791+H791</f>
        <v/>
      </c>
      <c r="H791" s="5" t="n">
        <v>4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20">
        <f>축시작+INT((A792-1)/32)</f>
        <v/>
      </c>
      <c r="G792" s="20">
        <f>F792+H792</f>
        <v/>
      </c>
      <c r="H792" s="5" t="n">
        <v>5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20">
        <f>축시작+INT((A793-1)/32)</f>
        <v/>
      </c>
      <c r="G793" s="20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20">
        <f>축시작+INT((A794-1)/32)</f>
        <v/>
      </c>
      <c r="G794" s="20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20">
        <f>축시작+INT((A795-1)/32)</f>
        <v/>
      </c>
      <c r="G795" s="20">
        <f>F795+H795</f>
        <v/>
      </c>
      <c r="H795" s="5" t="n">
        <v>2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20">
        <f>축시작+INT((A796-1)/32)</f>
        <v/>
      </c>
      <c r="G796" s="20">
        <f>F796+H796</f>
        <v/>
      </c>
      <c r="H796" s="5" t="n">
        <v>5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20">
        <f>축시작+INT((A797-1)/32)</f>
        <v/>
      </c>
      <c r="G797" s="20">
        <f>F797+H797</f>
        <v/>
      </c>
      <c r="H797" s="5" t="n">
        <v>6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20">
        <f>축시작+INT((A798-1)/32)</f>
        <v/>
      </c>
      <c r="G798" s="20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20">
        <f>축시작+INT((A799-1)/32)</f>
        <v/>
      </c>
      <c r="G799" s="20">
        <f>F799+H799</f>
        <v/>
      </c>
      <c r="H799" s="5" t="n">
        <v>5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20">
        <f>축시작+INT((A800-1)/32)</f>
        <v/>
      </c>
      <c r="G800" s="20">
        <f>F800+H800</f>
        <v/>
      </c>
      <c r="H800" s="5" t="n">
        <v>5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20">
        <f>축시작+INT((A801-1)/32)</f>
        <v/>
      </c>
      <c r="G801" s="20">
        <f>F801+H801</f>
        <v/>
      </c>
      <c r="H801" s="5" t="n">
        <v>6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20">
        <f>축시작+INT((A802-1)/32)</f>
        <v/>
      </c>
      <c r="G802" s="20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20">
        <f>축시작+INT((A803-1)/32)</f>
        <v/>
      </c>
      <c r="G803" s="20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20">
        <f>축시작+INT((A804-1)/32)</f>
        <v/>
      </c>
      <c r="G804" s="20">
        <f>F804+H804</f>
        <v/>
      </c>
      <c r="H804" s="5" t="n">
        <v>5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20">
        <f>축시작+INT((A805-1)/32)</f>
        <v/>
      </c>
      <c r="G805" s="20">
        <f>F805+H805</f>
        <v/>
      </c>
      <c r="H805" s="5" t="n">
        <v>6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20">
        <f>축시작+INT((A806-1)/32)</f>
        <v/>
      </c>
      <c r="G806" s="20">
        <f>F806+H806</f>
        <v/>
      </c>
      <c r="H806" s="5" t="n">
        <v>4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20">
        <f>축시작+INT((A807-1)/32)</f>
        <v/>
      </c>
      <c r="G807" s="20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20">
        <f>축시작+INT((A808-1)/32)</f>
        <v/>
      </c>
      <c r="G808" s="20">
        <f>F808+H808</f>
        <v/>
      </c>
      <c r="H808" s="5" t="n">
        <v>3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20">
        <f>축시작+INT((A809-1)/32)</f>
        <v/>
      </c>
      <c r="G809" s="20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20">
        <f>축시작+INT((A810-1)/32)</f>
        <v/>
      </c>
      <c r="G810" s="20">
        <f>F810+H810</f>
        <v/>
      </c>
      <c r="H810" s="5" t="n">
        <v>1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20">
        <f>축시작+INT((A811-1)/32)</f>
        <v/>
      </c>
      <c r="G811" s="20">
        <f>F811+H811</f>
        <v/>
      </c>
      <c r="H811" s="5" t="n">
        <v>3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20">
        <f>축시작+INT((A812-1)/32)</f>
        <v/>
      </c>
      <c r="G812" s="20">
        <f>F812+H812</f>
        <v/>
      </c>
      <c r="H812" s="5" t="n">
        <v>7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20">
        <f>축시작+INT((A813-1)/32)</f>
        <v/>
      </c>
      <c r="G813" s="20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20">
        <f>축시작+INT((A814-1)/32)</f>
        <v/>
      </c>
      <c r="G814" s="20">
        <f>F814+H814</f>
        <v/>
      </c>
      <c r="H814" s="5" t="n">
        <v>3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20">
        <f>축시작+INT((A815-1)/32)</f>
        <v/>
      </c>
      <c r="G815" s="20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20">
        <f>축시작+INT((A816-1)/32)</f>
        <v/>
      </c>
      <c r="G816" s="20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20">
        <f>축시작+INT((A817-1)/32)</f>
        <v/>
      </c>
      <c r="G817" s="20">
        <f>F817+H817</f>
        <v/>
      </c>
      <c r="H817" s="5" t="n">
        <v>4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20">
        <f>축시작+INT((A818-1)/32)</f>
        <v/>
      </c>
      <c r="G818" s="20">
        <f>F818+H818</f>
        <v/>
      </c>
      <c r="H818" s="5" t="n">
        <v>1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20">
        <f>축시작+INT((A819-1)/32)</f>
        <v/>
      </c>
      <c r="G819" s="20">
        <f>F819+H819</f>
        <v/>
      </c>
      <c r="H819" s="5" t="n">
        <v>5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20">
        <f>축시작+INT((A820-1)/32)</f>
        <v/>
      </c>
      <c r="G820" s="20">
        <f>F820+H820</f>
        <v/>
      </c>
      <c r="H820" s="5" t="n">
        <v>5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20">
        <f>축시작+INT((A821-1)/32)</f>
        <v/>
      </c>
      <c r="G821" s="20">
        <f>F821+H821</f>
        <v/>
      </c>
      <c r="H821" s="5" t="n">
        <v>10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20">
        <f>축시작+INT((A822-1)/32)</f>
        <v/>
      </c>
      <c r="G822" s="20">
        <f>F822+H822</f>
        <v/>
      </c>
      <c r="H822" s="5" t="n">
        <v>1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20">
        <f>축시작+INT((A823-1)/32)</f>
        <v/>
      </c>
      <c r="G823" s="20">
        <f>F823+H823</f>
        <v/>
      </c>
      <c r="H823" s="5" t="n">
        <v>2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20">
        <f>축시작+INT((A824-1)/32)</f>
        <v/>
      </c>
      <c r="G824" s="20">
        <f>F824+H824</f>
        <v/>
      </c>
      <c r="H824" s="5" t="n">
        <v>3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20">
        <f>축시작+INT((A825-1)/32)</f>
        <v/>
      </c>
      <c r="G825" s="20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20">
        <f>축시작+INT((A826-1)/32)</f>
        <v/>
      </c>
      <c r="G826" s="20">
        <f>F826+H826</f>
        <v/>
      </c>
      <c r="H826" s="5" t="n">
        <v>3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20">
        <f>축시작+INT((A827-1)/32)</f>
        <v/>
      </c>
      <c r="G827" s="20">
        <f>F827+H827</f>
        <v/>
      </c>
      <c r="H827" s="5" t="n">
        <v>5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20">
        <f>축시작+INT((A828-1)/32)</f>
        <v/>
      </c>
      <c r="G828" s="20">
        <f>F828+H828</f>
        <v/>
      </c>
      <c r="H828" s="5" t="n">
        <v>5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20">
        <f>축시작+INT((A829-1)/32)</f>
        <v/>
      </c>
      <c r="G829" s="20">
        <f>F829+H829</f>
        <v/>
      </c>
      <c r="H829" s="5" t="n">
        <v>7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20">
        <f>축시작+INT((A830-1)/32)</f>
        <v/>
      </c>
      <c r="G830" s="20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20">
        <f>축시작+INT((A831-1)/32)</f>
        <v/>
      </c>
      <c r="G831" s="20">
        <f>F831+H831</f>
        <v/>
      </c>
      <c r="H831" s="5" t="n">
        <v>2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20">
        <f>축시작+INT((A832-1)/32)</f>
        <v/>
      </c>
      <c r="G832" s="20">
        <f>F832+H832</f>
        <v/>
      </c>
      <c r="H832" s="5" t="n">
        <v>5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20">
        <f>축시작+INT((A833-1)/32)</f>
        <v/>
      </c>
      <c r="G833" s="20">
        <f>F833+H833</f>
        <v/>
      </c>
      <c r="H833" s="5" t="n">
        <v>6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20">
        <f>축시작+INT((A834-1)/32)</f>
        <v/>
      </c>
      <c r="G834" s="20">
        <f>F834+H834</f>
        <v/>
      </c>
      <c r="H834" s="5" t="n">
        <v>1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20">
        <f>축시작+INT((A835-1)/32)</f>
        <v/>
      </c>
      <c r="G835" s="20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20">
        <f>축시작+INT((A836-1)/32)</f>
        <v/>
      </c>
      <c r="G836" s="20">
        <f>F836+H836</f>
        <v/>
      </c>
      <c r="H836" s="5" t="n">
        <v>5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20">
        <f>축시작+INT((A837-1)/32)</f>
        <v/>
      </c>
      <c r="G837" s="20">
        <f>F837+H837</f>
        <v/>
      </c>
      <c r="H837" s="5" t="n">
        <v>6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20">
        <f>축시작+INT((A838-1)/32)</f>
        <v/>
      </c>
      <c r="G838" s="20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20">
        <f>축시작+INT((A839-1)/32)</f>
        <v/>
      </c>
      <c r="G839" s="20">
        <f>F839+H839</f>
        <v/>
      </c>
      <c r="H839" s="5" t="n">
        <v>4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20">
        <f>축시작+INT((A840-1)/32)</f>
        <v/>
      </c>
      <c r="G840" s="20">
        <f>F840+H840</f>
        <v/>
      </c>
      <c r="H840" s="5" t="n">
        <v>5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20">
        <f>축시작+INT((A841-1)/32)</f>
        <v/>
      </c>
      <c r="G841" s="20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20">
        <f>축시작+INT((A842-1)/32)</f>
        <v/>
      </c>
      <c r="G842" s="20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20">
        <f>축시작+INT((A843-1)/32)</f>
        <v/>
      </c>
      <c r="G843" s="20">
        <f>F843+H843</f>
        <v/>
      </c>
      <c r="H843" s="5" t="n">
        <v>3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20">
        <f>축시작+INT((A844-1)/32)</f>
        <v/>
      </c>
      <c r="G844" s="20">
        <f>F844+H844</f>
        <v/>
      </c>
      <c r="H844" s="5" t="n">
        <v>5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20">
        <f>축시작+INT((A845-1)/32)</f>
        <v/>
      </c>
      <c r="G845" s="20">
        <f>F845+H845</f>
        <v/>
      </c>
      <c r="H845" s="5" t="n">
        <v>12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20">
        <f>축시작+INT((A846-1)/32)</f>
        <v/>
      </c>
      <c r="G846" s="20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20">
        <f>축시작+INT((A847-1)/32)</f>
        <v/>
      </c>
      <c r="G847" s="20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20">
        <f>축시작+INT((A848-1)/32)</f>
        <v/>
      </c>
      <c r="G848" s="20">
        <f>F848+H848</f>
        <v/>
      </c>
      <c r="H848" s="5" t="n">
        <v>4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20">
        <f>축시작+INT((A849-1)/32)</f>
        <v/>
      </c>
      <c r="G849" s="20">
        <f>F849+H849</f>
        <v/>
      </c>
      <c r="H849" s="5" t="n">
        <v>8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20">
        <f>축시작+INT((A850-1)/32)</f>
        <v/>
      </c>
      <c r="G850" s="20">
        <f>F850+H850</f>
        <v/>
      </c>
      <c r="H850" s="5" t="n">
        <v>1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20">
        <f>축시작+INT((A851-1)/32)</f>
        <v/>
      </c>
      <c r="G851" s="20">
        <f>F851+H851</f>
        <v/>
      </c>
      <c r="H851" s="5" t="n">
        <v>2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20">
        <f>축시작+INT((A852-1)/32)</f>
        <v/>
      </c>
      <c r="G852" s="20">
        <f>F852+H852</f>
        <v/>
      </c>
      <c r="H852" s="5" t="n">
        <v>3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20">
        <f>축시작+INT((A853-1)/32)</f>
        <v/>
      </c>
      <c r="G853" s="20">
        <f>F853+H853</f>
        <v/>
      </c>
      <c r="H853" s="5" t="n">
        <v>6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20">
        <f>축시작+INT((A854-1)/32)</f>
        <v/>
      </c>
      <c r="G854" s="20">
        <f>F854+H854</f>
        <v/>
      </c>
      <c r="H854" s="5" t="n">
        <v>2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20">
        <f>축시작+INT((A855-1)/32)</f>
        <v/>
      </c>
      <c r="G855" s="20">
        <f>F855+H855</f>
        <v/>
      </c>
      <c r="H855" s="5" t="n">
        <v>4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20">
        <f>축시작+INT((A856-1)/32)</f>
        <v/>
      </c>
      <c r="G856" s="20">
        <f>F856+H856</f>
        <v/>
      </c>
      <c r="H856" s="5" t="n">
        <v>5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20">
        <f>축시작+INT((A857-1)/32)</f>
        <v/>
      </c>
      <c r="G857" s="20">
        <f>F857+H857</f>
        <v/>
      </c>
      <c r="H857" s="5" t="n">
        <v>4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20">
        <f>축시작+INT((A858-1)/32)</f>
        <v/>
      </c>
      <c r="G858" s="20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20">
        <f>축시작+INT((A859-1)/32)</f>
        <v/>
      </c>
      <c r="G859" s="20">
        <f>F859+H859</f>
        <v/>
      </c>
      <c r="H859" s="5" t="n">
        <v>3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20">
        <f>축시작+INT((A860-1)/32)</f>
        <v/>
      </c>
      <c r="G860" s="20">
        <f>F860+H860</f>
        <v/>
      </c>
      <c r="H860" s="5" t="n">
        <v>5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20">
        <f>축시작+INT((A861-1)/32)</f>
        <v/>
      </c>
      <c r="G861" s="20">
        <f>F861+H861</f>
        <v/>
      </c>
      <c r="H861" s="5" t="n">
        <v>5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20">
        <f>축시작+INT((A862-1)/32)</f>
        <v/>
      </c>
      <c r="G862" s="20">
        <f>F862+H862</f>
        <v/>
      </c>
      <c r="H862" s="5" t="n">
        <v>1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20">
        <f>축시작+INT((A863-1)/32)</f>
        <v/>
      </c>
      <c r="G863" s="20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20">
        <f>축시작+INT((A864-1)/32)</f>
        <v/>
      </c>
      <c r="G864" s="20">
        <f>F864+H864</f>
        <v/>
      </c>
      <c r="H864" s="5" t="n">
        <v>5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20">
        <f>축시작+INT((A865-1)/32)</f>
        <v/>
      </c>
      <c r="G865" s="20">
        <f>F865+H865</f>
        <v/>
      </c>
      <c r="H865" s="5" t="n">
        <v>8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20">
        <f>축시작+INT((A866-1)/32)</f>
        <v/>
      </c>
      <c r="G866" s="20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20">
        <f>축시작+INT((A867-1)/32)</f>
        <v/>
      </c>
      <c r="G867" s="20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20">
        <f>축시작+INT((A868-1)/32)</f>
        <v/>
      </c>
      <c r="G868" s="20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20">
        <f>축시작+INT((A869-1)/32)</f>
        <v/>
      </c>
      <c r="G869" s="20">
        <f>F869+H869</f>
        <v/>
      </c>
      <c r="H869" s="5" t="n">
        <v>6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20">
        <f>축시작+INT((A870-1)/32)</f>
        <v/>
      </c>
      <c r="G870" s="20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20">
        <f>축시작+INT((A871-1)/32)</f>
        <v/>
      </c>
      <c r="G871" s="20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20">
        <f>축시작+INT((A872-1)/32)</f>
        <v/>
      </c>
      <c r="G872" s="20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20">
        <f>축시작+INT((A873-1)/32)</f>
        <v/>
      </c>
      <c r="G873" s="20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20">
        <f>축시작+INT((A874-1)/32)</f>
        <v/>
      </c>
      <c r="G874" s="20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20">
        <f>축시작+INT((A875-1)/32)</f>
        <v/>
      </c>
      <c r="G875" s="20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20">
        <f>축시작+INT((A876-1)/32)</f>
        <v/>
      </c>
      <c r="G876" s="20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20">
        <f>축시작+INT((A877-1)/32)</f>
        <v/>
      </c>
      <c r="G877" s="20">
        <f>F877+H877</f>
        <v/>
      </c>
      <c r="H877" s="5" t="n">
        <v>6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20">
        <f>축시작+INT((A878-1)/32)</f>
        <v/>
      </c>
      <c r="G878" s="20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20">
        <f>축시작+INT((A879-1)/32)</f>
        <v/>
      </c>
      <c r="G879" s="20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20">
        <f>축시작+INT((A880-1)/32)</f>
        <v/>
      </c>
      <c r="G880" s="20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20">
        <f>축시작+INT((A881-1)/32)</f>
        <v/>
      </c>
      <c r="G881" s="20">
        <f>F881+H881</f>
        <v/>
      </c>
      <c r="H881" s="5" t="n">
        <v>6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20">
        <f>축시작+INT((A882-1)/32)</f>
        <v/>
      </c>
      <c r="G882" s="20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20">
        <f>축시작+INT((A883-1)/32)</f>
        <v/>
      </c>
      <c r="G883" s="20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20">
        <f>축시작+INT((A884-1)/32)</f>
        <v/>
      </c>
      <c r="G884" s="20">
        <f>F884+H884</f>
        <v/>
      </c>
      <c r="H884" s="5" t="n">
        <v>7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20">
        <f>축시작+INT((A885-1)/32)</f>
        <v/>
      </c>
      <c r="G885" s="20">
        <f>F885+H885</f>
        <v/>
      </c>
      <c r="H885" s="5" t="n">
        <v>7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20">
        <f>축시작+INT((A886-1)/32)</f>
        <v/>
      </c>
      <c r="G886" s="20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20">
        <f>축시작+INT((A887-1)/32)</f>
        <v/>
      </c>
      <c r="G887" s="20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20">
        <f>축시작+INT((A888-1)/32)</f>
        <v/>
      </c>
      <c r="G888" s="20">
        <f>F888+H888</f>
        <v/>
      </c>
      <c r="H888" s="5" t="n">
        <v>3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20">
        <f>축시작+INT((A889-1)/32)</f>
        <v/>
      </c>
      <c r="G889" s="20">
        <f>F889+H889</f>
        <v/>
      </c>
      <c r="H889" s="5" t="n">
        <v>6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20">
        <f>축시작+INT((A890-1)/32)</f>
        <v/>
      </c>
      <c r="G890" s="20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20">
        <f>축시작+INT((A891-1)/32)</f>
        <v/>
      </c>
      <c r="G891" s="20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20">
        <f>축시작+INT((A892-1)/32)</f>
        <v/>
      </c>
      <c r="G892" s="20">
        <f>F892+H892</f>
        <v/>
      </c>
      <c r="H892" s="5" t="n">
        <v>5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20">
        <f>축시작+INT((A893-1)/32)</f>
        <v/>
      </c>
      <c r="G893" s="20">
        <f>F893+H893</f>
        <v/>
      </c>
      <c r="H893" s="5" t="n">
        <v>6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20">
        <f>축시작+INT((A894-1)/32)</f>
        <v/>
      </c>
      <c r="G894" s="20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20">
        <f>축시작+INT((A895-1)/32)</f>
        <v/>
      </c>
      <c r="G895" s="20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20">
        <f>축시작+INT((A896-1)/32)</f>
        <v/>
      </c>
      <c r="G896" s="20">
        <f>F896+H896</f>
        <v/>
      </c>
      <c r="H896" s="5" t="n">
        <v>6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20">
        <f>축시작+INT((A897-1)/32)</f>
        <v/>
      </c>
      <c r="G897" s="20">
        <f>F897+H897</f>
        <v/>
      </c>
      <c r="H897" s="5" t="n">
        <v>6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20">
        <f>축시작+INT((A898-1)/32)</f>
        <v/>
      </c>
      <c r="G898" s="20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20">
        <f>축시작+INT((A899-1)/32)</f>
        <v/>
      </c>
      <c r="G899" s="20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20">
        <f>축시작+INT((A900-1)/32)</f>
        <v/>
      </c>
      <c r="G900" s="20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20">
        <f>축시작+INT((A901-1)/32)</f>
        <v/>
      </c>
      <c r="G901" s="20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20">
        <f>축시작+INT((A902-1)/32)</f>
        <v/>
      </c>
      <c r="G902" s="20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20">
        <f>축시작+INT((A903-1)/32)</f>
        <v/>
      </c>
      <c r="G903" s="20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20">
        <f>축시작+INT((A904-1)/32)</f>
        <v/>
      </c>
      <c r="G904" s="20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20">
        <f>축시작+INT((A905-1)/32)</f>
        <v/>
      </c>
      <c r="G905" s="20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20">
        <f>축시작+INT((A906-1)/32)</f>
        <v/>
      </c>
      <c r="G906" s="20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20">
        <f>축시작+INT((A907-1)/32)</f>
        <v/>
      </c>
      <c r="G907" s="20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20">
        <f>축시작+INT((A908-1)/32)</f>
        <v/>
      </c>
      <c r="G908" s="20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20">
        <f>축시작+INT((A909-1)/32)</f>
        <v/>
      </c>
      <c r="G909" s="20">
        <f>F909+H909</f>
        <v/>
      </c>
      <c r="H909" s="5" t="n">
        <v>4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20">
        <f>축시작+INT((A910-1)/32)</f>
        <v/>
      </c>
      <c r="G910" s="20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20">
        <f>축시작+INT((A911-1)/32)</f>
        <v/>
      </c>
      <c r="G911" s="20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20">
        <f>축시작+INT((A912-1)/32)</f>
        <v/>
      </c>
      <c r="G912" s="20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20">
        <f>축시작+INT((A913-1)/32)</f>
        <v/>
      </c>
      <c r="G913" s="20">
        <f>F913+H913</f>
        <v/>
      </c>
      <c r="H913" s="5" t="n">
        <v>4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20">
        <f>축시작+INT((A914-1)/32)</f>
        <v/>
      </c>
      <c r="G914" s="20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20">
        <f>축시작+INT((A915-1)/32)</f>
        <v/>
      </c>
      <c r="G915" s="20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20">
        <f>축시작+INT((A916-1)/32)</f>
        <v/>
      </c>
      <c r="G916" s="20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20">
        <f>축시작+INT((A917-1)/32)</f>
        <v/>
      </c>
      <c r="G917" s="20">
        <f>F917+H917</f>
        <v/>
      </c>
      <c r="H917" s="5" t="n">
        <v>8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20">
        <f>축시작+INT((A918-1)/32)</f>
        <v/>
      </c>
      <c r="G918" s="20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20">
        <f>축시작+INT((A919-1)/32)</f>
        <v/>
      </c>
      <c r="G919" s="20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20">
        <f>축시작+INT((A920-1)/32)</f>
        <v/>
      </c>
      <c r="G920" s="20">
        <f>F920+H920</f>
        <v/>
      </c>
      <c r="H920" s="5" t="n">
        <v>5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20">
        <f>축시작+INT((A921-1)/32)</f>
        <v/>
      </c>
      <c r="G921" s="20">
        <f>F921+H921</f>
        <v/>
      </c>
      <c r="H921" s="5" t="n">
        <v>4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20">
        <f>축시작+INT((A922-1)/32)</f>
        <v/>
      </c>
      <c r="G922" s="20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20">
        <f>축시작+INT((A923-1)/32)</f>
        <v/>
      </c>
      <c r="G923" s="20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20">
        <f>축시작+INT((A924-1)/32)</f>
        <v/>
      </c>
      <c r="G924" s="20">
        <f>F924+H924</f>
        <v/>
      </c>
      <c r="H924" s="5" t="n">
        <v>6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20">
        <f>축시작+INT((A925-1)/32)</f>
        <v/>
      </c>
      <c r="G925" s="20">
        <f>F925+H925</f>
        <v/>
      </c>
      <c r="H925" s="5" t="n">
        <v>6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20">
        <f>축시작+INT((A926-1)/32)</f>
        <v/>
      </c>
      <c r="G926" s="20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20">
        <f>축시작+INT((A927-1)/32)</f>
        <v/>
      </c>
      <c r="G927" s="20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20">
        <f>축시작+INT((A928-1)/32)</f>
        <v/>
      </c>
      <c r="G928" s="20">
        <f>F928+H928</f>
        <v/>
      </c>
      <c r="H928" s="5" t="n">
        <v>8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20">
        <f>축시작+INT((A929-1)/32)</f>
        <v/>
      </c>
      <c r="G929" s="20">
        <f>F929+H929</f>
        <v/>
      </c>
      <c r="H929" s="5" t="n">
        <v>7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20">
        <f>축시작+INT((A930-1)/32)</f>
        <v/>
      </c>
      <c r="G930" s="20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20">
        <f>축시작+INT((A931-1)/32)</f>
        <v/>
      </c>
      <c r="G931" s="20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20">
        <f>축시작+INT((A932-1)/32)</f>
        <v/>
      </c>
      <c r="G932" s="20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20">
        <f>축시작+INT((A933-1)/32)</f>
        <v/>
      </c>
      <c r="G933" s="20">
        <f>F933+H933</f>
        <v/>
      </c>
      <c r="H933" s="5" t="n">
        <v>9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20">
        <f>축시작+INT((A934-1)/32)</f>
        <v/>
      </c>
      <c r="G934" s="20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20">
        <f>축시작+INT((A935-1)/32)</f>
        <v/>
      </c>
      <c r="G935" s="20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20">
        <f>축시작+INT((A936-1)/32)</f>
        <v/>
      </c>
      <c r="G936" s="20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20">
        <f>축시작+INT((A937-1)/32)</f>
        <v/>
      </c>
      <c r="G937" s="20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20">
        <f>축시작+INT((A938-1)/32)</f>
        <v/>
      </c>
      <c r="G938" s="20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20">
        <f>축시작+INT((A939-1)/32)</f>
        <v/>
      </c>
      <c r="G939" s="20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20">
        <f>축시작+INT((A940-1)/32)</f>
        <v/>
      </c>
      <c r="G940" s="20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20">
        <f>축시작+INT((A941-1)/32)</f>
        <v/>
      </c>
      <c r="G941" s="20">
        <f>F941+H941</f>
        <v/>
      </c>
      <c r="H941" s="5" t="n">
        <v>6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20">
        <f>축시작+INT((A942-1)/32)</f>
        <v/>
      </c>
      <c r="G942" s="20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20">
        <f>축시작+INT((A943-1)/32)</f>
        <v/>
      </c>
      <c r="G943" s="20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20">
        <f>축시작+INT((A944-1)/32)</f>
        <v/>
      </c>
      <c r="G944" s="20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20">
        <f>축시작+INT((A945-1)/32)</f>
        <v/>
      </c>
      <c r="G945" s="20">
        <f>F945+H945</f>
        <v/>
      </c>
      <c r="H945" s="5" t="n">
        <v>6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20">
        <f>축시작+INT((A946-1)/32)</f>
        <v/>
      </c>
      <c r="G946" s="20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20">
        <f>축시작+INT((A947-1)/32)</f>
        <v/>
      </c>
      <c r="G947" s="20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20">
        <f>축시작+INT((A948-1)/32)</f>
        <v/>
      </c>
      <c r="G948" s="20">
        <f>F948+H948</f>
        <v/>
      </c>
      <c r="H948" s="5" t="n">
        <v>7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20">
        <f>축시작+INT((A949-1)/32)</f>
        <v/>
      </c>
      <c r="G949" s="20">
        <f>F949+H949</f>
        <v/>
      </c>
      <c r="H949" s="5" t="n">
        <v>8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20">
        <f>축시작+INT((A950-1)/32)</f>
        <v/>
      </c>
      <c r="G950" s="20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20">
        <f>축시작+INT((A951-1)/32)</f>
        <v/>
      </c>
      <c r="G951" s="20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20">
        <f>축시작+INT((A952-1)/32)</f>
        <v/>
      </c>
      <c r="G952" s="20">
        <f>F952+H952</f>
        <v/>
      </c>
      <c r="H952" s="5" t="n">
        <v>3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20">
        <f>축시작+INT((A953-1)/32)</f>
        <v/>
      </c>
      <c r="G953" s="20">
        <f>F953+H953</f>
        <v/>
      </c>
      <c r="H953" s="5" t="n">
        <v>6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20">
        <f>축시작+INT((A954-1)/32)</f>
        <v/>
      </c>
      <c r="G954" s="20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20">
        <f>축시작+INT((A955-1)/32)</f>
        <v/>
      </c>
      <c r="G955" s="20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20">
        <f>축시작+INT((A956-1)/32)</f>
        <v/>
      </c>
      <c r="G956" s="20">
        <f>F956+H956</f>
        <v/>
      </c>
      <c r="H956" s="5" t="n">
        <v>6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20">
        <f>축시작+INT((A957-1)/32)</f>
        <v/>
      </c>
      <c r="G957" s="20">
        <f>F957+H957</f>
        <v/>
      </c>
      <c r="H957" s="5" t="n">
        <v>6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20">
        <f>축시작+INT((A958-1)/32)</f>
        <v/>
      </c>
      <c r="G958" s="20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20">
        <f>축시작+INT((A959-1)/32)</f>
        <v/>
      </c>
      <c r="G959" s="20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20">
        <f>축시작+INT((A960-1)/32)</f>
        <v/>
      </c>
      <c r="G960" s="20">
        <f>F960+H960</f>
        <v/>
      </c>
      <c r="H960" s="5" t="n">
        <v>6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20">
        <f>축시작+INT((A961-1)/32)</f>
        <v/>
      </c>
      <c r="G961" s="20">
        <f>F961+H961</f>
        <v/>
      </c>
      <c r="H961" s="5" t="n">
        <v>7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20">
        <f>축시작+INT((A962-1)/32)</f>
        <v/>
      </c>
      <c r="G962" s="20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20">
        <f>축시작+INT((A963-1)/32)</f>
        <v/>
      </c>
      <c r="G963" s="20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20">
        <f>축시작+INT((A964-1)/32)</f>
        <v/>
      </c>
      <c r="G964" s="20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20">
        <f>축시작+INT((A965-1)/32)</f>
        <v/>
      </c>
      <c r="G965" s="20">
        <f>F965+H965</f>
        <v/>
      </c>
      <c r="H965" s="5" t="n">
        <v>7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20">
        <f>축시작+INT((A966-1)/32)</f>
        <v/>
      </c>
      <c r="G966" s="20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20">
        <f>축시작+INT((A967-1)/32)</f>
        <v/>
      </c>
      <c r="G967" s="20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20">
        <f>축시작+INT((A968-1)/32)</f>
        <v/>
      </c>
      <c r="G968" s="20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20">
        <f>축시작+INT((A969-1)/32)</f>
        <v/>
      </c>
      <c r="G969" s="20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20">
        <f>축시작+INT((A970-1)/32)</f>
        <v/>
      </c>
      <c r="G970" s="20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20">
        <f>축시작+INT((A971-1)/32)</f>
        <v/>
      </c>
      <c r="G971" s="20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20">
        <f>축시작+INT((A972-1)/32)</f>
        <v/>
      </c>
      <c r="G972" s="20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20">
        <f>축시작+INT((A973-1)/32)</f>
        <v/>
      </c>
      <c r="G973" s="20">
        <f>F973+H973</f>
        <v/>
      </c>
      <c r="H973" s="5" t="n">
        <v>4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20">
        <f>축시작+INT((A974-1)/32)</f>
        <v/>
      </c>
      <c r="G974" s="20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20">
        <f>축시작+INT((A975-1)/32)</f>
        <v/>
      </c>
      <c r="G975" s="20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20">
        <f>축시작+INT((A976-1)/32)</f>
        <v/>
      </c>
      <c r="G976" s="20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20">
        <f>축시작+INT((A977-1)/32)</f>
        <v/>
      </c>
      <c r="G977" s="20">
        <f>F977+H977</f>
        <v/>
      </c>
      <c r="H977" s="5" t="n">
        <v>4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20">
        <f>축시작+INT((A978-1)/32)</f>
        <v/>
      </c>
      <c r="G978" s="20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20">
        <f>축시작+INT((A979-1)/32)</f>
        <v/>
      </c>
      <c r="G979" s="20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20">
        <f>축시작+INT((A980-1)/32)</f>
        <v/>
      </c>
      <c r="G980" s="20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20">
        <f>축시작+INT((A981-1)/32)</f>
        <v/>
      </c>
      <c r="G981" s="20">
        <f>F981+H981</f>
        <v/>
      </c>
      <c r="H981" s="5" t="n">
        <v>8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20">
        <f>축시작+INT((A982-1)/32)</f>
        <v/>
      </c>
      <c r="G982" s="20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20">
        <f>축시작+INT((A983-1)/32)</f>
        <v/>
      </c>
      <c r="G983" s="20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20">
        <f>축시작+INT((A984-1)/32)</f>
        <v/>
      </c>
      <c r="G984" s="20">
        <f>F984+H984</f>
        <v/>
      </c>
      <c r="H984" s="5" t="n">
        <v>5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20">
        <f>축시작+INT((A985-1)/32)</f>
        <v/>
      </c>
      <c r="G985" s="20">
        <f>F985+H985</f>
        <v/>
      </c>
      <c r="H985" s="5" t="n">
        <v>4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20">
        <f>축시작+INT((A986-1)/32)</f>
        <v/>
      </c>
      <c r="G986" s="20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20">
        <f>축시작+INT((A987-1)/32)</f>
        <v/>
      </c>
      <c r="G987" s="20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20">
        <f>축시작+INT((A988-1)/32)</f>
        <v/>
      </c>
      <c r="G988" s="20">
        <f>F988+H988</f>
        <v/>
      </c>
      <c r="H988" s="5" t="n">
        <v>6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20">
        <f>축시작+INT((A989-1)/32)</f>
        <v/>
      </c>
      <c r="G989" s="20">
        <f>F989+H989</f>
        <v/>
      </c>
      <c r="H989" s="5" t="n">
        <v>6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20">
        <f>축시작+INT((A990-1)/32)</f>
        <v/>
      </c>
      <c r="G990" s="20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20">
        <f>축시작+INT((A991-1)/32)</f>
        <v/>
      </c>
      <c r="G991" s="20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20">
        <f>축시작+INT((A992-1)/32)</f>
        <v/>
      </c>
      <c r="G992" s="20">
        <f>F992+H992</f>
        <v/>
      </c>
      <c r="H992" s="5" t="n">
        <v>7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20">
        <f>축시작+INT((A993-1)/32)</f>
        <v/>
      </c>
      <c r="G993" s="20">
        <f>F993+H993</f>
        <v/>
      </c>
      <c r="H993" s="5" t="n">
        <v>7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20">
        <f>축시작+INT((A994-1)/32)</f>
        <v/>
      </c>
      <c r="G994" s="20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20">
        <f>축시작+INT((A995-1)/32)</f>
        <v/>
      </c>
      <c r="G995" s="20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20">
        <f>축시작+INT((A996-1)/32)</f>
        <v/>
      </c>
      <c r="G996" s="20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20">
        <f>축시작+INT((A997-1)/32)</f>
        <v/>
      </c>
      <c r="G997" s="20">
        <f>F997+H997</f>
        <v/>
      </c>
      <c r="H997" s="5" t="n">
        <v>8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20">
        <f>축시작+INT((A998-1)/32)</f>
        <v/>
      </c>
      <c r="G998" s="20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20">
        <f>축시작+INT((A999-1)/32)</f>
        <v/>
      </c>
      <c r="G999" s="20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20">
        <f>축시작+INT((A1000-1)/32)</f>
        <v/>
      </c>
      <c r="G1000" s="20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20">
        <f>축시작+INT((A1001-1)/32)</f>
        <v/>
      </c>
      <c r="G1001" s="20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20">
        <f>축시작+INT((A1002-1)/32)</f>
        <v/>
      </c>
      <c r="G1002" s="20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20">
        <f>축시작+INT((A1003-1)/32)</f>
        <v/>
      </c>
      <c r="G1003" s="20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20">
        <f>축시작+INT((A1004-1)/32)</f>
        <v/>
      </c>
      <c r="G1004" s="20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20">
        <f>축시작+INT((A1005-1)/32)</f>
        <v/>
      </c>
      <c r="G1005" s="20">
        <f>F1005+H1005</f>
        <v/>
      </c>
      <c r="H1005" s="5" t="n">
        <v>5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20">
        <f>축시작+INT((A1006-1)/32)</f>
        <v/>
      </c>
      <c r="G1006" s="20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20">
        <f>축시작+INT((A1007-1)/32)</f>
        <v/>
      </c>
      <c r="G1007" s="20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20">
        <f>축시작+INT((A1008-1)/32)</f>
        <v/>
      </c>
      <c r="G1008" s="20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20">
        <f>축시작+INT((A1009-1)/32)</f>
        <v/>
      </c>
      <c r="G1009" s="20">
        <f>F1009+H1009</f>
        <v/>
      </c>
      <c r="H1009" s="5" t="n">
        <v>5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20">
        <f>축시작+INT((A1010-1)/32)</f>
        <v/>
      </c>
      <c r="G1010" s="20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20">
        <f>축시작+INT((A1011-1)/32)</f>
        <v/>
      </c>
      <c r="G1011" s="20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20">
        <f>축시작+INT((A1012-1)/32)</f>
        <v/>
      </c>
      <c r="G1012" s="20">
        <f>F1012+H1012</f>
        <v/>
      </c>
      <c r="H1012" s="5" t="n">
        <v>6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20">
        <f>축시작+INT((A1013-1)/32)</f>
        <v/>
      </c>
      <c r="G1013" s="20">
        <f>F1013+H1013</f>
        <v/>
      </c>
      <c r="H1013" s="5" t="n">
        <v>8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20">
        <f>축시작+INT((A1014-1)/32)</f>
        <v/>
      </c>
      <c r="G1014" s="20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20">
        <f>축시작+INT((A1015-1)/32)</f>
        <v/>
      </c>
      <c r="G1015" s="20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20">
        <f>축시작+INT((A1016-1)/32)</f>
        <v/>
      </c>
      <c r="G1016" s="20">
        <f>F1016+H1016</f>
        <v/>
      </c>
      <c r="H1016" s="5" t="n">
        <v>3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20">
        <f>축시작+INT((A1017-1)/32)</f>
        <v/>
      </c>
      <c r="G1017" s="20">
        <f>F1017+H1017</f>
        <v/>
      </c>
      <c r="H1017" s="5" t="n">
        <v>5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20">
        <f>축시작+INT((A1018-1)/32)</f>
        <v/>
      </c>
      <c r="G1018" s="20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20">
        <f>축시작+INT((A1019-1)/32)</f>
        <v/>
      </c>
      <c r="G1019" s="20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20">
        <f>축시작+INT((A1020-1)/32)</f>
        <v/>
      </c>
      <c r="G1020" s="20">
        <f>F1020+H1020</f>
        <v/>
      </c>
      <c r="H1020" s="5" t="n">
        <v>6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20">
        <f>축시작+INT((A1021-1)/32)</f>
        <v/>
      </c>
      <c r="G1021" s="20">
        <f>F1021+H1021</f>
        <v/>
      </c>
      <c r="H1021" s="5" t="n">
        <v>6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20">
        <f>축시작+INT((A1022-1)/32)</f>
        <v/>
      </c>
      <c r="G1022" s="20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20">
        <f>축시작+INT((A1023-1)/32)</f>
        <v/>
      </c>
      <c r="G1023" s="20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20">
        <f>축시작+INT((A1024-1)/32)</f>
        <v/>
      </c>
      <c r="G1024" s="20">
        <f>F1024+H1024</f>
        <v/>
      </c>
      <c r="H1024" s="5" t="n">
        <v>7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20">
        <f>축시작+INT((A1025-1)/32)</f>
        <v/>
      </c>
      <c r="G1025" s="20">
        <f>F1025+H1025</f>
        <v/>
      </c>
      <c r="H1025" s="5" t="n">
        <v>7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20">
        <f>축시작+INT((A1026-1)/32)</f>
        <v/>
      </c>
      <c r="G1026" s="20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20">
        <f>축시작+INT((A1027-1)/32)</f>
        <v/>
      </c>
      <c r="G1027" s="20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20">
        <f>축시작+INT((A1028-1)/32)</f>
        <v/>
      </c>
      <c r="G1028" s="20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20">
        <f>축시작+INT((A1029-1)/32)</f>
        <v/>
      </c>
      <c r="G1029" s="20">
        <f>F1029+H1029</f>
        <v/>
      </c>
      <c r="H1029" s="5" t="n">
        <v>11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20">
        <f>축시작+INT((A1030-1)/32)</f>
        <v/>
      </c>
      <c r="G1030" s="20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20">
        <f>축시작+INT((A1031-1)/32)</f>
        <v/>
      </c>
      <c r="G1031" s="20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20">
        <f>축시작+INT((A1032-1)/32)</f>
        <v/>
      </c>
      <c r="G1032" s="20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20">
        <f>축시작+INT((A1033-1)/32)</f>
        <v/>
      </c>
      <c r="G1033" s="20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20">
        <f>축시작+INT((A1034-1)/32)</f>
        <v/>
      </c>
      <c r="G1034" s="20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20">
        <f>축시작+INT((A1035-1)/32)</f>
        <v/>
      </c>
      <c r="G1035" s="20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20">
        <f>축시작+INT((A1036-1)/32)</f>
        <v/>
      </c>
      <c r="G1036" s="20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20">
        <f>축시작+INT((A1037-1)/32)</f>
        <v/>
      </c>
      <c r="G1037" s="20">
        <f>F1037+H1037</f>
        <v/>
      </c>
      <c r="H1037" s="5" t="n">
        <v>5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20">
        <f>축시작+INT((A1038-1)/32)</f>
        <v/>
      </c>
      <c r="G1038" s="20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20">
        <f>축시작+INT((A1039-1)/32)</f>
        <v/>
      </c>
      <c r="G1039" s="20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20">
        <f>축시작+INT((A1040-1)/32)</f>
        <v/>
      </c>
      <c r="G1040" s="20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20">
        <f>축시작+INT((A1041-1)/32)</f>
        <v/>
      </c>
      <c r="G1041" s="20">
        <f>F1041+H1041</f>
        <v/>
      </c>
      <c r="H1041" s="5" t="n">
        <v>5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20">
        <f>축시작+INT((A1042-1)/32)</f>
        <v/>
      </c>
      <c r="G1042" s="20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20">
        <f>축시작+INT((A1043-1)/32)</f>
        <v/>
      </c>
      <c r="G1043" s="20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20">
        <f>축시작+INT((A1044-1)/32)</f>
        <v/>
      </c>
      <c r="G1044" s="20">
        <f>F1044+H1044</f>
        <v/>
      </c>
      <c r="H1044" s="5" t="n">
        <v>6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20">
        <f>축시작+INT((A1045-1)/32)</f>
        <v/>
      </c>
      <c r="G1045" s="20">
        <f>F1045+H1045</f>
        <v/>
      </c>
      <c r="H1045" s="5" t="n">
        <v>9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20">
        <f>축시작+INT((A1046-1)/32)</f>
        <v/>
      </c>
      <c r="G1046" s="20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20">
        <f>축시작+INT((A1047-1)/32)</f>
        <v/>
      </c>
      <c r="G1047" s="20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20">
        <f>축시작+INT((A1048-1)/32)</f>
        <v/>
      </c>
      <c r="G1048" s="20">
        <f>F1048+H1048</f>
        <v/>
      </c>
      <c r="H1048" s="5" t="n">
        <v>4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20">
        <f>축시작+INT((A1049-1)/32)</f>
        <v/>
      </c>
      <c r="G1049" s="20">
        <f>F1049+H1049</f>
        <v/>
      </c>
      <c r="H1049" s="5" t="n">
        <v>5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20">
        <f>축시작+INT((A1050-1)/32)</f>
        <v/>
      </c>
      <c r="G1050" s="20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20">
        <f>축시작+INT((A1051-1)/32)</f>
        <v/>
      </c>
      <c r="G1051" s="20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20">
        <f>축시작+INT((A1052-1)/32)</f>
        <v/>
      </c>
      <c r="G1052" s="20">
        <f>F1052+H1052</f>
        <v/>
      </c>
      <c r="H1052" s="5" t="n">
        <v>6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20">
        <f>축시작+INT((A1053-1)/32)</f>
        <v/>
      </c>
      <c r="G1053" s="20">
        <f>F1053+H1053</f>
        <v/>
      </c>
      <c r="H1053" s="5" t="n">
        <v>6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20">
        <f>축시작+INT((A1054-1)/32)</f>
        <v/>
      </c>
      <c r="G1054" s="20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20">
        <f>축시작+INT((A1055-1)/32)</f>
        <v/>
      </c>
      <c r="G1055" s="20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20">
        <f>축시작+INT((A1056-1)/32)</f>
        <v/>
      </c>
      <c r="G1056" s="20">
        <f>F1056+H1056</f>
        <v/>
      </c>
      <c r="H1056" s="5" t="n">
        <v>7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20">
        <f>축시작+INT((A1057-1)/32)</f>
        <v/>
      </c>
      <c r="G1057" s="20">
        <f>F1057+H1057</f>
        <v/>
      </c>
      <c r="H1057" s="5" t="n">
        <v>7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20">
        <f>축시작+INT((A1058-1)/32)</f>
        <v/>
      </c>
      <c r="G1058" s="20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20">
        <f>축시작+INT((A1059-1)/32)</f>
        <v/>
      </c>
      <c r="G1059" s="20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20">
        <f>축시작+INT((A1060-1)/32)</f>
        <v/>
      </c>
      <c r="G1060" s="20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20">
        <f>축시작+INT((A1061-1)/32)</f>
        <v/>
      </c>
      <c r="G1061" s="20">
        <f>F1061+H1061</f>
        <v/>
      </c>
      <c r="H1061" s="5" t="n">
        <v>10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20">
        <f>축시작+INT((A1062-1)/32)</f>
        <v/>
      </c>
      <c r="G1062" s="20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20">
        <f>축시작+INT((A1063-1)/32)</f>
        <v/>
      </c>
      <c r="G1063" s="20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20">
        <f>축시작+INT((A1064-1)/32)</f>
        <v/>
      </c>
      <c r="G1064" s="20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20">
        <f>축시작+INT((A1065-1)/32)</f>
        <v/>
      </c>
      <c r="G1065" s="20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20">
        <f>축시작+INT((A1066-1)/32)</f>
        <v/>
      </c>
      <c r="G1066" s="20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20">
        <f>축시작+INT((A1067-1)/32)</f>
        <v/>
      </c>
      <c r="G1067" s="20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20">
        <f>축시작+INT((A1068-1)/32)</f>
        <v/>
      </c>
      <c r="G1068" s="20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20">
        <f>축시작+INT((A1069-1)/32)</f>
        <v/>
      </c>
      <c r="G1069" s="20">
        <f>F1069+H1069</f>
        <v/>
      </c>
      <c r="H1069" s="5" t="n">
        <v>5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20">
        <f>축시작+INT((A1070-1)/32)</f>
        <v/>
      </c>
      <c r="G1070" s="20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20">
        <f>축시작+INT((A1071-1)/32)</f>
        <v/>
      </c>
      <c r="G1071" s="20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20">
        <f>축시작+INT((A1072-1)/32)</f>
        <v/>
      </c>
      <c r="G1072" s="20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20">
        <f>축시작+INT((A1073-1)/32)</f>
        <v/>
      </c>
      <c r="G1073" s="20">
        <f>F1073+H1073</f>
        <v/>
      </c>
      <c r="H1073" s="5" t="n">
        <v>5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20">
        <f>축시작+INT((A1074-1)/32)</f>
        <v/>
      </c>
      <c r="G1074" s="20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20">
        <f>축시작+INT((A1075-1)/32)</f>
        <v/>
      </c>
      <c r="G1075" s="20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20">
        <f>축시작+INT((A1076-1)/32)</f>
        <v/>
      </c>
      <c r="G1076" s="20">
        <f>F1076+H1076</f>
        <v/>
      </c>
      <c r="H1076" s="5" t="n">
        <v>6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20">
        <f>축시작+INT((A1077-1)/32)</f>
        <v/>
      </c>
      <c r="G1077" s="20">
        <f>F1077+H1077</f>
        <v/>
      </c>
      <c r="H1077" s="5" t="n">
        <v>7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20">
        <f>축시작+INT((A1078-1)/32)</f>
        <v/>
      </c>
      <c r="G1078" s="20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20">
        <f>축시작+INT((A1079-1)/32)</f>
        <v/>
      </c>
      <c r="G1079" s="20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20">
        <f>축시작+INT((A1080-1)/32)</f>
        <v/>
      </c>
      <c r="G1080" s="20">
        <f>F1080+H1080</f>
        <v/>
      </c>
      <c r="H1080" s="5" t="n">
        <v>4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20">
        <f>축시작+INT((A1081-1)/32)</f>
        <v/>
      </c>
      <c r="G1081" s="20">
        <f>F1081+H1081</f>
        <v/>
      </c>
      <c r="H1081" s="5" t="n">
        <v>5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20">
        <f>축시작+INT((A1082-1)/32)</f>
        <v/>
      </c>
      <c r="G1082" s="20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20">
        <f>축시작+INT((A1083-1)/32)</f>
        <v/>
      </c>
      <c r="G1083" s="20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20">
        <f>축시작+INT((A1084-1)/32)</f>
        <v/>
      </c>
      <c r="G1084" s="20">
        <f>F1084+H1084</f>
        <v/>
      </c>
      <c r="H1084" s="5" t="n">
        <v>6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20">
        <f>축시작+INT((A1085-1)/32)</f>
        <v/>
      </c>
      <c r="G1085" s="20">
        <f>F1085+H1085</f>
        <v/>
      </c>
      <c r="H1085" s="5" t="n">
        <v>6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20">
        <f>축시작+INT((A1086-1)/32)</f>
        <v/>
      </c>
      <c r="G1086" s="20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20">
        <f>축시작+INT((A1087-1)/32)</f>
        <v/>
      </c>
      <c r="G1087" s="20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20">
        <f>축시작+INT((A1088-1)/32)</f>
        <v/>
      </c>
      <c r="G1088" s="20">
        <f>F1088+H1088</f>
        <v/>
      </c>
      <c r="H1088" s="5" t="n">
        <v>9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20">
        <f>축시작+INT((A1089-1)/32)</f>
        <v/>
      </c>
      <c r="G1089" s="20">
        <f>F1089+H1089</f>
        <v/>
      </c>
      <c r="H1089" s="5" t="n">
        <v>9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20">
        <f>축시작+INT((A1090-1)/32)</f>
        <v/>
      </c>
      <c r="G1090" s="20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20">
        <f>축시작+INT((A1091-1)/32)</f>
        <v/>
      </c>
      <c r="G1091" s="20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20">
        <f>축시작+INT((A1092-1)/32)</f>
        <v/>
      </c>
      <c r="G1092" s="20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20">
        <f>축시작+INT((A1093-1)/32)</f>
        <v/>
      </c>
      <c r="G1093" s="20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20">
        <f>축시작+INT((A1094-1)/32)</f>
        <v/>
      </c>
      <c r="G1094" s="20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20">
        <f>축시작+INT((A1095-1)/32)</f>
        <v/>
      </c>
      <c r="G1095" s="20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20">
        <f>축시작+INT((A1096-1)/32)</f>
        <v/>
      </c>
      <c r="G1096" s="20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20">
        <f>축시작+INT((A1097-1)/32)</f>
        <v/>
      </c>
      <c r="G1097" s="20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20">
        <f>축시작+INT((A1098-1)/32)</f>
        <v/>
      </c>
      <c r="G1098" s="20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20">
        <f>축시작+INT((A1099-1)/32)</f>
        <v/>
      </c>
      <c r="G1099" s="20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20">
        <f>축시작+INT((A1100-1)/32)</f>
        <v/>
      </c>
      <c r="G1100" s="20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20">
        <f>축시작+INT((A1101-1)/32)</f>
        <v/>
      </c>
      <c r="G1101" s="20">
        <f>F1101+H1101</f>
        <v/>
      </c>
      <c r="H1101" s="5" t="n">
        <v>5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20">
        <f>축시작+INT((A1102-1)/32)</f>
        <v/>
      </c>
      <c r="G1102" s="20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20">
        <f>축시작+INT((A1103-1)/32)</f>
        <v/>
      </c>
      <c r="G1103" s="20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20">
        <f>축시작+INT((A1104-1)/32)</f>
        <v/>
      </c>
      <c r="G1104" s="20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20">
        <f>축시작+INT((A1105-1)/32)</f>
        <v/>
      </c>
      <c r="G1105" s="20">
        <f>F1105+H1105</f>
        <v/>
      </c>
      <c r="H1105" s="5" t="n">
        <v>5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20">
        <f>축시작+INT((A1106-1)/32)</f>
        <v/>
      </c>
      <c r="G1106" s="20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20">
        <f>축시작+INT((A1107-1)/32)</f>
        <v/>
      </c>
      <c r="G1107" s="20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20">
        <f>축시작+INT((A1108-1)/32)</f>
        <v/>
      </c>
      <c r="G1108" s="20">
        <f>F1108+H1108</f>
        <v/>
      </c>
      <c r="H1108" s="5" t="n">
        <v>7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20">
        <f>축시작+INT((A1109-1)/32)</f>
        <v/>
      </c>
      <c r="G1109" s="20">
        <f>F1109+H1109</f>
        <v/>
      </c>
      <c r="H1109" s="5" t="n">
        <v>6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20">
        <f>축시작+INT((A1110-1)/32)</f>
        <v/>
      </c>
      <c r="G1110" s="20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20">
        <f>축시작+INT((A1111-1)/32)</f>
        <v/>
      </c>
      <c r="G1111" s="20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20">
        <f>축시작+INT((A1112-1)/32)</f>
        <v/>
      </c>
      <c r="G1112" s="20">
        <f>F1112+H1112</f>
        <v/>
      </c>
      <c r="H1112" s="5" t="n">
        <v>4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20">
        <f>축시작+INT((A1113-1)/32)</f>
        <v/>
      </c>
      <c r="G1113" s="20">
        <f>F1113+H1113</f>
        <v/>
      </c>
      <c r="H1113" s="5" t="n">
        <v>5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20">
        <f>축시작+INT((A1114-1)/32)</f>
        <v/>
      </c>
      <c r="G1114" s="20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20">
        <f>축시작+INT((A1115-1)/32)</f>
        <v/>
      </c>
      <c r="G1115" s="20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20">
        <f>축시작+INT((A1116-1)/32)</f>
        <v/>
      </c>
      <c r="G1116" s="20">
        <f>F1116+H1116</f>
        <v/>
      </c>
      <c r="H1116" s="5" t="n">
        <v>8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20">
        <f>축시작+INT((A1117-1)/32)</f>
        <v/>
      </c>
      <c r="G1117" s="20">
        <f>F1117+H1117</f>
        <v/>
      </c>
      <c r="H1117" s="5" t="n">
        <v>9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20">
        <f>축시작+INT((A1118-1)/32)</f>
        <v/>
      </c>
      <c r="G1118" s="20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20">
        <f>축시작+INT((A1119-1)/32)</f>
        <v/>
      </c>
      <c r="G1119" s="20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20">
        <f>축시작+INT((A1120-1)/32)</f>
        <v/>
      </c>
      <c r="G1120" s="20">
        <f>F1120+H1120</f>
        <v/>
      </c>
      <c r="H1120" s="5" t="n">
        <v>6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20">
        <f>축시작+INT((A1121-1)/32)</f>
        <v/>
      </c>
      <c r="G1121" s="20">
        <f>F1121+H1121</f>
        <v/>
      </c>
      <c r="H1121" s="5" t="n">
        <v>8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20">
        <f>축시작+INT((A1122-1)/32)</f>
        <v/>
      </c>
      <c r="G1122" s="20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20">
        <f>축시작+INT((A1123-1)/32)</f>
        <v/>
      </c>
      <c r="G1123" s="20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20">
        <f>축시작+INT((A1124-1)/32)</f>
        <v/>
      </c>
      <c r="G1124" s="20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20">
        <f>축시작+INT((A1125-1)/32)</f>
        <v/>
      </c>
      <c r="G1125" s="20">
        <f>F1125+H1125</f>
        <v/>
      </c>
      <c r="H1125" s="5" t="n">
        <v>5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20">
        <f>축시작+INT((A1126-1)/32)</f>
        <v/>
      </c>
      <c r="G1126" s="20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20">
        <f>축시작+INT((A1127-1)/32)</f>
        <v/>
      </c>
      <c r="G1127" s="20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20">
        <f>축시작+INT((A1128-1)/32)</f>
        <v/>
      </c>
      <c r="G1128" s="20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20">
        <f>축시작+INT((A1129-1)/32)</f>
        <v/>
      </c>
      <c r="G1129" s="20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20">
        <f>축시작+INT((A1130-1)/32)</f>
        <v/>
      </c>
      <c r="G1130" s="20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20">
        <f>축시작+INT((A1131-1)/32)</f>
        <v/>
      </c>
      <c r="G1131" s="20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20">
        <f>축시작+INT((A1132-1)/32)</f>
        <v/>
      </c>
      <c r="G1132" s="20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20">
        <f>축시작+INT((A1133-1)/32)</f>
        <v/>
      </c>
      <c r="G1133" s="20">
        <f>F1133+H1133</f>
        <v/>
      </c>
      <c r="H1133" s="5" t="n">
        <v>7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20">
        <f>축시작+INT((A1134-1)/32)</f>
        <v/>
      </c>
      <c r="G1134" s="20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20">
        <f>축시작+INT((A1135-1)/32)</f>
        <v/>
      </c>
      <c r="G1135" s="20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20">
        <f>축시작+INT((A1136-1)/32)</f>
        <v/>
      </c>
      <c r="G1136" s="20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20">
        <f>축시작+INT((A1137-1)/32)</f>
        <v/>
      </c>
      <c r="G1137" s="20">
        <f>F1137+H1137</f>
        <v/>
      </c>
      <c r="H1137" s="5" t="n">
        <v>7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20">
        <f>축시작+INT((A1138-1)/32)</f>
        <v/>
      </c>
      <c r="G1138" s="20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20">
        <f>축시작+INT((A1139-1)/32)</f>
        <v/>
      </c>
      <c r="G1139" s="20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20">
        <f>축시작+INT((A1140-1)/32)</f>
        <v/>
      </c>
      <c r="G1140" s="20">
        <f>F1140+H1140</f>
        <v/>
      </c>
      <c r="H1140" s="5" t="n">
        <v>5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20">
        <f>축시작+INT((A1141-1)/32)</f>
        <v/>
      </c>
      <c r="G1141" s="20">
        <f>F1141+H1141</f>
        <v/>
      </c>
      <c r="H1141" s="5" t="n">
        <v>6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20">
        <f>축시작+INT((A1142-1)/32)</f>
        <v/>
      </c>
      <c r="G1142" s="20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20">
        <f>축시작+INT((A1143-1)/32)</f>
        <v/>
      </c>
      <c r="G1143" s="20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20">
        <f>축시작+INT((A1144-1)/32)</f>
        <v/>
      </c>
      <c r="G1144" s="20">
        <f>F1144+H1144</f>
        <v/>
      </c>
      <c r="H1144" s="5" t="n">
        <v>4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20">
        <f>축시작+INT((A1145-1)/32)</f>
        <v/>
      </c>
      <c r="G1145" s="20">
        <f>F1145+H1145</f>
        <v/>
      </c>
      <c r="H1145" s="5" t="n">
        <v>7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20">
        <f>축시작+INT((A1146-1)/32)</f>
        <v/>
      </c>
      <c r="G1146" s="20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20">
        <f>축시작+INT((A1147-1)/32)</f>
        <v/>
      </c>
      <c r="G1147" s="20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20">
        <f>축시작+INT((A1148-1)/32)</f>
        <v/>
      </c>
      <c r="G1148" s="20">
        <f>F1148+H1148</f>
        <v/>
      </c>
      <c r="H1148" s="5" t="n">
        <v>5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20">
        <f>축시작+INT((A1149-1)/32)</f>
        <v/>
      </c>
      <c r="G1149" s="20">
        <f>F1149+H1149</f>
        <v/>
      </c>
      <c r="H1149" s="5" t="n">
        <v>8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20">
        <f>축시작+INT((A1150-1)/32)</f>
        <v/>
      </c>
      <c r="G1150" s="20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20">
        <f>축시작+INT((A1151-1)/32)</f>
        <v/>
      </c>
      <c r="G1151" s="20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20">
        <f>축시작+INT((A1152-1)/32)</f>
        <v/>
      </c>
      <c r="G1152" s="20">
        <f>F1152+H1152</f>
        <v/>
      </c>
      <c r="H1152" s="5" t="n">
        <v>5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20">
        <f>축시작+INT((A1153-1)/32)</f>
        <v/>
      </c>
      <c r="G1153" s="20">
        <f>F1153+H1153</f>
        <v/>
      </c>
      <c r="H1153" s="5" t="n">
        <v>8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20">
        <f>축시작+INT((A1154-1)/32)</f>
        <v/>
      </c>
      <c r="G1154" s="20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20">
        <f>축시작+INT((A1155-1)/32)</f>
        <v/>
      </c>
      <c r="G1155" s="20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20">
        <f>축시작+INT((A1156-1)/32)</f>
        <v/>
      </c>
      <c r="G1156" s="20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20">
        <f>축시작+INT((A1157-1)/32)</f>
        <v/>
      </c>
      <c r="G1157" s="20">
        <f>F1157+H1157</f>
        <v/>
      </c>
      <c r="H1157" s="5" t="n">
        <v>5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20">
        <f>축시작+INT((A1158-1)/32)</f>
        <v/>
      </c>
      <c r="G1158" s="20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20">
        <f>축시작+INT((A1159-1)/32)</f>
        <v/>
      </c>
      <c r="G1159" s="20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20">
        <f>축시작+INT((A1160-1)/32)</f>
        <v/>
      </c>
      <c r="G1160" s="20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20">
        <f>축시작+INT((A1161-1)/32)</f>
        <v/>
      </c>
      <c r="G1161" s="20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20">
        <f>축시작+INT((A1162-1)/32)</f>
        <v/>
      </c>
      <c r="G1162" s="20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20">
        <f>축시작+INT((A1163-1)/32)</f>
        <v/>
      </c>
      <c r="G1163" s="20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20">
        <f>축시작+INT((A1164-1)/32)</f>
        <v/>
      </c>
      <c r="G1164" s="20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20">
        <f>축시작+INT((A1165-1)/32)</f>
        <v/>
      </c>
      <c r="G1165" s="20">
        <f>F1165+H1165</f>
        <v/>
      </c>
      <c r="H1165" s="5" t="n">
        <v>7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20">
        <f>축시작+INT((A1166-1)/32)</f>
        <v/>
      </c>
      <c r="G1166" s="20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20">
        <f>축시작+INT((A1167-1)/32)</f>
        <v/>
      </c>
      <c r="G1167" s="20">
        <f>F1167+H1167</f>
        <v/>
      </c>
      <c r="H1167" s="5" t="n">
        <v>4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20">
        <f>축시작+INT((A1168-1)/32)</f>
        <v/>
      </c>
      <c r="G1168" s="20">
        <f>F1168+H1168</f>
        <v/>
      </c>
      <c r="H1168" s="5" t="n">
        <v>6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20">
        <f>축시작+INT((A1169-1)/32)</f>
        <v/>
      </c>
      <c r="G1169" s="20">
        <f>F1169+H1169</f>
        <v/>
      </c>
      <c r="H1169" s="5" t="n">
        <v>7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20">
        <f>축시작+INT((A1170-1)/32)</f>
        <v/>
      </c>
      <c r="G1170" s="20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20">
        <f>축시작+INT((A1171-1)/32)</f>
        <v/>
      </c>
      <c r="G1171" s="20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20">
        <f>축시작+INT((A1172-1)/32)</f>
        <v/>
      </c>
      <c r="G1172" s="20">
        <f>F1172+H1172</f>
        <v/>
      </c>
      <c r="H1172" s="5" t="n">
        <v>5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20">
        <f>축시작+INT((A1173-1)/32)</f>
        <v/>
      </c>
      <c r="G1173" s="20">
        <f>F1173+H1173</f>
        <v/>
      </c>
      <c r="H1173" s="5" t="n">
        <v>6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20">
        <f>축시작+INT((A1174-1)/32)</f>
        <v/>
      </c>
      <c r="G1174" s="20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20">
        <f>축시작+INT((A1175-1)/32)</f>
        <v/>
      </c>
      <c r="G1175" s="20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20">
        <f>축시작+INT((A1176-1)/32)</f>
        <v/>
      </c>
      <c r="G1176" s="20">
        <f>F1176+H1176</f>
        <v/>
      </c>
      <c r="H1176" s="5" t="n">
        <v>7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20">
        <f>축시작+INT((A1177-1)/32)</f>
        <v/>
      </c>
      <c r="G1177" s="20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20">
        <f>축시작+INT((A1178-1)/32)</f>
        <v/>
      </c>
      <c r="G1178" s="20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20">
        <f>축시작+INT((A1179-1)/32)</f>
        <v/>
      </c>
      <c r="G1179" s="20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20">
        <f>축시작+INT((A1180-1)/32)</f>
        <v/>
      </c>
      <c r="G1180" s="20">
        <f>F1180+H1180</f>
        <v/>
      </c>
      <c r="H1180" s="5" t="n">
        <v>5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20">
        <f>축시작+INT((A1181-1)/32)</f>
        <v/>
      </c>
      <c r="G1181" s="20">
        <f>F1181+H1181</f>
        <v/>
      </c>
      <c r="H1181" s="5" t="n">
        <v>6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20">
        <f>축시작+INT((A1182-1)/32)</f>
        <v/>
      </c>
      <c r="G1182" s="20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20">
        <f>축시작+INT((A1183-1)/32)</f>
        <v/>
      </c>
      <c r="G1183" s="20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20">
        <f>축시작+INT((A1184-1)/32)</f>
        <v/>
      </c>
      <c r="G1184" s="20">
        <f>F1184+H1184</f>
        <v/>
      </c>
      <c r="H1184" s="5" t="n">
        <v>4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20">
        <f>축시작+INT((A1185-1)/32)</f>
        <v/>
      </c>
      <c r="G1185" s="20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20">
        <f>축시작+INT((A1186-1)/32)</f>
        <v/>
      </c>
      <c r="G1186" s="20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20">
        <f>축시작+INT((A1187-1)/32)</f>
        <v/>
      </c>
      <c r="G1187" s="20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20">
        <f>축시작+INT((A1188-1)/32)</f>
        <v/>
      </c>
      <c r="G1188" s="20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20">
        <f>축시작+INT((A1189-1)/32)</f>
        <v/>
      </c>
      <c r="G1189" s="20">
        <f>F1189+H1189</f>
        <v/>
      </c>
      <c r="H1189" s="5" t="n">
        <v>5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20">
        <f>축시작+INT((A1190-1)/32)</f>
        <v/>
      </c>
      <c r="G1190" s="20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20">
        <f>축시작+INT((A1191-1)/32)</f>
        <v/>
      </c>
      <c r="G1191" s="20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20">
        <f>축시작+INT((A1192-1)/32)</f>
        <v/>
      </c>
      <c r="G1192" s="20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20">
        <f>축시작+INT((A1193-1)/32)</f>
        <v/>
      </c>
      <c r="G1193" s="20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20">
        <f>축시작+INT((A1194-1)/32)</f>
        <v/>
      </c>
      <c r="G1194" s="20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20">
        <f>축시작+INT((A1195-1)/32)</f>
        <v/>
      </c>
      <c r="G1195" s="20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20">
        <f>축시작+INT((A1196-1)/32)</f>
        <v/>
      </c>
      <c r="G1196" s="20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20">
        <f>축시작+INT((A1197-1)/32)</f>
        <v/>
      </c>
      <c r="G1197" s="20">
        <f>F1197+H1197</f>
        <v/>
      </c>
      <c r="H1197" s="5" t="n">
        <v>7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20">
        <f>축시작+INT((A1198-1)/32)</f>
        <v/>
      </c>
      <c r="G1198" s="20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20">
        <f>축시작+INT((A1199-1)/32)</f>
        <v/>
      </c>
      <c r="G1199" s="20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20">
        <f>축시작+INT((A1200-1)/32)</f>
        <v/>
      </c>
      <c r="G1200" s="20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20">
        <f>축시작+INT((A1201-1)/32)</f>
        <v/>
      </c>
      <c r="G1201" s="20">
        <f>F1201+H1201</f>
        <v/>
      </c>
      <c r="H1201" s="5" t="n">
        <v>7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20">
        <f>축시작+INT((A1202-1)/32)</f>
        <v/>
      </c>
      <c r="G1202" s="20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20">
        <f>축시작+INT((A1203-1)/32)</f>
        <v/>
      </c>
      <c r="G1203" s="20">
        <f>F1203+H1203</f>
        <v/>
      </c>
      <c r="H1203" s="5" t="n">
        <v>5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20">
        <f>축시작+INT((A1204-1)/32)</f>
        <v/>
      </c>
      <c r="G1204" s="20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20">
        <f>축시작+INT((A1205-1)/32)</f>
        <v/>
      </c>
      <c r="G1205" s="20">
        <f>F1205+H1205</f>
        <v/>
      </c>
      <c r="H1205" s="5" t="n">
        <v>6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20">
        <f>축시작+INT((A1206-1)/32)</f>
        <v/>
      </c>
      <c r="G1206" s="20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20">
        <f>축시작+INT((A1207-1)/32)</f>
        <v/>
      </c>
      <c r="G1207" s="20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20">
        <f>축시작+INT((A1208-1)/32)</f>
        <v/>
      </c>
      <c r="G1208" s="20">
        <f>F1208+H1208</f>
        <v/>
      </c>
      <c r="H1208" s="5" t="n">
        <v>6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20">
        <f>축시작+INT((A1209-1)/32)</f>
        <v/>
      </c>
      <c r="G1209" s="20">
        <f>F1209+H1209</f>
        <v/>
      </c>
      <c r="H1209" s="5" t="n">
        <v>6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20">
        <f>축시작+INT((A1210-1)/32)</f>
        <v/>
      </c>
      <c r="G1210" s="20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20">
        <f>축시작+INT((A1211-1)/32)</f>
        <v/>
      </c>
      <c r="G1211" s="20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20">
        <f>축시작+INT((A1212-1)/32)</f>
        <v/>
      </c>
      <c r="G1212" s="20">
        <f>F1212+H1212</f>
        <v/>
      </c>
      <c r="H1212" s="5" t="n">
        <v>5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20">
        <f>축시작+INT((A1213-1)/32)</f>
        <v/>
      </c>
      <c r="G1213" s="20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20">
        <f>축시작+INT((A1214-1)/32)</f>
        <v/>
      </c>
      <c r="G1214" s="20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20">
        <f>축시작+INT((A1215-1)/32)</f>
        <v/>
      </c>
      <c r="G1215" s="20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20">
        <f>축시작+INT((A1216-1)/32)</f>
        <v/>
      </c>
      <c r="G1216" s="20">
        <f>F1216+H1216</f>
        <v/>
      </c>
      <c r="H1216" s="5" t="n">
        <v>4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20">
        <f>축시작+INT((A1217-1)/32)</f>
        <v/>
      </c>
      <c r="G1217" s="20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20">
        <f>축시작+INT((A1218-1)/32)</f>
        <v/>
      </c>
      <c r="G1218" s="20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20">
        <f>축시작+INT((A1219-1)/32)</f>
        <v/>
      </c>
      <c r="G1219" s="20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20">
        <f>축시작+INT((A1220-1)/32)</f>
        <v/>
      </c>
      <c r="G1220" s="20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20">
        <f>축시작+INT((A1221-1)/32)</f>
        <v/>
      </c>
      <c r="G1221" s="20">
        <f>F1221+H1221</f>
        <v/>
      </c>
      <c r="H1221" s="5" t="n">
        <v>5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20">
        <f>축시작+INT((A1222-1)/32)</f>
        <v/>
      </c>
      <c r="G1222" s="20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20">
        <f>축시작+INT((A1223-1)/32)</f>
        <v/>
      </c>
      <c r="G1223" s="20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20">
        <f>축시작+INT((A1224-1)/32)</f>
        <v/>
      </c>
      <c r="G1224" s="20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20">
        <f>축시작+INT((A1225-1)/32)</f>
        <v/>
      </c>
      <c r="G1225" s="20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20">
        <f>축시작+INT((A1226-1)/32)</f>
        <v/>
      </c>
      <c r="G1226" s="20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20">
        <f>축시작+INT((A1227-1)/32)</f>
        <v/>
      </c>
      <c r="G1227" s="20">
        <f>F1227+H1227</f>
        <v/>
      </c>
      <c r="H1227" s="5" t="n">
        <v>4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20">
        <f>축시작+INT((A1228-1)/32)</f>
        <v/>
      </c>
      <c r="G1228" s="20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20">
        <f>축시작+INT((A1229-1)/32)</f>
        <v/>
      </c>
      <c r="G1229" s="20">
        <f>F1229+H1229</f>
        <v/>
      </c>
      <c r="H1229" s="5" t="n">
        <v>7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20">
        <f>축시작+INT((A1230-1)/32)</f>
        <v/>
      </c>
      <c r="G1230" s="20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20">
        <f>축시작+INT((A1231-1)/32)</f>
        <v/>
      </c>
      <c r="G1231" s="20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20">
        <f>축시작+INT((A1232-1)/32)</f>
        <v/>
      </c>
      <c r="G1232" s="20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20">
        <f>축시작+INT((A1233-1)/32)</f>
        <v/>
      </c>
      <c r="G1233" s="20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20">
        <f>축시작+INT((A1234-1)/32)</f>
        <v/>
      </c>
      <c r="G1234" s="20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20">
        <f>축시작+INT((A1235-1)/32)</f>
        <v/>
      </c>
      <c r="G1235" s="20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20">
        <f>축시작+INT((A1236-1)/32)</f>
        <v/>
      </c>
      <c r="G1236" s="20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20">
        <f>축시작+INT((A1237-1)/32)</f>
        <v/>
      </c>
      <c r="G1237" s="20">
        <f>F1237+H1237</f>
        <v/>
      </c>
      <c r="H1237" s="5" t="n">
        <v>6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20">
        <f>축시작+INT((A1238-1)/32)</f>
        <v/>
      </c>
      <c r="G1238" s="20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20">
        <f>축시작+INT((A1239-1)/32)</f>
        <v/>
      </c>
      <c r="G1239" s="20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20">
        <f>축시작+INT((A1240-1)/32)</f>
        <v/>
      </c>
      <c r="G1240" s="20">
        <f>F1240+H1240</f>
        <v/>
      </c>
      <c r="H1240" s="5" t="n">
        <v>6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20">
        <f>축시작+INT((A1241-1)/32)</f>
        <v/>
      </c>
      <c r="G1241" s="20">
        <f>F1241+H1241</f>
        <v/>
      </c>
      <c r="H1241" s="5" t="n">
        <v>6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20">
        <f>축시작+INT((A1242-1)/32)</f>
        <v/>
      </c>
      <c r="G1242" s="20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20">
        <f>축시작+INT((A1243-1)/32)</f>
        <v/>
      </c>
      <c r="G1243" s="20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20">
        <f>축시작+INT((A1244-1)/32)</f>
        <v/>
      </c>
      <c r="G1244" s="20">
        <f>F1244+H1244</f>
        <v/>
      </c>
      <c r="H1244" s="5" t="n">
        <v>5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20">
        <f>축시작+INT((A1245-1)/32)</f>
        <v/>
      </c>
      <c r="G1245" s="20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20">
        <f>축시작+INT((A1246-1)/32)</f>
        <v/>
      </c>
      <c r="G1246" s="20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20">
        <f>축시작+INT((A1247-1)/32)</f>
        <v/>
      </c>
      <c r="G1247" s="20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20">
        <f>축시작+INT((A1248-1)/32)</f>
        <v/>
      </c>
      <c r="G1248" s="20">
        <f>F1248+H1248</f>
        <v/>
      </c>
      <c r="H1248" s="5" t="n">
        <v>3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20">
        <f>축시작+INT((A1249-1)/32)</f>
        <v/>
      </c>
      <c r="G1249" s="20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20">
        <f>축시작+INT((A1250-1)/32)</f>
        <v/>
      </c>
      <c r="G1250" s="20">
        <f>F1250+H1250</f>
        <v/>
      </c>
      <c r="H1250" s="5" t="n">
        <v>3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20">
        <f>축시작+INT((A1251-1)/32)</f>
        <v/>
      </c>
      <c r="G1251" s="20">
        <f>F1251+H1251</f>
        <v/>
      </c>
      <c r="H1251" s="5" t="n">
        <v>2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20">
        <f>축시작+INT((A1252-1)/32)</f>
        <v/>
      </c>
      <c r="G1252" s="20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20">
        <f>축시작+INT((A1253-1)/32)</f>
        <v/>
      </c>
      <c r="G1253" s="20">
        <f>F1253+H1253</f>
        <v/>
      </c>
      <c r="H1253" s="5" t="n">
        <v>5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20">
        <f>축시작+INT((A1254-1)/32)</f>
        <v/>
      </c>
      <c r="G1254" s="20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20">
        <f>축시작+INT((A1255-1)/32)</f>
        <v/>
      </c>
      <c r="G1255" s="20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20">
        <f>축시작+INT((A1256-1)/32)</f>
        <v/>
      </c>
      <c r="G1256" s="20">
        <f>F1256+H1256</f>
        <v/>
      </c>
      <c r="H1256" s="5" t="n">
        <v>4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20">
        <f>축시작+INT((A1257-1)/32)</f>
        <v/>
      </c>
      <c r="G1257" s="20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20">
        <f>축시작+INT((A1258-1)/32)</f>
        <v/>
      </c>
      <c r="G1258" s="20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20">
        <f>축시작+INT((A1259-1)/32)</f>
        <v/>
      </c>
      <c r="G1259" s="20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20">
        <f>축시작+INT((A1260-1)/32)</f>
        <v/>
      </c>
      <c r="G1260" s="20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20">
        <f>축시작+INT((A1261-1)/32)</f>
        <v/>
      </c>
      <c r="G1261" s="20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20">
        <f>축시작+INT((A1262-1)/32)</f>
        <v/>
      </c>
      <c r="G1262" s="20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20">
        <f>축시작+INT((A1263-1)/32)</f>
        <v/>
      </c>
      <c r="G1263" s="20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20">
        <f>축시작+INT((A1264-1)/32)</f>
        <v/>
      </c>
      <c r="G1264" s="20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20">
        <f>축시작+INT((A1265-1)/32)</f>
        <v/>
      </c>
      <c r="G1265" s="20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20">
        <f>축시작+INT((A1266-1)/32)</f>
        <v/>
      </c>
      <c r="G1266" s="20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20">
        <f>축시작+INT((A1267-1)/32)</f>
        <v/>
      </c>
      <c r="G1267" s="20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20">
        <f>축시작+INT((A1268-1)/32)</f>
        <v/>
      </c>
      <c r="G1268" s="20">
        <f>F1268+H1268</f>
        <v/>
      </c>
      <c r="H1268" s="5" t="n">
        <v>4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20">
        <f>축시작+INT((A1269-1)/32)</f>
        <v/>
      </c>
      <c r="G1269" s="20">
        <f>F1269+H1269</f>
        <v/>
      </c>
      <c r="H1269" s="5" t="n">
        <v>5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20">
        <f>축시작+INT((A1270-1)/32)</f>
        <v/>
      </c>
      <c r="G1270" s="20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20">
        <f>축시작+INT((A1271-1)/32)</f>
        <v/>
      </c>
      <c r="G1271" s="20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20">
        <f>축시작+INT((A1272-1)/32)</f>
        <v/>
      </c>
      <c r="G1272" s="20">
        <f>F1272+H1272</f>
        <v/>
      </c>
      <c r="H1272" s="5" t="n">
        <v>5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20">
        <f>축시작+INT((A1273-1)/32)</f>
        <v/>
      </c>
      <c r="G1273" s="20">
        <f>F1273+H1273</f>
        <v/>
      </c>
      <c r="H1273" s="5" t="n">
        <v>6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20">
        <f>축시작+INT((A1274-1)/32)</f>
        <v/>
      </c>
      <c r="G1274" s="20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20">
        <f>축시작+INT((A1275-1)/32)</f>
        <v/>
      </c>
      <c r="G1275" s="20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20">
        <f>축시작+INT((A1276-1)/32)</f>
        <v/>
      </c>
      <c r="G1276" s="20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20">
        <f>축시작+INT((A1277-1)/32)</f>
        <v/>
      </c>
      <c r="G1277" s="20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20">
        <f>축시작+INT((A1278-1)/32)</f>
        <v/>
      </c>
      <c r="G1278" s="20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20">
        <f>축시작+INT((A1279-1)/32)</f>
        <v/>
      </c>
      <c r="G1279" s="20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20">
        <f>축시작+INT((A1280-1)/32)</f>
        <v/>
      </c>
      <c r="G1280" s="20">
        <f>F1280+H1280</f>
        <v/>
      </c>
      <c r="H1280" s="5" t="n">
        <v>3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20">
        <f>축시작+INT((A1281-1)/32)</f>
        <v/>
      </c>
      <c r="G1281" s="20">
        <f>F1281+H1281</f>
        <v/>
      </c>
      <c r="H1281" s="5" t="n">
        <v>6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8" customWidth="1" min="10" max="10"/>
    <col width="16" customWidth="1" min="11" max="11"/>
    <col width="13" customWidth="1" min="12" max="12"/>
    <col width="15" customWidth="1" min="13" max="13"/>
    <col width="62" customWidth="1" min="14" max="14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t>B(d-1) 상환액</t>
        </is>
      </c>
      <c r="D1" s="1" t="inlineStr">
        <is>
          <t>A(d-1) 투자실행금</t>
        </is>
      </c>
      <c r="E1" s="1" t="inlineStr">
        <is>
          <t>M(d-1) 투자수익 (화면 표시값)</t>
        </is>
      </c>
      <c r="F1" s="1" t="inlineStr">
        <is>
          <t>M(d-1) 투자수익(차감 제외 · 참고)</t>
        </is>
      </c>
      <c r="G1" s="1" t="inlineStr">
        <is>
          <t>MR(d-1) 투자수익율(%)</t>
        </is>
      </c>
      <c r="H1" s="1" t="inlineStr">
        <is>
          <t>wD(d-1) W금융일수</t>
        </is>
      </c>
      <c r="I1" s="1" t="inlineStr">
        <is>
          <t>ty수익율(%)</t>
        </is>
      </c>
      <c r="J1" s="1" t="inlineStr">
        <is>
          <t>EC 순현금 (미확정)</t>
        </is>
      </c>
      <c r="K1" s="1" t="inlineStr">
        <is>
          <t>Σ(Ai x Di)</t>
        </is>
      </c>
      <c r="L1" s="1" t="inlineStr">
        <is>
          <t>부족액 차감</t>
        </is>
      </c>
      <c r="M1" s="1" t="inlineStr">
        <is>
          <t>차감/수수료(%)</t>
        </is>
      </c>
      <c r="N1" s="4" t="inlineStr">
        <is>
          <t>미확정 — EC 는 전일자 마감시점(자정) 잔액. 일별 EC 원장이 없어 J2:J28 27칸 전부 조회시점 순현금(입력 C8)을 그대로 놓았다. 그래서 PEC 는 순현금 x 조회 일수다.</t>
        </is>
      </c>
    </row>
    <row r="2">
      <c r="A2" s="20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0">
        <f>IF(D2=0,0,ROUND(E2/D2*100,6))</f>
        <v/>
      </c>
      <c r="H2" s="10">
        <f>IF(D2=0,0,ROUND(K2/D2,6))</f>
        <v/>
      </c>
      <c r="I2" s="7">
        <f>IF(H2=0,0,ROUND(G2*연일수/H2,6))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7">
        <f>IF(F2=0,0,L2/F2*100)</f>
        <v/>
      </c>
    </row>
    <row r="3">
      <c r="A3" s="20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0">
        <f>IF(D3=0,0,ROUND(E3/D3*100,6))</f>
        <v/>
      </c>
      <c r="H3" s="10">
        <f>IF(D3=0,0,ROUND(K3/D3,6))</f>
        <v/>
      </c>
      <c r="I3" s="7">
        <f>IF(H3=0,0,ROUND(G3*연일수/H3,6))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7">
        <f>IF(F3=0,0,L3/F3*100)</f>
        <v/>
      </c>
    </row>
    <row r="4">
      <c r="A4" s="20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0">
        <f>IF(D4=0,0,ROUND(E4/D4*100,6))</f>
        <v/>
      </c>
      <c r="H4" s="10">
        <f>IF(D4=0,0,ROUND(K4/D4,6))</f>
        <v/>
      </c>
      <c r="I4" s="7">
        <f>IF(H4=0,0,ROUND(G4*연일수/H4,6))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7">
        <f>IF(F4=0,0,L4/F4*100)</f>
        <v/>
      </c>
    </row>
    <row r="5">
      <c r="A5" s="20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0">
        <f>IF(D5=0,0,ROUND(E5/D5*100,6))</f>
        <v/>
      </c>
      <c r="H5" s="10">
        <f>IF(D5=0,0,ROUND(K5/D5,6))</f>
        <v/>
      </c>
      <c r="I5" s="7">
        <f>IF(H5=0,0,ROUND(G5*연일수/H5,6))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7">
        <f>IF(F5=0,0,L5/F5*100)</f>
        <v/>
      </c>
    </row>
    <row r="6">
      <c r="A6" s="20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0">
        <f>IF(D6=0,0,ROUND(E6/D6*100,6))</f>
        <v/>
      </c>
      <c r="H6" s="10">
        <f>IF(D6=0,0,ROUND(K6/D6,6))</f>
        <v/>
      </c>
      <c r="I6" s="7">
        <f>IF(H6=0,0,ROUND(G6*연일수/H6,6))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7">
        <f>IF(F6=0,0,L6/F6*100)</f>
        <v/>
      </c>
    </row>
    <row r="7">
      <c r="A7" s="20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0">
        <f>IF(D7=0,0,ROUND(E7/D7*100,6))</f>
        <v/>
      </c>
      <c r="H7" s="10">
        <f>IF(D7=0,0,ROUND(K7/D7,6))</f>
        <v/>
      </c>
      <c r="I7" s="7">
        <f>IF(H7=0,0,ROUND(G7*연일수/H7,6))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7">
        <f>IF(F7=0,0,L7/F7*100)</f>
        <v/>
      </c>
    </row>
    <row r="8">
      <c r="A8" s="20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0">
        <f>IF(D8=0,0,ROUND(E8/D8*100,6))</f>
        <v/>
      </c>
      <c r="H8" s="10">
        <f>IF(D8=0,0,ROUND(K8/D8,6))</f>
        <v/>
      </c>
      <c r="I8" s="7">
        <f>IF(H8=0,0,ROUND(G8*연일수/H8,6))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7">
        <f>IF(F8=0,0,L8/F8*100)</f>
        <v/>
      </c>
    </row>
    <row r="9">
      <c r="A9" s="20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0">
        <f>IF(D9=0,0,ROUND(E9/D9*100,6))</f>
        <v/>
      </c>
      <c r="H9" s="10">
        <f>IF(D9=0,0,ROUND(K9/D9,6))</f>
        <v/>
      </c>
      <c r="I9" s="7">
        <f>IF(H9=0,0,ROUND(G9*연일수/H9,6))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7">
        <f>IF(F9=0,0,L9/F9*100)</f>
        <v/>
      </c>
    </row>
    <row r="10">
      <c r="A10" s="20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0">
        <f>IF(D10=0,0,ROUND(E10/D10*100,6))</f>
        <v/>
      </c>
      <c r="H10" s="10">
        <f>IF(D10=0,0,ROUND(K10/D10,6))</f>
        <v/>
      </c>
      <c r="I10" s="7">
        <f>IF(H10=0,0,ROUND(G10*연일수/H10,6))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7">
        <f>IF(F10=0,0,L10/F10*100)</f>
        <v/>
      </c>
    </row>
    <row r="11">
      <c r="A11" s="20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0">
        <f>IF(D11=0,0,ROUND(E11/D11*100,6))</f>
        <v/>
      </c>
      <c r="H11" s="10">
        <f>IF(D11=0,0,ROUND(K11/D11,6))</f>
        <v/>
      </c>
      <c r="I11" s="7">
        <f>IF(H11=0,0,ROUND(G11*연일수/H11,6))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7">
        <f>IF(F11=0,0,L11/F11*100)</f>
        <v/>
      </c>
    </row>
    <row r="12">
      <c r="A12" s="20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0">
        <f>IF(D12=0,0,ROUND(E12/D12*100,6))</f>
        <v/>
      </c>
      <c r="H12" s="10">
        <f>IF(D12=0,0,ROUND(K12/D12,6))</f>
        <v/>
      </c>
      <c r="I12" s="7">
        <f>IF(H12=0,0,ROUND(G12*연일수/H12,6))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7">
        <f>IF(F12=0,0,L12/F12*100)</f>
        <v/>
      </c>
    </row>
    <row r="13">
      <c r="A13" s="20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0">
        <f>IF(D13=0,0,ROUND(E13/D13*100,6))</f>
        <v/>
      </c>
      <c r="H13" s="10">
        <f>IF(D13=0,0,ROUND(K13/D13,6))</f>
        <v/>
      </c>
      <c r="I13" s="7">
        <f>IF(H13=0,0,ROUND(G13*연일수/H13,6))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7">
        <f>IF(F13=0,0,L13/F13*100)</f>
        <v/>
      </c>
    </row>
    <row r="14">
      <c r="A14" s="20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0">
        <f>IF(D14=0,0,ROUND(E14/D14*100,6))</f>
        <v/>
      </c>
      <c r="H14" s="10">
        <f>IF(D14=0,0,ROUND(K14/D14,6))</f>
        <v/>
      </c>
      <c r="I14" s="7">
        <f>IF(H14=0,0,ROUND(G14*연일수/H14,6))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7">
        <f>IF(F14=0,0,L14/F14*100)</f>
        <v/>
      </c>
    </row>
    <row r="15">
      <c r="A15" s="20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0">
        <f>IF(D15=0,0,ROUND(E15/D15*100,6))</f>
        <v/>
      </c>
      <c r="H15" s="10">
        <f>IF(D15=0,0,ROUND(K15/D15,6))</f>
        <v/>
      </c>
      <c r="I15" s="7">
        <f>IF(H15=0,0,ROUND(G15*연일수/H15,6))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7">
        <f>IF(F15=0,0,L15/F15*100)</f>
        <v/>
      </c>
    </row>
    <row r="16">
      <c r="A16" s="20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0">
        <f>IF(D16=0,0,ROUND(E16/D16*100,6))</f>
        <v/>
      </c>
      <c r="H16" s="10">
        <f>IF(D16=0,0,ROUND(K16/D16,6))</f>
        <v/>
      </c>
      <c r="I16" s="7">
        <f>IF(H16=0,0,ROUND(G16*연일수/H16,6))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7">
        <f>IF(F16=0,0,L16/F16*100)</f>
        <v/>
      </c>
    </row>
    <row r="17">
      <c r="A17" s="20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0">
        <f>IF(D17=0,0,ROUND(E17/D17*100,6))</f>
        <v/>
      </c>
      <c r="H17" s="10">
        <f>IF(D17=0,0,ROUND(K17/D17,6))</f>
        <v/>
      </c>
      <c r="I17" s="7">
        <f>IF(H17=0,0,ROUND(G17*연일수/H17,6))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7">
        <f>IF(F17=0,0,L17/F17*100)</f>
        <v/>
      </c>
    </row>
    <row r="18">
      <c r="A18" s="20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0">
        <f>IF(D18=0,0,ROUND(E18/D18*100,6))</f>
        <v/>
      </c>
      <c r="H18" s="10">
        <f>IF(D18=0,0,ROUND(K18/D18,6))</f>
        <v/>
      </c>
      <c r="I18" s="7">
        <f>IF(H18=0,0,ROUND(G18*연일수/H18,6))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7">
        <f>IF(F18=0,0,L18/F18*100)</f>
        <v/>
      </c>
    </row>
    <row r="19">
      <c r="A19" s="20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0">
        <f>IF(D19=0,0,ROUND(E19/D19*100,6))</f>
        <v/>
      </c>
      <c r="H19" s="10">
        <f>IF(D19=0,0,ROUND(K19/D19,6))</f>
        <v/>
      </c>
      <c r="I19" s="7">
        <f>IF(H19=0,0,ROUND(G19*연일수/H19,6))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7">
        <f>IF(F19=0,0,L19/F19*100)</f>
        <v/>
      </c>
    </row>
    <row r="20">
      <c r="A20" s="20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0">
        <f>IF(D20=0,0,ROUND(E20/D20*100,6))</f>
        <v/>
      </c>
      <c r="H20" s="10">
        <f>IF(D20=0,0,ROUND(K20/D20,6))</f>
        <v/>
      </c>
      <c r="I20" s="7">
        <f>IF(H20=0,0,ROUND(G20*연일수/H20,6))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7">
        <f>IF(F20=0,0,L20/F20*100)</f>
        <v/>
      </c>
    </row>
    <row r="21">
      <c r="A21" s="20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0">
        <f>IF(D21=0,0,ROUND(E21/D21*100,6))</f>
        <v/>
      </c>
      <c r="H21" s="10">
        <f>IF(D21=0,0,ROUND(K21/D21,6))</f>
        <v/>
      </c>
      <c r="I21" s="7">
        <f>IF(H21=0,0,ROUND(G21*연일수/H21,6))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7">
        <f>IF(F21=0,0,L21/F21*100)</f>
        <v/>
      </c>
    </row>
    <row r="22">
      <c r="A22" s="20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0">
        <f>IF(D22=0,0,ROUND(E22/D22*100,6))</f>
        <v/>
      </c>
      <c r="H22" s="10">
        <f>IF(D22=0,0,ROUND(K22/D22,6))</f>
        <v/>
      </c>
      <c r="I22" s="7">
        <f>IF(H22=0,0,ROUND(G22*연일수/H22,6))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7">
        <f>IF(F22=0,0,L22/F22*100)</f>
        <v/>
      </c>
    </row>
    <row r="23">
      <c r="A23" s="20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0">
        <f>IF(D23=0,0,ROUND(E23/D23*100,6))</f>
        <v/>
      </c>
      <c r="H23" s="10">
        <f>IF(D23=0,0,ROUND(K23/D23,6))</f>
        <v/>
      </c>
      <c r="I23" s="7">
        <f>IF(H23=0,0,ROUND(G23*연일수/H23,6))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7">
        <f>IF(F23=0,0,L23/F23*100)</f>
        <v/>
      </c>
    </row>
    <row r="24">
      <c r="A24" s="20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0">
        <f>IF(D24=0,0,ROUND(E24/D24*100,6))</f>
        <v/>
      </c>
      <c r="H24" s="10">
        <f>IF(D24=0,0,ROUND(K24/D24,6))</f>
        <v/>
      </c>
      <c r="I24" s="7">
        <f>IF(H24=0,0,ROUND(G24*연일수/H24,6))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7">
        <f>IF(F24=0,0,L24/F24*100)</f>
        <v/>
      </c>
    </row>
    <row r="25">
      <c r="A25" s="20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0">
        <f>IF(D25=0,0,ROUND(E25/D25*100,6))</f>
        <v/>
      </c>
      <c r="H25" s="10">
        <f>IF(D25=0,0,ROUND(K25/D25,6))</f>
        <v/>
      </c>
      <c r="I25" s="7">
        <f>IF(H25=0,0,ROUND(G25*연일수/H25,6))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7">
        <f>IF(F25=0,0,L25/F25*100)</f>
        <v/>
      </c>
    </row>
    <row r="26">
      <c r="A26" s="20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0">
        <f>IF(D26=0,0,ROUND(E26/D26*100,6))</f>
        <v/>
      </c>
      <c r="H26" s="10">
        <f>IF(D26=0,0,ROUND(K26/D26,6))</f>
        <v/>
      </c>
      <c r="I26" s="7">
        <f>IF(H26=0,0,ROUND(G26*연일수/H26,6))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7">
        <f>IF(F26=0,0,L26/F26*100)</f>
        <v/>
      </c>
    </row>
    <row r="27">
      <c r="A27" s="20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0">
        <f>IF(D27=0,0,ROUND(E27/D27*100,6))</f>
        <v/>
      </c>
      <c r="H27" s="10">
        <f>IF(D27=0,0,ROUND(K27/D27,6))</f>
        <v/>
      </c>
      <c r="I27" s="7">
        <f>IF(H27=0,0,ROUND(G27*연일수/H27,6))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7">
        <f>IF(F27=0,0,L27/F27*100)</f>
        <v/>
      </c>
    </row>
    <row r="28">
      <c r="A28" s="20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0">
        <f>IF(D28=0,0,ROUND(E28/D28*100,6))</f>
        <v/>
      </c>
      <c r="H28" s="10">
        <f>IF(D28=0,0,ROUND(K28/D28,6))</f>
        <v/>
      </c>
      <c r="I28" s="7">
        <f>IF(H28=0,0,ROUND(G28*연일수/H28,6))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7">
        <f>IF(F28=0,0,L28/F28*100)</f>
        <v/>
      </c>
    </row>
    <row r="29">
      <c r="A29" s="3" t="inlineStr">
        <is>
          <t>합계</t>
        </is>
      </c>
      <c r="B29" s="18">
        <f>SUM(B2:B28)</f>
        <v/>
      </c>
      <c r="C29" s="18">
        <f>SUM(C2:C28)</f>
        <v/>
      </c>
      <c r="D29" s="18">
        <f>SUM(D2:D28)</f>
        <v/>
      </c>
      <c r="E29" s="18">
        <f>SUM(E2:E28)</f>
        <v/>
      </c>
      <c r="F29" s="18">
        <f>SUM(F2:F28)</f>
        <v/>
      </c>
      <c r="J29" s="18">
        <f>SUM(J2:J28)</f>
        <v/>
      </c>
      <c r="K29" s="18">
        <f>SUM(K2:K28)</f>
        <v/>
      </c>
      <c r="L29" s="18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5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5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8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PA 투자실행금</t>
        </is>
      </c>
      <c r="B5" s="8">
        <f>SUMIFS(일별!$D$2:$D$28,일별!$A$2:$A$28,"&gt;="&amp;조회시작,일별!$A$2:$A$28,"&lt;="&amp;조회종료)</f>
        <v/>
      </c>
      <c r="C5" s="5" t="inlineStr">
        <is>
          <t>Σ A(d-1)</t>
        </is>
      </c>
      <c r="D5" s="5" t="inlineStr">
        <is>
          <t>ceo_definitions.md [2번] 투자 실행금(PA)</t>
        </is>
      </c>
      <c r="E5" s="32" t="inlineStr">
        <is>
          <t>정본</t>
        </is>
      </c>
    </row>
    <row r="6">
      <c r="A6" s="3" t="inlineStr">
        <is>
          <t>PM 투자수익 (정의 · 차감 반영)</t>
        </is>
      </c>
      <c r="B6" s="8">
        <f>SUMIFS(일별!$E$2:$E$28,일별!$A$2:$A$28,"&gt;="&amp;조회시작,일별!$A$2:$A$28,"&lt;="&amp;조회종료)</f>
        <v/>
      </c>
      <c r="C6" s="5" t="inlineStr">
        <is>
          <t>Σ M(d-1) = Σ(수수료 - max(0,미지급-과지급))</t>
        </is>
      </c>
      <c r="D6" s="5" t="inlineStr">
        <is>
          <t>ceo_definitions.md [2번] Mi</t>
        </is>
      </c>
      <c r="E6" s="32" t="inlineStr">
        <is>
          <t>정본</t>
        </is>
      </c>
    </row>
    <row r="7">
      <c r="A7" s="3" t="inlineStr">
        <is>
          <t>PM 투자수익 (차감 제외)</t>
        </is>
      </c>
      <c r="B7" s="8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8">
        <f>SUMIFS(일별!$C$2:$C$28,일별!$A$2:$A$28,"&gt;="&amp;조회시작,일별!$A$2:$A$28,"&lt;="&amp;조회종료)</f>
        <v/>
      </c>
      <c r="C8" s="5" t="inlineStr">
        <is>
          <t>Σ B(d-1)</t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t>Σ(Ai x Di)</t>
        </is>
      </c>
      <c r="B9" s="8">
        <f>SUMIFS(일별!$K$2:$K$28,일별!$A$2:$A$28,"&gt;="&amp;조회시작,일별!$A$2:$A$28,"&lt;="&amp;조회종료)</f>
        <v/>
      </c>
      <c r="C9" s="5" t="inlineStr">
        <is>
          <t>Σ 일별 Σ(Ai x Di)</t>
        </is>
      </c>
      <c r="D9" s="5" t="inlineStr"/>
      <c r="E9" s="5" t="inlineStr"/>
    </row>
    <row r="10">
      <c r="A10" s="3" t="inlineStr">
        <is>
          <t>PMR (정의)(%)</t>
        </is>
      </c>
      <c r="B10" s="9">
        <f>IF(B5=0,0,ROUND(B6/B5*100,6))</f>
        <v/>
      </c>
      <c r="C10" s="5" t="inlineStr">
        <is>
          <t>ROUND(PM / PA x 100, 6)</t>
        </is>
      </c>
      <c r="D10" s="5" t="inlineStr">
        <is>
          <t>ceo_definitions.md [2번] PMR</t>
        </is>
      </c>
      <c r="E10" s="32" t="inlineStr">
        <is>
          <t>정본</t>
        </is>
      </c>
    </row>
    <row r="11">
      <c r="A11" s="3" t="inlineStr">
        <is>
          <t>PMR (차감 제외)(%)</t>
        </is>
      </c>
      <c r="B11" s="9">
        <f>IF(B5=0,0,ROUND(B7/B5*100,6))</f>
        <v/>
      </c>
      <c r="C11" s="5" t="inlineStr">
        <is>
          <t>ROUND(PM(차감 제외) / PA x 100, 6)</t>
        </is>
      </c>
      <c r="D11" s="5" t="inlineStr"/>
      <c r="E11" s="5" t="inlineStr">
        <is>
          <t>참고</t>
        </is>
      </c>
    </row>
    <row r="12">
      <c r="A12" s="3" t="inlineStr">
        <is>
          <t>PwD</t>
        </is>
      </c>
      <c r="B12" s="9">
        <f>IF(B5=0,0,ROUND(B9/B5,6))</f>
        <v/>
      </c>
      <c r="C12" s="5" t="inlineStr">
        <is>
          <t>ROUND(Σ(Ai x Di) / PA, 6)</t>
        </is>
      </c>
      <c r="D12" s="5" t="inlineStr">
        <is>
          <t>ceo_definitions.md [2번] PwD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6">
        <f>IF(B12=0,0,ROUND(B10*연일수/B12,6))</f>
        <v/>
      </c>
      <c r="C13" s="5" t="inlineStr">
        <is>
          <t>ROUND(PMR(%) x 365 / PwD, 6)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6">
        <f>IF(B12=0,0,ROUND(B11*연일수/B12,6))</f>
        <v/>
      </c>
      <c r="C14" s="5" t="inlineStr">
        <is>
          <t>ROUND(PMR(차감 제외)(%) x 365 / PwD, 6)</t>
        </is>
      </c>
      <c r="D14" s="5" t="inlineStr"/>
      <c r="E14" s="5" t="inlineStr">
        <is>
          <t>참고</t>
        </is>
      </c>
    </row>
    <row r="15">
      <c r="A15" s="3" t="inlineStr">
        <is>
          <t>PEC 순현금 합</t>
        </is>
      </c>
      <c r="B15" s="8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PEC</t>
        </is>
      </c>
      <c r="E15" s="32" t="inlineStr">
        <is>
          <t>정본</t>
        </is>
      </c>
    </row>
    <row r="16">
      <c r="A16" s="3" t="inlineStr">
        <is>
          <t>평균순현금</t>
        </is>
      </c>
      <c r="B16" s="8" t="n"/>
      <c r="C16" s="5" t="inlineStr">
        <is>
          <t>미확정 — 워드에 이름만 있고 정의 없음</t>
        </is>
      </c>
      <c r="D16" s="5" t="inlineStr">
        <is>
          <t>ceo_definitions.md [2번] 첫 줄</t>
        </is>
      </c>
      <c r="E16" s="33" t="inlineStr">
        <is>
          <t>미확정</t>
        </is>
      </c>
    </row>
    <row r="17">
      <c r="A17" s="3" t="inlineStr">
        <is>
          <t>⑤ wPYMR 투자 자산 대비 연환산 수익률 (정의)</t>
        </is>
      </c>
      <c r="B17" s="6">
        <f>입력!C19</f>
        <v/>
      </c>
      <c r="C17" s="5" t="inlineStr">
        <is>
          <t>입력 C19</t>
        </is>
      </c>
      <c r="D17" s="5" t="inlineStr">
        <is>
          <t>ceo_definitions.md [2번] 이미지의 ⑤ — 대표 재작성 대기 (A-01)</t>
        </is>
      </c>
      <c r="E17" s="33" t="inlineStr">
        <is>
          <t>미확정</t>
        </is>
      </c>
    </row>
    <row r="18">
      <c r="A18" s="3" t="inlineStr">
        <is>
          <t>⑥ 투자실행금액 대비 ty수익율 (정의)</t>
        </is>
      </c>
      <c r="B18" s="6">
        <f>IF(COUNT(입력!C18)=0,"미확정",B13/입력!C18*연일수/B17)</f>
        <v/>
      </c>
      <c r="C18" s="5" t="inlineStr">
        <is>
          <t>(④ / ③) x 365 / ⑤ — ③ 은 입력 C18, ⑤ 는 B17</t>
        </is>
      </c>
      <c r="D18" s="5" t="inlineStr">
        <is>
          <t>ceo_definitions.md [2번] 이미지의 ⑥ — 대표 주석 「계산식 다시 확인해볼것」 (TP-66 · F-23)</t>
        </is>
      </c>
      <c r="E18" s="33" t="inlineStr">
        <is>
          <t>미확정</t>
        </is>
      </c>
    </row>
    <row r="19">
      <c r="A19" s="3" t="inlineStr">
        <is>
          <t>부족액 차감 합</t>
        </is>
      </c>
      <c r="B19" s="8">
        <f>SUMIFS(일별!$L$2:$L$28,일별!$A$2:$A$28,"&gt;="&amp;조회시작,일별!$A$2:$A$28,"&lt;="&amp;조회종료)</f>
        <v/>
      </c>
      <c r="C19" s="5" t="inlineStr">
        <is>
          <t>Σ max(0, 미지급금 - 과지급금)</t>
        </is>
      </c>
      <c r="D19" s="5" t="inlineStr">
        <is>
          <t>ceo_definitions.md [2번] Mi</t>
        </is>
      </c>
      <c r="E19" s="32" t="inlineStr">
        <is>
          <t>정본</t>
        </is>
      </c>
    </row>
    <row r="20">
      <c r="A20" s="3" t="inlineStr">
        <is>
          <t>차감 / 채권매입수수료(%)</t>
        </is>
      </c>
      <c r="B20" s="6">
        <f>IF(B7=0,0,B19/B7*100)</f>
        <v/>
      </c>
      <c r="C20" s="5" t="inlineStr">
        <is>
          <t>부족액 차감 합 / Σ 수수료</t>
        </is>
      </c>
      <c r="D20" s="5" t="inlineStr"/>
      <c r="E20" s="5" t="inlineStr"/>
    </row>
    <row r="21">
      <c r="A21" s="3" t="inlineStr">
        <is>
          <t>검산 — 수수료 - 차감 - PM(정의)</t>
        </is>
      </c>
      <c r="B21" s="8">
        <f>B7-B19-B6</f>
        <v/>
      </c>
      <c r="C21" s="5" t="inlineStr">
        <is>
          <t>0 이면 정의대로다</t>
        </is>
      </c>
      <c r="D21" s="5" t="inlineStr"/>
      <c r="E21" s="5" t="inlineStr"/>
    </row>
    <row r="22">
      <c r="A22" s="3" t="inlineStr">
        <is>
          <t>DM 16:45 (가) 대표 근사식(%)</t>
        </is>
      </c>
      <c r="B22" s="9">
        <f>(할인율-IF(B5=0,0,B19/B5))*100</f>
        <v/>
      </c>
      <c r="C22" s="5" t="inlineStr">
        <is>
          <t>(할인율 - Σ max(0, 미지급금-과지급금) / PA) x 100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원식 PMR(%)</t>
        </is>
      </c>
      <c r="B23" s="9">
        <f>B10</f>
        <v/>
      </c>
      <c r="C23" s="5" t="inlineStr">
        <is>
          <t>PM / PA x 100 — 분모가 투자실행액이라 순지급액 기준보다 1/(1-할인율) 배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- (가) (%p)</t>
        </is>
      </c>
      <c r="B24" s="14">
        <f>B23-B22</f>
        <v/>
      </c>
      <c r="C24" s="5" t="inlineStr">
        <is>
          <t>(나) -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(나) / (가) (배)</t>
        </is>
      </c>
      <c r="B25" s="14">
        <f>IF(B22=0,0,B23/B22)</f>
        <v/>
      </c>
      <c r="C25" s="5" t="inlineStr">
        <is>
          <t>(나) / (가)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1 / (1 - 할인율) (배)</t>
        </is>
      </c>
      <c r="B26" s="14">
        <f>1/(1-할인율)</f>
        <v/>
      </c>
      <c r="C26" s="5" t="inlineStr">
        <is>
          <t>이론 갈림 배수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</t>
        </is>
      </c>
      <c r="B27" s="8">
        <f>B19</f>
        <v/>
      </c>
      <c r="C27" s="5" t="inlineStr">
        <is>
          <t>Σ max(0, 미지급금-과지급금). 0 이면 (가) 가 할인율 그대로다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(가) (%)</t>
        </is>
      </c>
      <c r="B28" s="9">
        <f>할인율*100</f>
        <v/>
      </c>
      <c r="C28" s="5" t="inlineStr">
        <is>
          <t>할인율</t>
        </is>
      </c>
      <c r="D28" s="5" t="inlineStr">
        <is>
          <t>대표 DM 2026-08-31 16:45</t>
        </is>
      </c>
      <c r="E28" s="5" t="inlineStr"/>
    </row>
    <row r="29">
      <c r="A29" s="3" t="inlineStr">
        <is>
          <t>DM 16:45 차감합 0 일 때 (나) (%)</t>
        </is>
      </c>
      <c r="B29" s="9">
        <f>할인율/(1-할인율)*100</f>
        <v/>
      </c>
      <c r="C29" s="5" t="inlineStr">
        <is>
          <t>할인율 / (1 - 할인율) — 원식은 분모가 순지급액이 아니라 투자실행액이다</t>
        </is>
      </c>
      <c r="D29" s="5" t="inlineStr">
        <is>
          <t>대표 DM 2026-08-31 16:45</t>
        </is>
      </c>
      <c r="E29" s="5" t="inlineStr"/>
    </row>
    <row r="31" ht="30" customHeight="1">
      <c r="A31" s="11" t="inlineStr">
        <is>
          <t>항목</t>
        </is>
      </c>
      <c r="B31" s="11" t="inlineStr">
        <is>
          <t>값</t>
        </is>
      </c>
      <c r="C31" s="11" t="inlineStr">
        <is>
          <t>산식</t>
        </is>
      </c>
      <c r="D31" s="11" t="inlineStr">
        <is>
          <t>출처</t>
        </is>
      </c>
    </row>
    <row r="32">
      <c r="A32" s="3" t="inlineStr">
        <is>
          <t>대상정산금채권 Σ Ai</t>
        </is>
      </c>
      <c r="B32" s="8">
        <f>SUM(채권!$J$2:$J$1281)</f>
        <v/>
      </c>
      <c r="C32" s="5" t="inlineStr">
        <is>
          <t>Σ Ai (선정산일 축 전량)</t>
        </is>
      </c>
      <c r="D32" s="5" t="inlineStr"/>
    </row>
    <row r="33">
      <c r="A33" s="3" t="inlineStr">
        <is>
          <t>대상정산금채권 Σ(Ai x Di)</t>
        </is>
      </c>
      <c r="B33" s="8">
        <f>SUM(채권!$S$2:$S$1281)</f>
        <v/>
      </c>
      <c r="C33" s="5" t="inlineStr">
        <is>
          <t>Σ Ai x Di</t>
        </is>
      </c>
      <c r="D33" s="5" t="inlineStr"/>
    </row>
    <row r="34">
      <c r="A34" s="3" t="inlineStr">
        <is>
          <t>W금융일수 — 대상정산금채권 전체</t>
        </is>
      </c>
      <c r="B34" s="14">
        <f>ROUND(B33/B32,6)</f>
        <v/>
      </c>
      <c r="C34" s="5" t="inlineStr">
        <is>
          <t>ROUND(Σ(Ai x Di) / Σ Ai, 6)</t>
        </is>
      </c>
      <c r="D34" s="5" t="inlineStr">
        <is>
          <t>ceo_definitions.md [1번] w금융일수</t>
        </is>
      </c>
    </row>
    <row r="35">
      <c r="A35" s="3" t="inlineStr">
        <is>
          <t>만기 도래분 Σ Ai</t>
        </is>
      </c>
      <c r="B35" s="8">
        <f>SUMPRODUCT(채권!$J$2:$J$1281,채권!$R$2:$R$1281)</f>
        <v/>
      </c>
      <c r="C35" s="5" t="inlineStr">
        <is>
          <t>Σ Ai x 도래</t>
        </is>
      </c>
      <c r="D35" s="5" t="inlineStr">
        <is>
          <t>조어 — 원문 대응 낱말 없음</t>
        </is>
      </c>
    </row>
    <row r="36">
      <c r="A36" s="3" t="inlineStr">
        <is>
          <t>만기 도래분 Σ(Ai x Di)</t>
        </is>
      </c>
      <c r="B36" s="8">
        <f>SUMPRODUCT(채권!$S$2:$S$1281,채권!$R$2:$R$1281)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t>W금융일수 — 만기 도래분만</t>
        </is>
      </c>
      <c r="B37" s="14">
        <f>IF(B35=0,0,ROUND(B36/B35,6))</f>
        <v/>
      </c>
      <c r="C37" s="5" t="inlineStr"/>
      <c r="D37" s="5" t="inlineStr">
        <is>
          <t>조어 — 원문 대응 낱말 없음</t>
        </is>
      </c>
    </row>
    <row r="38">
      <c r="A38" s="3" t="inlineStr">
        <is>
          <t>미회수 Σ Ai</t>
        </is>
      </c>
      <c r="B38" s="8">
        <f>SUMPRODUCT(채권!$J$2:$J$1281,채권!$Q$2:$Q$1281)</f>
        <v/>
      </c>
      <c r="C38" s="5" t="inlineStr">
        <is>
          <t>Σ Ai x 미회수</t>
        </is>
      </c>
      <c r="D38" s="5" t="inlineStr">
        <is>
          <t>ceo_definitions.md [1번] 투자 실행액</t>
        </is>
      </c>
    </row>
    <row r="39">
      <c r="A39" s="3" t="inlineStr">
        <is>
          <t>미회수 Σ(Ai x Di)</t>
        </is>
      </c>
      <c r="B39" s="8">
        <f>SUMPRODUCT(채권!$S$2:$S$1281,채권!$Q$2:$Q$1281)</f>
        <v/>
      </c>
      <c r="C39" s="5" t="inlineStr"/>
      <c r="D39" s="5" t="inlineStr"/>
    </row>
    <row r="40">
      <c r="A40" s="3" t="inlineStr">
        <is>
          <t>W금융일수 — 미회수 잔량만</t>
        </is>
      </c>
      <c r="B40" s="14">
        <f>IF(B38=0,0,ROUND(B39/B38,6))</f>
        <v/>
      </c>
      <c r="C40" s="5" t="inlineStr"/>
      <c r="D40" s="5" t="inlineStr"/>
    </row>
    <row r="41">
      <c r="A41" s="3" t="inlineStr">
        <is>
          <t>W금융일수 raw (스위치 ① 적용)</t>
        </is>
      </c>
      <c r="B41" s="14">
        <f>IF(SW_모집단="미회수 잔량만",B40,IF(SW_모집단="만기 도래분만",B37,B34))</f>
        <v/>
      </c>
      <c r="C41" s="5" t="inlineStr">
        <is>
          <t>스위치 ①</t>
        </is>
      </c>
      <c r="D41" s="5" t="inlineStr"/>
    </row>
    <row r="42">
      <c r="A42" s="3" t="inlineStr">
        <is>
          <t>W금융일수 표기 (스위치 ② 적용)</t>
        </is>
      </c>
      <c r="B42" s="13">
        <f>ROUND(B41,SW_자릿수)</f>
        <v/>
      </c>
      <c r="C42" s="5" t="inlineStr">
        <is>
          <t>스위치 ②</t>
        </is>
      </c>
      <c r="D42" s="5" t="inlineStr"/>
    </row>
    <row r="43">
      <c r="A43" s="3" t="inlineStr">
        <is>
          <t>Ty수익율(%)</t>
        </is>
      </c>
      <c r="B43" s="6">
        <f>ROUND(할인율퍼센트*연일수/B42,6)</f>
        <v/>
      </c>
      <c r="C43" s="5" t="inlineStr">
        <is>
          <t>ROUND(할인율 x 365 / 표기 W, 6)</t>
        </is>
      </c>
      <c r="D43" s="5" t="inlineStr">
        <is>
          <t>ceo_definitions.md [1번] ty수익율</t>
        </is>
      </c>
    </row>
    <row r="44">
      <c r="A44" s="3" t="inlineStr">
        <is>
          <t>투자실행액</t>
        </is>
      </c>
      <c r="B44" s="8">
        <f>B38</f>
        <v/>
      </c>
      <c r="C44" s="5" t="inlineStr">
        <is>
          <t>미회수 Σ Ai</t>
        </is>
      </c>
      <c r="D44" s="5" t="inlineStr"/>
    </row>
    <row r="45">
      <c r="A45" s="3" t="inlineStr">
        <is>
          <t>순현금</t>
        </is>
      </c>
      <c r="B45" s="8">
        <f>순현금</f>
        <v/>
      </c>
      <c r="C45" s="5" t="inlineStr">
        <is>
          <t>입력</t>
        </is>
      </c>
      <c r="D45" s="5" t="inlineStr">
        <is>
          <t>ceo_definitions.md [1번] 순현금</t>
        </is>
      </c>
    </row>
    <row r="46">
      <c r="A46" s="3" t="inlineStr">
        <is>
          <t>투자자산</t>
        </is>
      </c>
      <c r="B46" s="8">
        <f>B44+B45</f>
        <v/>
      </c>
      <c r="C46" s="5" t="inlineStr">
        <is>
          <t>투자실행액 + 순현금</t>
        </is>
      </c>
      <c r="D46" s="5" t="inlineStr"/>
    </row>
    <row r="47">
      <c r="A47" s="3" t="inlineStr">
        <is>
          <t>투자실행액 비중</t>
        </is>
      </c>
      <c r="B47" s="12">
        <f>B44/B46</f>
        <v/>
      </c>
      <c r="C47" s="5" t="inlineStr"/>
      <c r="D47" s="5" t="inlineStr"/>
    </row>
    <row r="48">
      <c r="A48" s="3" t="inlineStr">
        <is>
          <t>순현금 비중</t>
        </is>
      </c>
      <c r="B48" s="12">
        <f>B45/B46</f>
        <v/>
      </c>
      <c r="C48" s="5" t="inlineStr"/>
      <c r="D48" s="5" t="inlineStr"/>
    </row>
    <row r="49">
      <c r="A49" s="3" t="inlineStr">
        <is>
          <t>S표본 Σ(미지급-과지급)</t>
        </is>
      </c>
      <c r="B49" s="8">
        <f>SUMPRODUCT(채권!$L$2:$L$1281-채권!$M$2:$M$1281,채권!$T$2:$T$1281)</f>
        <v/>
      </c>
      <c r="C49" s="5" t="inlineStr">
        <is>
          <t>Σ Li</t>
        </is>
      </c>
      <c r="D49" s="5" t="inlineStr">
        <is>
          <t>ceo_definitions.md [1번] Li</t>
        </is>
      </c>
    </row>
    <row r="50">
      <c r="A50" s="3" t="inlineStr">
        <is>
          <t>S표본 Σ Ai</t>
        </is>
      </c>
      <c r="B50" s="8">
        <f>SUMPRODUCT(채권!$J$2:$J$1281,채권!$T$2:$T$1281)</f>
        <v/>
      </c>
      <c r="C50" s="5" t="inlineStr">
        <is>
          <t>Σ Ai</t>
        </is>
      </c>
      <c r="D50" s="5" t="inlineStr"/>
    </row>
    <row r="51">
      <c r="A51" s="3" t="inlineStr">
        <is>
          <t>S입금부족율(%)</t>
        </is>
      </c>
      <c r="B51" s="6">
        <f>IF(B50=0,0,ROUND(B49/B50*100,6))</f>
        <v/>
      </c>
      <c r="C51" s="5" t="inlineStr">
        <is>
          <t>ROUND(Σ Li / Σ Ai, 6)</t>
        </is>
      </c>
      <c r="D51" s="5" t="inlineStr">
        <is>
          <t>ceo_definitions.md [1번] S입금부족율</t>
        </is>
      </c>
    </row>
    <row r="52">
      <c r="A52" s="3" t="inlineStr">
        <is>
          <t>미회수 건수</t>
        </is>
      </c>
      <c r="B52" s="8">
        <f>SUM(채권!$Q$2:$Q$1281)</f>
        <v/>
      </c>
      <c r="C52" s="5" t="inlineStr"/>
      <c r="D52" s="5" t="inlineStr"/>
    </row>
    <row r="53">
      <c r="A53" s="3" t="inlineStr">
        <is>
          <t>채권 건수</t>
        </is>
      </c>
      <c r="B53" s="8">
        <f>COUNT(채권!$H$2:$H$1281)</f>
        <v/>
      </c>
      <c r="C53" s="5" t="inlineStr"/>
      <c r="D53" s="5" t="inlineStr"/>
    </row>
    <row r="54">
      <c r="A54" s="3" t="inlineStr">
        <is>
          <t>Ty — 대상정산금채권 전체(%)</t>
        </is>
      </c>
      <c r="B54" s="6">
        <f>ROUND(할인율퍼센트*연일수/ROUND(B34,SW_자릿수),6)</f>
        <v/>
      </c>
      <c r="C54" s="5" t="inlineStr">
        <is>
          <t>할인율 x 365 / ROUND(W전체)</t>
        </is>
      </c>
      <c r="D54" s="5" t="inlineStr"/>
    </row>
    <row r="55">
      <c r="A55" s="3" t="inlineStr">
        <is>
          <t>Ty — 만기 도래분만(%)</t>
        </is>
      </c>
      <c r="B55" s="6">
        <f>IF(B37=0,0,ROUND(할인율퍼센트*연일수/ROUND(B37,SW_자릿수),6))</f>
        <v/>
      </c>
      <c r="C55" s="5" t="inlineStr">
        <is>
          <t>할인율 x 365 / ROUND(W도래)</t>
        </is>
      </c>
      <c r="D55" s="5" t="inlineStr">
        <is>
          <t>조어 — 원문 대응 낱말 없음</t>
        </is>
      </c>
    </row>
    <row r="56">
      <c r="A56" s="3" t="inlineStr">
        <is>
          <t>Ty — 미회수 잔량만(%)</t>
        </is>
      </c>
      <c r="B56" s="6">
        <f>IF(B40=0,0,ROUND(할인율퍼센트*연일수/ROUND(B40,SW_자릿수),6))</f>
        <v/>
      </c>
      <c r="C56" s="5" t="inlineStr">
        <is>
          <t>할인율 x 365 / ROUND(W미회수)</t>
        </is>
      </c>
      <c r="D56" s="5" t="inlineStr"/>
    </row>
    <row r="57">
      <c r="A57" s="3" t="inlineStr">
        <is>
          <t>1년 회전수 (365 / 표기 W)</t>
        </is>
      </c>
      <c r="B57" s="9">
        <f>연일수/B42</f>
        <v/>
      </c>
      <c r="C57" s="5" t="inlineStr">
        <is>
          <t>365 / 표기 W</t>
        </is>
      </c>
      <c r="D57" s="5" t="inlineStr">
        <is>
          <t>대표 DM 2026-08-31 16:27</t>
        </is>
      </c>
    </row>
    <row r="58">
      <c r="A58" s="3" t="inlineStr">
        <is>
          <t>Ty수익율 — 연 환산(%)</t>
        </is>
      </c>
      <c r="B58" s="6">
        <f>B43</f>
        <v/>
      </c>
      <c r="C58" s="5" t="inlineStr">
        <is>
          <t>할인율 x 365 / 표기 W</t>
        </is>
      </c>
      <c r="D58" s="5" t="inlineStr">
        <is>
          <t>대표 DM 2026-08-31 16:27</t>
        </is>
      </c>
    </row>
    <row r="59">
      <c r="A59" s="3" t="inlineStr">
        <is>
          <t>Ty수익율 — 일 환산(%)</t>
        </is>
      </c>
      <c r="B59" s="9">
        <f>할인율퍼센트/B42</f>
        <v/>
      </c>
      <c r="C59" s="5" t="inlineStr">
        <is>
          <t>할인율 / 표기 W</t>
        </is>
      </c>
      <c r="D59" s="5" t="inlineStr">
        <is>
          <t>대표 DM 2026-08-31 16:27</t>
        </is>
      </c>
    </row>
    <row r="60">
      <c r="A60" s="3" t="inlineStr">
        <is>
          <t>검산 — 일 환산 x 365 = 연 환산</t>
        </is>
      </c>
      <c r="B60" s="14">
        <f>ROUND(할인율퍼센트/B42*연일수,6)-B43</f>
        <v/>
      </c>
      <c r="C60" s="5" t="inlineStr">
        <is>
          <t>0 이면 두 갈래가 같은 값에서 갈린다</t>
        </is>
      </c>
      <c r="D60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t>w금융일수 = Σ Ai x Di / Σ Ai</t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t>Ai 정의</t>
        </is>
      </c>
      <c r="C3" s="4" t="inlineStr">
        <is>
          <t>Ai = ID가 i인 대상정산금채권의 순지급액 x (1- 유동화투자자의 할인율)</t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t>Di 정의</t>
        </is>
      </c>
      <c r="C4" s="4" t="inlineStr">
        <is>
          <t>Di = ID가 i인 다상정산금채권의 금융일수</t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t>금액(Ai)</t>
        </is>
      </c>
      <c r="D5" s="34" t="n"/>
      <c r="E5" s="34" t="n"/>
      <c r="F5" s="34" t="n"/>
      <c r="G5" s="35" t="n"/>
      <c r="H5" s="5" t="inlineStr">
        <is>
          <t>Σ Ai x Di / Σ Ai 의 분모가 금액이다</t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11" t="inlineStr">
        <is>
          <t>플랫폼</t>
        </is>
      </c>
      <c r="B11" s="11" t="inlineStr">
        <is>
          <t>평균 금융일수 E[d]</t>
        </is>
      </c>
      <c r="C11" s="11" t="inlineStr">
        <is>
          <t>(가) 금액 실측 (입력)</t>
        </is>
      </c>
      <c r="D11" s="11" t="inlineStr">
        <is>
          <t>(나) 엑셀 MAU</t>
        </is>
      </c>
      <c r="E11" s="11" t="inlineStr">
        <is>
          <t>(다) 로스터 금액가중</t>
        </is>
      </c>
      <c r="F11" s="11" t="inlineStr">
        <is>
          <t>(가) - (나)</t>
        </is>
      </c>
      <c r="G11" s="11" t="inlineStr">
        <is>
          <t>(다) - (가)</t>
        </is>
      </c>
      <c r="H11" s="11" t="inlineStr">
        <is>
          <t>출처</t>
        </is>
      </c>
    </row>
    <row r="12">
      <c r="A12" s="3" t="inlineStr">
        <is>
          <t>카드사</t>
        </is>
      </c>
      <c r="B12" s="17">
        <f>INDEX(평균금융일수범위,1)</f>
        <v/>
      </c>
      <c r="C12" s="14">
        <f>INDEX(구성비범위,1)</f>
        <v/>
      </c>
      <c r="D12" s="17">
        <f>1-배달앱비중</f>
        <v/>
      </c>
      <c r="E12" s="17">
        <f>가맹점!B28</f>
        <v/>
      </c>
      <c r="F12" s="14">
        <f>C12-D12</f>
        <v/>
      </c>
      <c r="G12" s="21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7">
        <f>INDEX(평균금융일수범위,2)</f>
        <v/>
      </c>
      <c r="C13" s="14">
        <f>INDEX(구성비범위,2)</f>
        <v/>
      </c>
      <c r="D13" s="17">
        <f>배달앱비중*INDEX(MAU배분범위,1)</f>
        <v/>
      </c>
      <c r="E13" s="17">
        <f>가맹점!B29</f>
        <v/>
      </c>
      <c r="F13" s="14">
        <f>C13-D13</f>
        <v/>
      </c>
      <c r="G13" s="21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7">
        <f>INDEX(평균금융일수범위,3)</f>
        <v/>
      </c>
      <c r="C14" s="14">
        <f>INDEX(구성비범위,3)</f>
        <v/>
      </c>
      <c r="D14" s="17">
        <f>배달앱비중*INDEX(MAU배분범위,2)</f>
        <v/>
      </c>
      <c r="E14" s="17">
        <f>가맹점!B30</f>
        <v/>
      </c>
      <c r="F14" s="14">
        <f>C14-D14</f>
        <v/>
      </c>
      <c r="G14" s="21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7">
        <f>INDEX(평균금융일수범위,4)</f>
        <v/>
      </c>
      <c r="C15" s="14">
        <f>INDEX(구성비범위,4)</f>
        <v/>
      </c>
      <c r="D15" s="17">
        <f>배달앱비중*INDEX(MAU배분범위,3)</f>
        <v/>
      </c>
      <c r="E15" s="17">
        <f>가맹점!B31</f>
        <v/>
      </c>
      <c r="F15" s="14">
        <f>C15-D15</f>
        <v/>
      </c>
      <c r="G15" s="21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9">
        <f>SUM(C12:C15)</f>
        <v/>
      </c>
      <c r="D16" s="19">
        <f>SUM(D12:D15)</f>
        <v/>
      </c>
      <c r="E16" s="19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ROUND(SUMPRODUCT(평균금융일수범위,C12:C15),6)</f>
        <v/>
      </c>
      <c r="D17" s="37">
        <f>ROUND(SUMPRODUCT(평균금융일수범위,D12:D15),6)</f>
        <v/>
      </c>
      <c r="E17" s="37">
        <f>ROUND(SUMPRODUCT(평균금융일수범위,E12:E15),6)</f>
        <v/>
      </c>
      <c r="F17" s="9">
        <f>C17-D17</f>
        <v/>
      </c>
      <c r="G17" s="21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ROUND(할인율퍼센트*연일수/C18,6)</f>
        <v/>
      </c>
      <c r="D19" s="38">
        <f>ROUND(할인율퍼센트*연일수/D18,6)</f>
        <v/>
      </c>
      <c r="E19" s="38">
        <f>ROUND(할인율퍼센트*연일수/E18,6)</f>
        <v/>
      </c>
      <c r="F19" s="6">
        <f>C19-D19</f>
        <v/>
      </c>
      <c r="G19" s="6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2">
        <f>ROUND(SUMPRODUCT(Ed2범위,C12:C15)/C17,6)</f>
        <v/>
      </c>
      <c r="D20" s="22">
        <f>ROUND(SUMPRODUCT(Ed2범위,D12:D15)/D17,6)</f>
        <v/>
      </c>
      <c r="E20" s="22">
        <f>ROUND(SUMPRODUCT(Ed2범위,E12:E15)/E17,6)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ROUND(할인율퍼센트*연일수/ROUND(C20,SW_자릿수),6)</f>
        <v/>
      </c>
      <c r="D21" s="31">
        <f>ROUND(할인율퍼센트*연일수/ROUND(D20,SW_자릿수),6)</f>
        <v/>
      </c>
      <c r="E21" s="31">
        <f>ROUND(할인율퍼센트*연일수/ROUND(E20,SW_자릿수),6)</f>
        <v/>
      </c>
    </row>
    <row r="23" ht="30" customHeight="1">
      <c r="A23" s="11" t="inlineStr">
        <is>
          <t>확인</t>
        </is>
      </c>
      <c r="B23" s="11" t="inlineStr">
        <is>
          <t>내용</t>
        </is>
      </c>
      <c r="C23" s="11" t="inlineStr"/>
      <c r="D23" s="11" t="inlineStr"/>
      <c r="E23" s="11" t="inlineStr"/>
      <c r="F23" s="11" t="inlineStr"/>
      <c r="G23" s="11" t="inlineStr"/>
      <c r="H23" s="11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11" t="inlineStr">
        <is>
          <t>배달앱/전체</t>
        </is>
      </c>
      <c r="B28" s="11" t="inlineStr">
        <is>
          <t>카드</t>
        </is>
      </c>
      <c r="C28" s="11" t="inlineStr">
        <is>
          <t>배민</t>
        </is>
      </c>
      <c r="D28" s="11" t="inlineStr">
        <is>
          <t>쿠팡이츠</t>
        </is>
      </c>
      <c r="E28" s="11" t="inlineStr">
        <is>
          <t>요기요</t>
        </is>
      </c>
      <c r="F28" s="11" t="inlineStr">
        <is>
          <t>W금융일수</t>
        </is>
      </c>
      <c r="G28" s="11" t="inlineStr">
        <is>
          <t>Ty수익율(%)</t>
        </is>
      </c>
      <c r="H28" s="11" t="inlineStr">
        <is>
          <t>기준선(0.35) 대비</t>
        </is>
      </c>
      <c r="I28" s="11" t="inlineStr">
        <is>
          <t>비고</t>
        </is>
      </c>
    </row>
    <row r="29">
      <c r="A29" s="14" t="n">
        <v>0.3</v>
      </c>
      <c r="B29" s="17">
        <f>1-$A29</f>
        <v/>
      </c>
      <c r="C29" s="17">
        <f>$A29*INDEX(MAU배분범위,1)</f>
        <v/>
      </c>
      <c r="D29" s="17">
        <f>$A29*INDEX(MAU배분범위,2)</f>
        <v/>
      </c>
      <c r="E29" s="17">
        <f>$A29*INDEX(MAU배분범위,3)</f>
        <v/>
      </c>
      <c r="F29" s="22">
        <f>ROUND(B29*INDEX(평균금융일수범위,1)+C29*INDEX(평균금융일수범위,2)+D29*INDEX(평균금융일수범위,3)+E29*INDEX(평균금융일수범위,4),6)</f>
        <v/>
      </c>
      <c r="G29" s="31">
        <f>ROUND(할인율퍼센트*연일수/ROUND(F29,SW_자릿수),6)</f>
        <v/>
      </c>
      <c r="H29" s="5">
        <f>TEXT(F29-$F$30,"0.0000")&amp;"일 · "&amp;TEXT(G29-$G$30,"0.00")&amp;"%p"</f>
        <v/>
      </c>
      <c r="I29" s="5" t="inlineStr"/>
    </row>
    <row r="30">
      <c r="A30" s="14" t="n">
        <v>0.35</v>
      </c>
      <c r="B30" s="17">
        <f>1-$A30</f>
        <v/>
      </c>
      <c r="C30" s="17">
        <f>$A30*INDEX(MAU배분범위,1)</f>
        <v/>
      </c>
      <c r="D30" s="17">
        <f>$A30*INDEX(MAU배분범위,2)</f>
        <v/>
      </c>
      <c r="E30" s="17">
        <f>$A30*INDEX(MAU배분범위,3)</f>
        <v/>
      </c>
      <c r="F30" s="22">
        <f>ROUND(B30*INDEX(평균금융일수범위,1)+C30*INDEX(평균금융일수범위,2)+D30*INDEX(평균금융일수범위,3)+E30*INDEX(평균금융일수범위,4),6)</f>
        <v/>
      </c>
      <c r="G30" s="31">
        <f>ROUND(할인율퍼센트*연일수/ROUND(F30,SW_자릿수),6)</f>
        <v/>
      </c>
      <c r="H30" s="5">
        <f>TEXT(F30-$F$30,"0.0000")&amp;"일 · "&amp;TEXT(G30-$G$30,"0.00")&amp;"%p"</f>
        <v/>
      </c>
      <c r="I30" s="5" t="inlineStr"/>
    </row>
    <row r="31">
      <c r="A31" s="14" t="n">
        <v>0.4</v>
      </c>
      <c r="B31" s="17">
        <f>1-$A31</f>
        <v/>
      </c>
      <c r="C31" s="17">
        <f>$A31*INDEX(MAU배분범위,1)</f>
        <v/>
      </c>
      <c r="D31" s="17">
        <f>$A31*INDEX(MAU배분범위,2)</f>
        <v/>
      </c>
      <c r="E31" s="17">
        <f>$A31*INDEX(MAU배분범위,3)</f>
        <v/>
      </c>
      <c r="F31" s="22">
        <f>ROUND(B31*INDEX(평균금융일수범위,1)+C31*INDEX(평균금융일수범위,2)+D31*INDEX(평균금융일수범위,3)+E31*INDEX(평균금융일수범위,4),6)</f>
        <v/>
      </c>
      <c r="G31" s="31">
        <f>ROUND(할인율퍼센트*연일수/ROUND(F31,SW_자릿수),6)</f>
        <v/>
      </c>
      <c r="H31" s="5">
        <f>TEXT(F31-$F$30,"0.0000")&amp;"일 · "&amp;TEXT(G31-$G$30,"0.00")&amp;"%p"</f>
        <v/>
      </c>
      <c r="I31" s="5" t="inlineStr"/>
    </row>
    <row r="32">
      <c r="A32" s="17">
        <f>배달앱비중</f>
        <v/>
      </c>
      <c r="B32" s="17">
        <f>1-$A32</f>
        <v/>
      </c>
      <c r="C32" s="17">
        <f>$A32*INDEX(MAU배분범위,1)</f>
        <v/>
      </c>
      <c r="D32" s="17">
        <f>$A32*INDEX(MAU배분범위,2)</f>
        <v/>
      </c>
      <c r="E32" s="17">
        <f>$A32*INDEX(MAU배분범위,3)</f>
        <v/>
      </c>
      <c r="F32" s="22">
        <f>ROUND(B32*INDEX(평균금융일수범위,1)+C32*INDEX(평균금융일수범위,2)+D32*INDEX(평균금융일수범위,3)+E32*INDEX(평균금융일수범위,4),6)</f>
        <v/>
      </c>
      <c r="G32" s="31">
        <f>ROUND(할인율퍼센트*연일수/ROUND(F32,SW_자릿수),6)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7">
        <f>배달앱금액비중</f>
        <v/>
      </c>
      <c r="B33" s="17">
        <f>1-$A33</f>
        <v/>
      </c>
      <c r="C33" s="17">
        <f>$A33*INDEX(MAU배분범위,1)</f>
        <v/>
      </c>
      <c r="D33" s="17">
        <f>$A33*INDEX(MAU배분범위,2)</f>
        <v/>
      </c>
      <c r="E33" s="17">
        <f>$A33*INDEX(MAU배분범위,3)</f>
        <v/>
      </c>
      <c r="F33" s="22">
        <f>ROUND(B33*INDEX(평균금융일수범위,1)+C33*INDEX(평균금융일수범위,2)+D33*INDEX(평균금융일수범위,3)+E33*INDEX(평균금융일수범위,4),6)</f>
        <v/>
      </c>
      <c r="G33" s="31">
        <f>ROUND(할인율퍼센트*연일수/ROUND(F33,SW_자릿수),6)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표시값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표시값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8" t="n">
        <v>80000000</v>
      </c>
      <c r="H2" s="5" t="inlineStr">
        <is>
          <t>ledger_facts.json</t>
        </is>
      </c>
    </row>
    <row r="3">
      <c r="A3" s="5" t="inlineStr">
        <is>
          <t>화면 표시값 원본</t>
        </is>
      </c>
      <c r="B3" s="3" t="inlineStr">
        <is>
          <t>순현금</t>
        </is>
      </c>
      <c r="D3" s="5" t="inlineStr">
        <is>
          <t>ledger_facts.json cash</t>
        </is>
      </c>
      <c r="E3" s="8" t="n">
        <v>20000000</v>
      </c>
      <c r="H3" s="5" t="inlineStr">
        <is>
          <t>ledger_facts.json</t>
        </is>
      </c>
    </row>
    <row r="4">
      <c r="A4" s="5" t="inlineStr">
        <is>
          <t>화면 표시값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8" t="n">
        <v>100000000</v>
      </c>
      <c r="H4" s="5" t="inlineStr">
        <is>
          <t>ledger_facts.json</t>
        </is>
      </c>
    </row>
    <row r="5">
      <c r="A5" s="5" t="inlineStr">
        <is>
          <t>화면 표시값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표시값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표시값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9" t="n">
        <v>3.039607</v>
      </c>
      <c r="H7" s="5" t="inlineStr">
        <is>
          <t>ledger_facts.json</t>
        </is>
      </c>
    </row>
    <row r="8">
      <c r="A8" s="5" t="inlineStr">
        <is>
          <t>화면 표시값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6" t="n">
        <v>3.04</v>
      </c>
      <c r="H8" s="5" t="inlineStr">
        <is>
          <t>ledger_facts.json</t>
        </is>
      </c>
    </row>
    <row r="9">
      <c r="A9" s="5" t="inlineStr">
        <is>
          <t>화면 표시값 원본</t>
        </is>
      </c>
      <c r="B9" s="3" t="inlineStr">
        <is>
          <t>Ty수익율(%)</t>
        </is>
      </c>
      <c r="D9" s="5" t="inlineStr">
        <is>
          <t>ledger_facts.json ty</t>
        </is>
      </c>
      <c r="E9" s="6" t="n">
        <v>13.21</v>
      </c>
      <c r="H9" s="5" t="inlineStr">
        <is>
          <t>ledger_facts.json</t>
        </is>
      </c>
    </row>
    <row r="10">
      <c r="A10" s="5" t="inlineStr">
        <is>
          <t>화면 표시값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9" t="n">
        <v>0.07432800000000001</v>
      </c>
      <c r="H10" s="5" t="inlineStr">
        <is>
          <t>ledger_facts.json</t>
        </is>
      </c>
    </row>
    <row r="11">
      <c r="A11" s="5" t="inlineStr">
        <is>
          <t>화면 표시값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6" t="n">
        <v>0.07000000000000001</v>
      </c>
      <c r="H11" s="5" t="inlineStr">
        <is>
          <t>ledger_facts.json</t>
        </is>
      </c>
    </row>
    <row r="12">
      <c r="A12" s="5" t="inlineStr">
        <is>
          <t>화면 표시값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6" t="n">
        <v>0.11</v>
      </c>
      <c r="H12" s="5" t="inlineStr">
        <is>
          <t>ledger_facts.json</t>
        </is>
      </c>
    </row>
    <row r="13">
      <c r="A13" s="5" t="inlineStr">
        <is>
          <t>화면 표시값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8" t="n">
        <v>26113907</v>
      </c>
      <c r="H13" s="5" t="inlineStr">
        <is>
          <t>ledger_facts.json</t>
        </is>
      </c>
    </row>
    <row r="14">
      <c r="A14" s="5" t="inlineStr">
        <is>
          <t>화면 표시값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8" t="n">
        <v>180</v>
      </c>
      <c r="H14" s="5" t="inlineStr">
        <is>
          <t>ledger_facts.json</t>
        </is>
      </c>
    </row>
    <row r="15">
      <c r="A15" s="5" t="inlineStr">
        <is>
          <t>화면 표시값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8" t="n">
        <v>61760</v>
      </c>
      <c r="H15" s="5" t="inlineStr">
        <is>
          <t>ledger_facts.json</t>
        </is>
      </c>
    </row>
    <row r="16">
      <c r="A16" s="5" t="inlineStr">
        <is>
          <t>화면 표시값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8" t="n">
        <v>2240</v>
      </c>
      <c r="H16" s="5" t="inlineStr">
        <is>
          <t>ledger_facts.json</t>
        </is>
      </c>
    </row>
    <row r="17">
      <c r="A17" s="5" t="inlineStr">
        <is>
          <t>화면 표시값 원본</t>
        </is>
      </c>
      <c r="B17" s="3" t="inlineStr">
        <is>
          <t>채권 Di 최소</t>
        </is>
      </c>
      <c r="D17" s="5" t="inlineStr">
        <is>
          <t>ledger_facts.json diRange[0]</t>
        </is>
      </c>
      <c r="E17" s="8" t="n">
        <v>1</v>
      </c>
      <c r="H17" s="5" t="inlineStr">
        <is>
          <t>ledger_facts.json</t>
        </is>
      </c>
    </row>
    <row r="18">
      <c r="A18" s="5" t="inlineStr">
        <is>
          <t>화면 표시값 원본</t>
        </is>
      </c>
      <c r="B18" s="3" t="inlineStr">
        <is>
          <t>채권 Di 최대</t>
        </is>
      </c>
      <c r="D18" s="5" t="inlineStr">
        <is>
          <t>ledger_facts.json diRange[1]</t>
        </is>
      </c>
      <c r="E18" s="8" t="n">
        <v>13</v>
      </c>
      <c r="H18" s="5" t="inlineStr">
        <is>
          <t>ledger_facts.json</t>
        </is>
      </c>
    </row>
    <row r="19">
      <c r="A19" s="5" t="inlineStr">
        <is>
          <t>화면 표시값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8" t="n">
        <v>8</v>
      </c>
      <c r="H19" s="5" t="inlineStr">
        <is>
          <t>ledger_facts.json</t>
        </is>
      </c>
    </row>
    <row r="20">
      <c r="A20" s="5" t="inlineStr">
        <is>
          <t>화면 표시값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8" t="n">
        <v>3</v>
      </c>
      <c r="H20" s="5" t="inlineStr">
        <is>
          <t>ledger_facts.json</t>
        </is>
      </c>
    </row>
    <row r="21">
      <c r="A21" s="5" t="inlineStr">
        <is>
          <t>화면 표시값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8" t="n">
        <v>7</v>
      </c>
      <c r="H21" s="5" t="inlineStr">
        <is>
          <t>ledger_facts.json</t>
        </is>
      </c>
    </row>
    <row r="22">
      <c r="A22" s="5" t="inlineStr">
        <is>
          <t>화면 표시값 원본</t>
        </is>
      </c>
      <c r="B22" s="3" t="inlineStr">
        <is>
          <t>주간 PA</t>
        </is>
      </c>
      <c r="D22" s="5" t="inlineStr">
        <is>
          <t>ledger_facts.json weekExec</t>
        </is>
      </c>
      <c r="E22" s="8" t="n">
        <v>179970919</v>
      </c>
      <c r="H22" s="5" t="inlineStr">
        <is>
          <t>ledger_facts.json</t>
        </is>
      </c>
    </row>
    <row r="23">
      <c r="A23" s="5" t="inlineStr">
        <is>
          <t>화면 표시값 원본</t>
        </is>
      </c>
      <c r="B23" s="3" t="inlineStr">
        <is>
          <t>주간 PM</t>
        </is>
      </c>
      <c r="D23" s="5" t="inlineStr">
        <is>
          <t>ledger_facts.json weekProfit</t>
        </is>
      </c>
      <c r="E23" s="8" t="n">
        <v>61175</v>
      </c>
      <c r="H23" s="5" t="inlineStr">
        <is>
          <t>ledger_facts.json</t>
        </is>
      </c>
    </row>
    <row r="24">
      <c r="A24" s="5" t="inlineStr">
        <is>
          <t>화면 표시값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8" t="n">
        <v>180032111</v>
      </c>
      <c r="H24" s="5" t="inlineStr">
        <is>
          <t>ledger_facts.json</t>
        </is>
      </c>
    </row>
    <row r="25">
      <c r="A25" s="5" t="inlineStr">
        <is>
          <t>화면 표시값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8" t="n">
        <v>198184</v>
      </c>
      <c r="H25" s="5" t="inlineStr">
        <is>
          <t>ledger_facts.json</t>
        </is>
      </c>
    </row>
    <row r="26">
      <c r="A26" s="5" t="inlineStr">
        <is>
          <t>화면 표시값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8" t="n">
        <v>137009</v>
      </c>
      <c r="H26" s="5" t="inlineStr">
        <is>
          <t>ledger_facts.json</t>
        </is>
      </c>
    </row>
    <row r="27">
      <c r="A27" s="5" t="inlineStr">
        <is>
          <t>화면 표시값 원본</t>
        </is>
      </c>
      <c r="B27" s="3" t="inlineStr">
        <is>
          <t>주간 PwD raw</t>
        </is>
      </c>
      <c r="D27" s="5" t="inlineStr">
        <is>
          <t>ledger_facts.json weekWRaw</t>
        </is>
      </c>
      <c r="E27" s="9" t="n">
        <v>3.107588</v>
      </c>
      <c r="H27" s="5" t="inlineStr">
        <is>
          <t>ledger_facts.json</t>
        </is>
      </c>
    </row>
    <row r="28">
      <c r="A28" s="5" t="inlineStr">
        <is>
          <t>화면 표시값 원본</t>
        </is>
      </c>
      <c r="B28" s="3" t="inlineStr">
        <is>
          <t>주간 PwD 표기</t>
        </is>
      </c>
      <c r="D28" s="5" t="inlineStr">
        <is>
          <t>ledger_facts.json weekW</t>
        </is>
      </c>
      <c r="E28" s="6" t="n">
        <v>3.11</v>
      </c>
      <c r="H28" s="5" t="inlineStr">
        <is>
          <t>ledger_facts.json</t>
        </is>
      </c>
    </row>
    <row r="29">
      <c r="A29" s="5" t="inlineStr">
        <is>
          <t>화면 표시값 원본</t>
        </is>
      </c>
      <c r="B29" s="3" t="inlineStr">
        <is>
          <t>주간 PEC</t>
        </is>
      </c>
      <c r="D29" s="5" t="inlineStr">
        <is>
          <t>ledger_facts.json weekPsc</t>
        </is>
      </c>
      <c r="E29" s="8" t="n">
        <v>140000000</v>
      </c>
      <c r="H29" s="5" t="inlineStr">
        <is>
          <t>ledger_facts.json</t>
        </is>
      </c>
    </row>
    <row r="30">
      <c r="A30" s="5" t="inlineStr">
        <is>
          <t>화면 표시값 원본</t>
        </is>
      </c>
      <c r="B30" s="3" t="inlineStr">
        <is>
          <t>주간 Σ(Ai x Di)</t>
        </is>
      </c>
      <c r="D30" s="5" t="inlineStr">
        <is>
          <t>ledger_facts.json weekAD</t>
        </is>
      </c>
      <c r="E30" s="8" t="n">
        <v>559275516</v>
      </c>
      <c r="H30" s="5" t="inlineStr">
        <is>
          <t>ledger_facts.json</t>
        </is>
      </c>
    </row>
    <row r="31">
      <c r="A31" s="5" t="inlineStr">
        <is>
          <t>화면 표시값 원본</t>
        </is>
      </c>
      <c r="B31" s="3" t="inlineStr">
        <is>
          <t>주간 ④(%)</t>
        </is>
      </c>
      <c r="D31" s="5" t="inlineStr">
        <is>
          <t>ledger_facts.json weekTy</t>
        </is>
      </c>
      <c r="E31" s="6" t="n">
        <v>3.99</v>
      </c>
      <c r="H31" s="5" t="inlineStr">
        <is>
          <t>ledger_facts.json</t>
        </is>
      </c>
    </row>
    <row r="32">
      <c r="A32" s="5" t="inlineStr">
        <is>
          <t>화면 표시값 원본</t>
        </is>
      </c>
      <c r="B32" s="3" t="inlineStr">
        <is>
          <t>주간 ⑤(%)</t>
        </is>
      </c>
      <c r="D32" s="5" t="inlineStr">
        <is>
          <t>ledger_facts.json weekTyAsset</t>
        </is>
      </c>
      <c r="E32" s="6" t="n">
        <v>3.19</v>
      </c>
      <c r="H32" s="5" t="inlineStr">
        <is>
          <t>ledger_facts.json</t>
        </is>
      </c>
    </row>
    <row r="33">
      <c r="A33" s="5" t="inlineStr">
        <is>
          <t>화면 표시값 원본</t>
        </is>
      </c>
      <c r="B33" s="3" t="inlineStr">
        <is>
          <t>전 구간 PA</t>
        </is>
      </c>
      <c r="D33" s="5" t="inlineStr">
        <is>
          <t>ledger_facts.json fullExec</t>
        </is>
      </c>
      <c r="E33" s="8" t="n">
        <v>4700503303</v>
      </c>
      <c r="H33" s="5" t="inlineStr">
        <is>
          <t>ledger_facts.json</t>
        </is>
      </c>
    </row>
    <row r="34">
      <c r="A34" s="5" t="inlineStr">
        <is>
          <t>화면 표시값 원본</t>
        </is>
      </c>
      <c r="B34" s="3" t="inlineStr">
        <is>
          <t>전 구간 PM</t>
        </is>
      </c>
      <c r="D34" s="5" t="inlineStr">
        <is>
          <t>ledger_facts.json fullProfit</t>
        </is>
      </c>
      <c r="E34" s="8" t="n">
        <v>1787417</v>
      </c>
      <c r="H34" s="5" t="inlineStr">
        <is>
          <t>ledger_facts.json</t>
        </is>
      </c>
    </row>
    <row r="35">
      <c r="A35" s="5" t="inlineStr">
        <is>
          <t>화면 표시값 원본</t>
        </is>
      </c>
      <c r="B35" s="3" t="inlineStr">
        <is>
          <t>전 구간 채권매입수수료</t>
        </is>
      </c>
      <c r="D35" s="5" t="inlineStr">
        <is>
          <t>ledger_facts.json tyByDate [5] 합</t>
        </is>
      </c>
      <c r="E35" s="8" t="n">
        <v>5176160</v>
      </c>
      <c r="H35" s="5" t="inlineStr">
        <is>
          <t>ledger_facts.json</t>
        </is>
      </c>
    </row>
    <row r="36">
      <c r="A36" s="5" t="inlineStr">
        <is>
          <t>화면 표시값 원본</t>
        </is>
      </c>
      <c r="B36" s="3" t="inlineStr">
        <is>
          <t>전 구간 부족액 차감</t>
        </is>
      </c>
      <c r="D36" s="5" t="inlineStr">
        <is>
          <t>ledger_facts.json tyByDate [6] 합</t>
        </is>
      </c>
      <c r="E36" s="8" t="n">
        <v>3388743</v>
      </c>
      <c r="H36" s="5" t="inlineStr">
        <is>
          <t>ledger_facts.json</t>
        </is>
      </c>
    </row>
    <row r="37">
      <c r="A37" s="5" t="inlineStr">
        <is>
          <t>화면 표시값 원본</t>
        </is>
      </c>
      <c r="B37" s="3" t="inlineStr">
        <is>
          <t>전 구간 차감/수수료(%)</t>
        </is>
      </c>
      <c r="D37" s="5" t="inlineStr">
        <is>
          <t>ledger_facts.json tyByDate [6] 합 ÷ [5] 합</t>
        </is>
      </c>
      <c r="E37" s="6" t="n">
        <v>65.47</v>
      </c>
      <c r="H37" s="5" t="inlineStr">
        <is>
          <t>ledger_facts.json</t>
        </is>
      </c>
    </row>
    <row r="38">
      <c r="A38" s="5" t="inlineStr">
        <is>
          <t>화면 표시값 원본</t>
        </is>
      </c>
      <c r="B38" s="3" t="inlineStr">
        <is>
          <t>전 구간 PwD raw</t>
        </is>
      </c>
      <c r="D38" s="5" t="inlineStr">
        <is>
          <t>daily_ledger.py LEDGER w6 · exec — Σ(w6 x 투자실행금) ÷ Σ 투자실행금</t>
        </is>
      </c>
      <c r="E38" s="9" t="n">
        <v>3.034222</v>
      </c>
      <c r="H38" s="5" t="inlineStr">
        <is>
          <t>daily_ledger.py</t>
        </is>
      </c>
    </row>
    <row r="39">
      <c r="A39" s="5" t="inlineStr">
        <is>
          <t>화면 표시값 원본</t>
        </is>
      </c>
      <c r="B39" s="3" t="inlineStr">
        <is>
          <t>전 구간 PwD 표기</t>
        </is>
      </c>
      <c r="D39" s="5" t="inlineStr">
        <is>
          <t>ledger_facts.json fullW</t>
        </is>
      </c>
      <c r="E39" s="6" t="n">
        <v>3.03</v>
      </c>
      <c r="H39" s="5" t="inlineStr">
        <is>
          <t>ledger_facts.json</t>
        </is>
      </c>
    </row>
    <row r="40">
      <c r="A40" s="5" t="inlineStr">
        <is>
          <t>화면 표시값 원본</t>
        </is>
      </c>
      <c r="B40" s="3" t="inlineStr">
        <is>
          <t>전 구간 PEC</t>
        </is>
      </c>
      <c r="D40" s="5" t="inlineStr">
        <is>
          <t>ledger_facts.json fullPsc</t>
        </is>
      </c>
      <c r="E40" s="8" t="n">
        <v>3600000000</v>
      </c>
      <c r="H40" s="5" t="inlineStr">
        <is>
          <t>ledger_facts.json</t>
        </is>
      </c>
    </row>
    <row r="41">
      <c r="A41" s="5" t="inlineStr">
        <is>
          <t>화면 표시값 원본</t>
        </is>
      </c>
      <c r="B41" s="3" t="inlineStr">
        <is>
          <t>전 구간 Σ(Ai x Di)</t>
        </is>
      </c>
      <c r="D41" s="5" t="inlineStr">
        <is>
          <t>ledger_facts.json fullAD</t>
        </is>
      </c>
      <c r="E41" s="8" t="n">
        <v>14262370838</v>
      </c>
      <c r="H41" s="5" t="inlineStr">
        <is>
          <t>ledger_facts.json</t>
        </is>
      </c>
    </row>
    <row r="42">
      <c r="A42" s="5" t="inlineStr">
        <is>
          <t>화면 표시값 원본</t>
        </is>
      </c>
      <c r="B42" s="3" t="inlineStr">
        <is>
          <t>전 구간 ④(%)</t>
        </is>
      </c>
      <c r="D42" s="5" t="inlineStr">
        <is>
          <t>ledger_facts.json fullTy</t>
        </is>
      </c>
      <c r="E42" s="6" t="n">
        <v>4.57</v>
      </c>
      <c r="H42" s="5" t="inlineStr">
        <is>
          <t>ledger_facts.json</t>
        </is>
      </c>
    </row>
    <row r="43">
      <c r="A43" s="5" t="inlineStr">
        <is>
          <t>화면 표시값 원본</t>
        </is>
      </c>
      <c r="B43" s="3" t="inlineStr">
        <is>
          <t>전 구간 ⑤(%)</t>
        </is>
      </c>
      <c r="D43" s="5" t="inlineStr">
        <is>
          <t>ledger_facts.json fullTyAsset</t>
        </is>
      </c>
      <c r="E43" s="6" t="n">
        <v>3.65</v>
      </c>
      <c r="H43" s="5" t="inlineStr">
        <is>
          <t>ledger_facts.json</t>
        </is>
      </c>
    </row>
    <row r="44">
      <c r="A44" s="5" t="inlineStr">
        <is>
          <t>화면 표시값 원본</t>
        </is>
      </c>
      <c r="B44" s="3" t="inlineStr">
        <is>
          <t>김성호떡볶이 본점 — 투자실행액</t>
        </is>
      </c>
      <c r="D44" s="5" t="inlineStr">
        <is>
          <t>ledger_facts.json merchants[0]</t>
        </is>
      </c>
      <c r="E44" s="8" t="n">
        <v>19334743</v>
      </c>
      <c r="H44" s="5" t="inlineStr">
        <is>
          <t>ledger_facts.json</t>
        </is>
      </c>
    </row>
    <row r="45">
      <c r="A45" s="5" t="inlineStr">
        <is>
          <t>화면 표시값 원본</t>
        </is>
      </c>
      <c r="B45" s="3" t="inlineStr">
        <is>
          <t>김성호떡볶이 본점 — W</t>
        </is>
      </c>
      <c r="D45" s="5" t="inlineStr">
        <is>
          <t>ledger_facts.json merchants[0]</t>
        </is>
      </c>
      <c r="E45" s="6" t="n">
        <v>3.02</v>
      </c>
      <c r="H45" s="5" t="inlineStr">
        <is>
          <t>ledger_facts.json</t>
        </is>
      </c>
    </row>
    <row r="46">
      <c r="A46" s="5" t="inlineStr">
        <is>
          <t>화면 표시값 원본</t>
        </is>
      </c>
      <c r="B46" s="3" t="inlineStr">
        <is>
          <t>김성호떡볶이 본점 — W raw</t>
        </is>
      </c>
      <c r="D46" s="5" t="inlineStr">
        <is>
          <t>daily_ledger.py MERCHANTS w6</t>
        </is>
      </c>
      <c r="E46" s="9" t="n">
        <v>3.020016</v>
      </c>
      <c r="H46" s="5" t="inlineStr">
        <is>
          <t>daily_ledger.py</t>
        </is>
      </c>
    </row>
    <row r="47">
      <c r="A47" s="5" t="inlineStr">
        <is>
          <t>화면 표시값 원본</t>
        </is>
      </c>
      <c r="B47" s="3" t="inlineStr">
        <is>
          <t>김성호떡볶이 본점 — Ty수익율(%)</t>
        </is>
      </c>
      <c r="D47" s="5" t="inlineStr">
        <is>
          <t>ledger_facts.json merchants[0]</t>
        </is>
      </c>
      <c r="E47" s="6" t="n">
        <v>13.29</v>
      </c>
      <c r="H47" s="5" t="inlineStr">
        <is>
          <t>ledger_facts.json</t>
        </is>
      </c>
    </row>
    <row r="48">
      <c r="A48" s="5" t="inlineStr">
        <is>
          <t>화면 표시값 원본</t>
        </is>
      </c>
      <c r="B48" s="3" t="inlineStr">
        <is>
          <t>김성호떡볶이 본점 — S입금부족율(%)</t>
        </is>
      </c>
      <c r="D48" s="5" t="inlineStr">
        <is>
          <t>ledger_facts.json merchants[0]</t>
        </is>
      </c>
      <c r="E48" s="6" t="n">
        <v>0.07000000000000001</v>
      </c>
      <c r="H48" s="5" t="inlineStr">
        <is>
          <t>ledger_facts.json</t>
        </is>
      </c>
    </row>
    <row r="49">
      <c r="A49" s="5" t="inlineStr">
        <is>
          <t>화면 표시값 원본</t>
        </is>
      </c>
      <c r="B49" s="3" t="inlineStr">
        <is>
          <t>김성호떡볶이 본점 — 비중(%)</t>
        </is>
      </c>
      <c r="D49" s="5" t="inlineStr">
        <is>
          <t>ledger_facts.json merchants[0]</t>
        </is>
      </c>
      <c r="E49" s="25" t="n">
        <v>24.2</v>
      </c>
      <c r="H49" s="5" t="inlineStr">
        <is>
          <t>ledger_facts.json</t>
        </is>
      </c>
    </row>
    <row r="50">
      <c r="A50" s="5" t="inlineStr">
        <is>
          <t>화면 표시값 원본</t>
        </is>
      </c>
      <c r="B50" s="3" t="inlineStr">
        <is>
          <t>초록치킨 서초점 — 투자실행액</t>
        </is>
      </c>
      <c r="D50" s="5" t="inlineStr">
        <is>
          <t>ledger_facts.json merchants[1]</t>
        </is>
      </c>
      <c r="E50" s="8" t="n">
        <v>18070801</v>
      </c>
      <c r="H50" s="5" t="inlineStr">
        <is>
          <t>ledger_facts.json</t>
        </is>
      </c>
    </row>
    <row r="51">
      <c r="A51" s="5" t="inlineStr">
        <is>
          <t>화면 표시값 원본</t>
        </is>
      </c>
      <c r="B51" s="3" t="inlineStr">
        <is>
          <t>초록치킨 서초점 — W</t>
        </is>
      </c>
      <c r="D51" s="5" t="inlineStr">
        <is>
          <t>ledger_facts.json merchants[1]</t>
        </is>
      </c>
      <c r="E51" s="6" t="n">
        <v>3.45</v>
      </c>
      <c r="H51" s="5" t="inlineStr">
        <is>
          <t>ledger_facts.json</t>
        </is>
      </c>
    </row>
    <row r="52">
      <c r="A52" s="5" t="inlineStr">
        <is>
          <t>화면 표시값 원본</t>
        </is>
      </c>
      <c r="B52" s="3" t="inlineStr">
        <is>
          <t>초록치킨 서초점 — W raw</t>
        </is>
      </c>
      <c r="D52" s="5" t="inlineStr">
        <is>
          <t>daily_ledger.py MERCHANTS w6</t>
        </is>
      </c>
      <c r="E52" s="9" t="n">
        <v>3.448306</v>
      </c>
      <c r="H52" s="5" t="inlineStr">
        <is>
          <t>daily_ledger.py</t>
        </is>
      </c>
    </row>
    <row r="53">
      <c r="A53" s="5" t="inlineStr">
        <is>
          <t>화면 표시값 원본</t>
        </is>
      </c>
      <c r="B53" s="3" t="inlineStr">
        <is>
          <t>초록치킨 서초점 — Ty수익율(%)</t>
        </is>
      </c>
      <c r="D53" s="5" t="inlineStr">
        <is>
          <t>ledger_facts.json merchants[1]</t>
        </is>
      </c>
      <c r="E53" s="6" t="n">
        <v>11.64</v>
      </c>
      <c r="H53" s="5" t="inlineStr">
        <is>
          <t>ledger_facts.json</t>
        </is>
      </c>
    </row>
    <row r="54">
      <c r="A54" s="5" t="inlineStr">
        <is>
          <t>화면 표시값 원본</t>
        </is>
      </c>
      <c r="B54" s="3" t="inlineStr">
        <is>
          <t>초록치킨 서초점 — S입금부족율(%)</t>
        </is>
      </c>
      <c r="D54" s="5" t="inlineStr">
        <is>
          <t>ledger_facts.json merchants[1]</t>
        </is>
      </c>
      <c r="E54" s="6" t="n">
        <v>0.1</v>
      </c>
      <c r="H54" s="5" t="inlineStr">
        <is>
          <t>ledger_facts.json</t>
        </is>
      </c>
    </row>
    <row r="55">
      <c r="A55" s="5" t="inlineStr">
        <is>
          <t>화면 표시값 원본</t>
        </is>
      </c>
      <c r="B55" s="3" t="inlineStr">
        <is>
          <t>초록치킨 서초점 — 비중(%)</t>
        </is>
      </c>
      <c r="D55" s="5" t="inlineStr">
        <is>
          <t>ledger_facts.json merchants[1]</t>
        </is>
      </c>
      <c r="E55" s="25" t="n">
        <v>22.6</v>
      </c>
      <c r="H55" s="5" t="inlineStr">
        <is>
          <t>ledger_facts.json</t>
        </is>
      </c>
    </row>
    <row r="56">
      <c r="A56" s="5" t="inlineStr">
        <is>
          <t>화면 표시값 원본</t>
        </is>
      </c>
      <c r="B56" s="3" t="inlineStr">
        <is>
          <t>김밥나라 — 투자실행액</t>
        </is>
      </c>
      <c r="D56" s="5" t="inlineStr">
        <is>
          <t>ledger_facts.json merchants[2]</t>
        </is>
      </c>
      <c r="E56" s="8" t="n">
        <v>11827388</v>
      </c>
      <c r="H56" s="5" t="inlineStr">
        <is>
          <t>ledger_facts.json</t>
        </is>
      </c>
    </row>
    <row r="57">
      <c r="A57" s="5" t="inlineStr">
        <is>
          <t>화면 표시값 원본</t>
        </is>
      </c>
      <c r="B57" s="3" t="inlineStr">
        <is>
          <t>김밥나라 — W</t>
        </is>
      </c>
      <c r="D57" s="5" t="inlineStr">
        <is>
          <t>ledger_facts.json merchants[2]</t>
        </is>
      </c>
      <c r="E57" s="6" t="n">
        <v>3.27</v>
      </c>
      <c r="H57" s="5" t="inlineStr">
        <is>
          <t>ledger_facts.json</t>
        </is>
      </c>
    </row>
    <row r="58">
      <c r="A58" s="5" t="inlineStr">
        <is>
          <t>화면 표시값 원본</t>
        </is>
      </c>
      <c r="B58" s="3" t="inlineStr">
        <is>
          <t>김밥나라 — W raw</t>
        </is>
      </c>
      <c r="D58" s="5" t="inlineStr">
        <is>
          <t>daily_ledger.py MERCHANTS w6</t>
        </is>
      </c>
      <c r="E58" s="9" t="n">
        <v>3.269323</v>
      </c>
      <c r="H58" s="5" t="inlineStr">
        <is>
          <t>daily_ledger.py</t>
        </is>
      </c>
    </row>
    <row r="59">
      <c r="A59" s="5" t="inlineStr">
        <is>
          <t>화면 표시값 원본</t>
        </is>
      </c>
      <c r="B59" s="3" t="inlineStr">
        <is>
          <t>김밥나라 — Ty수익율(%)</t>
        </is>
      </c>
      <c r="D59" s="5" t="inlineStr">
        <is>
          <t>ledger_facts.json merchants[2]</t>
        </is>
      </c>
      <c r="E59" s="6" t="n">
        <v>12.28</v>
      </c>
      <c r="H59" s="5" t="inlineStr">
        <is>
          <t>ledger_facts.json</t>
        </is>
      </c>
    </row>
    <row r="60">
      <c r="A60" s="5" t="inlineStr">
        <is>
          <t>화면 표시값 원본</t>
        </is>
      </c>
      <c r="B60" s="3" t="inlineStr">
        <is>
          <t>김밥나라 — S입금부족율(%)</t>
        </is>
      </c>
      <c r="D60" s="5" t="inlineStr">
        <is>
          <t>ledger_facts.json merchants[2]</t>
        </is>
      </c>
      <c r="E60" s="6" t="n">
        <v>0.09</v>
      </c>
      <c r="H60" s="5" t="inlineStr">
        <is>
          <t>ledger_facts.json</t>
        </is>
      </c>
    </row>
    <row r="61">
      <c r="A61" s="5" t="inlineStr">
        <is>
          <t>화면 표시값 원본</t>
        </is>
      </c>
      <c r="B61" s="3" t="inlineStr">
        <is>
          <t>김밥나라 — 비중(%)</t>
        </is>
      </c>
      <c r="D61" s="5" t="inlineStr">
        <is>
          <t>ledger_facts.json merchants[2]</t>
        </is>
      </c>
      <c r="E61" s="25" t="n">
        <v>14.8</v>
      </c>
      <c r="H61" s="5" t="inlineStr">
        <is>
          <t>ledger_facts.json</t>
        </is>
      </c>
    </row>
    <row r="62">
      <c r="A62" s="5" t="inlineStr">
        <is>
          <t>화면 표시값 원본</t>
        </is>
      </c>
      <c r="B62" s="3" t="inlineStr">
        <is>
          <t>골목냉면 — 투자실행액</t>
        </is>
      </c>
      <c r="D62" s="5" t="inlineStr">
        <is>
          <t>ledger_facts.json merchants[3]</t>
        </is>
      </c>
      <c r="E62" s="8" t="n">
        <v>9286833</v>
      </c>
      <c r="H62" s="5" t="inlineStr">
        <is>
          <t>ledger_facts.json</t>
        </is>
      </c>
    </row>
    <row r="63">
      <c r="A63" s="5" t="inlineStr">
        <is>
          <t>화면 표시값 원본</t>
        </is>
      </c>
      <c r="B63" s="3" t="inlineStr">
        <is>
          <t>골목냉면 — W</t>
        </is>
      </c>
      <c r="D63" s="5" t="inlineStr">
        <is>
          <t>ledger_facts.json merchants[3]</t>
        </is>
      </c>
      <c r="E63" s="6" t="n">
        <v>3.09</v>
      </c>
      <c r="H63" s="5" t="inlineStr">
        <is>
          <t>ledger_facts.json</t>
        </is>
      </c>
    </row>
    <row r="64">
      <c r="A64" s="5" t="inlineStr">
        <is>
          <t>화면 표시값 원본</t>
        </is>
      </c>
      <c r="B64" s="3" t="inlineStr">
        <is>
          <t>골목냉면 — W raw</t>
        </is>
      </c>
      <c r="D64" s="5" t="inlineStr">
        <is>
          <t>daily_ledger.py MERCHANTS w6</t>
        </is>
      </c>
      <c r="E64" s="9" t="n">
        <v>3.09034</v>
      </c>
      <c r="H64" s="5" t="inlineStr">
        <is>
          <t>daily_ledger.py</t>
        </is>
      </c>
    </row>
    <row r="65">
      <c r="A65" s="5" t="inlineStr">
        <is>
          <t>화면 표시값 원본</t>
        </is>
      </c>
      <c r="B65" s="3" t="inlineStr">
        <is>
          <t>골목냉면 — Ty수익율(%)</t>
        </is>
      </c>
      <c r="D65" s="5" t="inlineStr">
        <is>
          <t>ledger_facts.json merchants[3]</t>
        </is>
      </c>
      <c r="E65" s="6" t="n">
        <v>12.99</v>
      </c>
      <c r="H65" s="5" t="inlineStr">
        <is>
          <t>ledger_facts.json</t>
        </is>
      </c>
    </row>
    <row r="66">
      <c r="A66" s="5" t="inlineStr">
        <is>
          <t>화면 표시값 원본</t>
        </is>
      </c>
      <c r="B66" s="3" t="inlineStr">
        <is>
          <t>골목냉면 — S입금부족율(%)</t>
        </is>
      </c>
      <c r="D66" s="5" t="inlineStr">
        <is>
          <t>ledger_facts.json merchants[3]</t>
        </is>
      </c>
      <c r="E66" s="6" t="n">
        <v>0.08</v>
      </c>
      <c r="H66" s="5" t="inlineStr">
        <is>
          <t>ledger_facts.json</t>
        </is>
      </c>
    </row>
    <row r="67">
      <c r="A67" s="5" t="inlineStr">
        <is>
          <t>화면 표시값 원본</t>
        </is>
      </c>
      <c r="B67" s="3" t="inlineStr">
        <is>
          <t>골목냉면 — 비중(%)</t>
        </is>
      </c>
      <c r="D67" s="5" t="inlineStr">
        <is>
          <t>ledger_facts.json merchants[3]</t>
        </is>
      </c>
      <c r="E67" s="25" t="n">
        <v>11.6</v>
      </c>
      <c r="H67" s="5" t="inlineStr">
        <is>
          <t>ledger_facts.json</t>
        </is>
      </c>
    </row>
    <row r="68">
      <c r="A68" s="5" t="inlineStr">
        <is>
          <t>화면 표시값 원본</t>
        </is>
      </c>
      <c r="B68" s="3" t="inlineStr">
        <is>
          <t>달빛곱창 홍대점 — 투자실행액</t>
        </is>
      </c>
      <c r="D68" s="5" t="inlineStr">
        <is>
          <t>ledger_facts.json merchants[4]</t>
        </is>
      </c>
      <c r="E68" s="8" t="n">
        <v>7074838</v>
      </c>
      <c r="H68" s="5" t="inlineStr">
        <is>
          <t>ledger_facts.json</t>
        </is>
      </c>
    </row>
    <row r="69">
      <c r="A69" s="5" t="inlineStr">
        <is>
          <t>화면 표시값 원본</t>
        </is>
      </c>
      <c r="B69" s="3" t="inlineStr">
        <is>
          <t>달빛곱창 홍대점 — W</t>
        </is>
      </c>
      <c r="D69" s="5" t="inlineStr">
        <is>
          <t>ledger_facts.json merchants[4]</t>
        </is>
      </c>
      <c r="E69" s="6" t="n">
        <v>2.84</v>
      </c>
      <c r="H69" s="5" t="inlineStr">
        <is>
          <t>ledger_facts.json</t>
        </is>
      </c>
    </row>
    <row r="70">
      <c r="A70" s="5" t="inlineStr">
        <is>
          <t>화면 표시값 원본</t>
        </is>
      </c>
      <c r="B70" s="3" t="inlineStr">
        <is>
          <t>달빛곱창 홍대점 — W raw</t>
        </is>
      </c>
      <c r="D70" s="5" t="inlineStr">
        <is>
          <t>daily_ledger.py MERCHANTS w6</t>
        </is>
      </c>
      <c r="E70" s="9" t="n">
        <v>2.839762</v>
      </c>
      <c r="H70" s="5" t="inlineStr">
        <is>
          <t>daily_ledger.py</t>
        </is>
      </c>
    </row>
    <row r="71">
      <c r="A71" s="5" t="inlineStr">
        <is>
          <t>화면 표시값 원본</t>
        </is>
      </c>
      <c r="B71" s="3" t="inlineStr">
        <is>
          <t>달빛곱창 홍대점 — Ty수익율(%)</t>
        </is>
      </c>
      <c r="D71" s="5" t="inlineStr">
        <is>
          <t>ledger_facts.json merchants[4]</t>
        </is>
      </c>
      <c r="E71" s="6" t="n">
        <v>14.14</v>
      </c>
      <c r="H71" s="5" t="inlineStr">
        <is>
          <t>ledger_facts.json</t>
        </is>
      </c>
    </row>
    <row r="72">
      <c r="A72" s="5" t="inlineStr">
        <is>
          <t>화면 표시값 원본</t>
        </is>
      </c>
      <c r="B72" s="3" t="inlineStr">
        <is>
          <t>달빛곱창 홍대점 — S입금부족율(%)</t>
        </is>
      </c>
      <c r="D72" s="5" t="inlineStr">
        <is>
          <t>ledger_facts.json merchants[4]</t>
        </is>
      </c>
      <c r="E72" s="6" t="n">
        <v>0.06</v>
      </c>
      <c r="H72" s="5" t="inlineStr">
        <is>
          <t>ledger_facts.json</t>
        </is>
      </c>
    </row>
    <row r="73">
      <c r="A73" s="5" t="inlineStr">
        <is>
          <t>화면 표시값 원본</t>
        </is>
      </c>
      <c r="B73" s="3" t="inlineStr">
        <is>
          <t>달빛곱창 홍대점 — 비중(%)</t>
        </is>
      </c>
      <c r="D73" s="5" t="inlineStr">
        <is>
          <t>ledger_facts.json merchants[4]</t>
        </is>
      </c>
      <c r="E73" s="25" t="n">
        <v>8.800000000000001</v>
      </c>
      <c r="H73" s="5" t="inlineStr">
        <is>
          <t>ledger_facts.json</t>
        </is>
      </c>
    </row>
    <row r="74">
      <c r="A74" s="5" t="inlineStr">
        <is>
          <t>화면 표시값 원본</t>
        </is>
      </c>
      <c r="B74" s="3" t="inlineStr">
        <is>
          <t>청춘포차 신촌점 — 투자실행액</t>
        </is>
      </c>
      <c r="D74" s="5" t="inlineStr">
        <is>
          <t>ledger_facts.json merchants[5]</t>
        </is>
      </c>
      <c r="E74" s="8" t="n">
        <v>5624058</v>
      </c>
      <c r="H74" s="5" t="inlineStr">
        <is>
          <t>ledger_facts.json</t>
        </is>
      </c>
    </row>
    <row r="75">
      <c r="A75" s="5" t="inlineStr">
        <is>
          <t>화면 표시값 원본</t>
        </is>
      </c>
      <c r="B75" s="3" t="inlineStr">
        <is>
          <t>청춘포차 신촌점 — W</t>
        </is>
      </c>
      <c r="D75" s="5" t="inlineStr">
        <is>
          <t>ledger_facts.json merchants[5]</t>
        </is>
      </c>
      <c r="E75" s="6" t="n">
        <v>2.7</v>
      </c>
      <c r="H75" s="5" t="inlineStr">
        <is>
          <t>ledger_facts.json</t>
        </is>
      </c>
    </row>
    <row r="76">
      <c r="A76" s="5" t="inlineStr">
        <is>
          <t>화면 표시값 원본</t>
        </is>
      </c>
      <c r="B76" s="3" t="inlineStr">
        <is>
          <t>청춘포차 신촌점 — W raw</t>
        </is>
      </c>
      <c r="D76" s="5" t="inlineStr">
        <is>
          <t>daily_ledger.py MERCHANTS w6</t>
        </is>
      </c>
      <c r="E76" s="9" t="n">
        <v>2.696576</v>
      </c>
      <c r="H76" s="5" t="inlineStr">
        <is>
          <t>daily_ledger.py</t>
        </is>
      </c>
    </row>
    <row r="77">
      <c r="A77" s="5" t="inlineStr">
        <is>
          <t>화면 표시값 원본</t>
        </is>
      </c>
      <c r="B77" s="3" t="inlineStr">
        <is>
          <t>청춘포차 신촌점 — Ty수익율(%)</t>
        </is>
      </c>
      <c r="D77" s="5" t="inlineStr">
        <is>
          <t>ledger_facts.json merchants[5]</t>
        </is>
      </c>
      <c r="E77" s="6" t="n">
        <v>14.89</v>
      </c>
      <c r="H77" s="5" t="inlineStr">
        <is>
          <t>ledger_facts.json</t>
        </is>
      </c>
    </row>
    <row r="78">
      <c r="A78" s="5" t="inlineStr">
        <is>
          <t>화면 표시값 원본</t>
        </is>
      </c>
      <c r="B78" s="3" t="inlineStr">
        <is>
          <t>청춘포차 신촌점 — S입금부족율(%)</t>
        </is>
      </c>
      <c r="D78" s="5" t="inlineStr">
        <is>
          <t>ledger_facts.json merchants[5]</t>
        </is>
      </c>
      <c r="E78" s="6" t="n">
        <v>0.05</v>
      </c>
      <c r="H78" s="5" t="inlineStr">
        <is>
          <t>ledger_facts.json</t>
        </is>
      </c>
    </row>
    <row r="79">
      <c r="A79" s="5" t="inlineStr">
        <is>
          <t>화면 표시값 원본</t>
        </is>
      </c>
      <c r="B79" s="3" t="inlineStr">
        <is>
          <t>청춘포차 신촌점 — 비중(%)</t>
        </is>
      </c>
      <c r="D79" s="5" t="inlineStr">
        <is>
          <t>ledger_facts.json merchants[5]</t>
        </is>
      </c>
      <c r="E79" s="25" t="n">
        <v>7</v>
      </c>
      <c r="H79" s="5" t="inlineStr">
        <is>
          <t>ledger_facts.json</t>
        </is>
      </c>
    </row>
    <row r="80">
      <c r="A80" s="5" t="inlineStr">
        <is>
          <t>화면 표시값 원본</t>
        </is>
      </c>
      <c r="B80" s="3" t="inlineStr">
        <is>
          <t>바다마루 횟집 — 투자실행액</t>
        </is>
      </c>
      <c r="D80" s="5" t="inlineStr">
        <is>
          <t>ledger_facts.json merchants[6]</t>
        </is>
      </c>
      <c r="E80" s="8" t="n">
        <v>4799968</v>
      </c>
      <c r="H80" s="5" t="inlineStr">
        <is>
          <t>ledger_facts.json</t>
        </is>
      </c>
    </row>
    <row r="81">
      <c r="A81" s="5" t="inlineStr">
        <is>
          <t>화면 표시값 원본</t>
        </is>
      </c>
      <c r="B81" s="3" t="inlineStr">
        <is>
          <t>바다마루 횟집 — W</t>
        </is>
      </c>
      <c r="D81" s="5" t="inlineStr">
        <is>
          <t>ledger_facts.json merchants[6]</t>
        </is>
      </c>
      <c r="E81" s="6" t="n">
        <v>2.55</v>
      </c>
      <c r="H81" s="5" t="inlineStr">
        <is>
          <t>ledger_facts.json</t>
        </is>
      </c>
    </row>
    <row r="82">
      <c r="A82" s="5" t="inlineStr">
        <is>
          <t>화면 표시값 원본</t>
        </is>
      </c>
      <c r="B82" s="3" t="inlineStr">
        <is>
          <t>바다마루 횟집 — W raw</t>
        </is>
      </c>
      <c r="D82" s="5" t="inlineStr">
        <is>
          <t>daily_ledger.py MERCHANTS w6</t>
        </is>
      </c>
      <c r="E82" s="9" t="n">
        <v>2.553388</v>
      </c>
      <c r="H82" s="5" t="inlineStr">
        <is>
          <t>daily_ledger.py</t>
        </is>
      </c>
    </row>
    <row r="83">
      <c r="A83" s="5" t="inlineStr">
        <is>
          <t>화면 표시값 원본</t>
        </is>
      </c>
      <c r="B83" s="3" t="inlineStr">
        <is>
          <t>바다마루 횟집 — Ty수익율(%)</t>
        </is>
      </c>
      <c r="D83" s="5" t="inlineStr">
        <is>
          <t>ledger_facts.json merchants[6]</t>
        </is>
      </c>
      <c r="E83" s="6" t="n">
        <v>15.72</v>
      </c>
      <c r="H83" s="5" t="inlineStr">
        <is>
          <t>ledger_facts.json</t>
        </is>
      </c>
    </row>
    <row r="84">
      <c r="A84" s="5" t="inlineStr">
        <is>
          <t>화면 표시값 원본</t>
        </is>
      </c>
      <c r="B84" s="3" t="inlineStr">
        <is>
          <t>바다마루 횟집 — S입금부족율(%)</t>
        </is>
      </c>
      <c r="D84" s="5" t="inlineStr">
        <is>
          <t>ledger_facts.json merchants[6]</t>
        </is>
      </c>
      <c r="E84" s="6" t="n">
        <v>0.05</v>
      </c>
      <c r="H84" s="5" t="inlineStr">
        <is>
          <t>ledger_facts.json</t>
        </is>
      </c>
    </row>
    <row r="85">
      <c r="A85" s="5" t="inlineStr">
        <is>
          <t>화면 표시값 원본</t>
        </is>
      </c>
      <c r="B85" s="3" t="inlineStr">
        <is>
          <t>바다마루 횟집 — 비중(%)</t>
        </is>
      </c>
      <c r="D85" s="5" t="inlineStr">
        <is>
          <t>ledger_facts.json merchants[6]</t>
        </is>
      </c>
      <c r="E85" s="25" t="n">
        <v>6</v>
      </c>
      <c r="H85" s="5" t="inlineStr">
        <is>
          <t>ledger_facts.json</t>
        </is>
      </c>
    </row>
    <row r="86">
      <c r="A86" s="5" t="inlineStr">
        <is>
          <t>화면 표시값 원본</t>
        </is>
      </c>
      <c r="B86" s="3" t="inlineStr">
        <is>
          <t>한강커피 잠원점 — 투자실행액</t>
        </is>
      </c>
      <c r="D86" s="5" t="inlineStr">
        <is>
          <t>ledger_facts.json merchants[7]</t>
        </is>
      </c>
      <c r="E86" s="8" t="n">
        <v>3981371</v>
      </c>
      <c r="H86" s="5" t="inlineStr">
        <is>
          <t>ledger_facts.json</t>
        </is>
      </c>
    </row>
    <row r="87">
      <c r="A87" s="5" t="inlineStr">
        <is>
          <t>화면 표시값 원본</t>
        </is>
      </c>
      <c r="B87" s="3" t="inlineStr">
        <is>
          <t>한강커피 잠원점 — W</t>
        </is>
      </c>
      <c r="D87" s="5" t="inlineStr">
        <is>
          <t>ledger_facts.json merchants[7]</t>
        </is>
      </c>
      <c r="E87" s="6" t="n">
        <v>2.52</v>
      </c>
      <c r="H87" s="5" t="inlineStr">
        <is>
          <t>ledger_facts.json</t>
        </is>
      </c>
    </row>
    <row r="88">
      <c r="A88" s="5" t="inlineStr">
        <is>
          <t>화면 표시값 원본</t>
        </is>
      </c>
      <c r="B88" s="3" t="inlineStr">
        <is>
          <t>한강커피 잠원점 — W raw</t>
        </is>
      </c>
      <c r="D88" s="5" t="inlineStr">
        <is>
          <t>daily_ledger.py MERCHANTS w6</t>
        </is>
      </c>
      <c r="E88" s="9" t="n">
        <v>2.517593</v>
      </c>
      <c r="H88" s="5" t="inlineStr">
        <is>
          <t>daily_ledger.py</t>
        </is>
      </c>
    </row>
    <row r="89">
      <c r="A89" s="5" t="inlineStr">
        <is>
          <t>화면 표시값 원본</t>
        </is>
      </c>
      <c r="B89" s="3" t="inlineStr">
        <is>
          <t>한강커피 잠원점 — Ty수익율(%)</t>
        </is>
      </c>
      <c r="D89" s="5" t="inlineStr">
        <is>
          <t>ledger_facts.json merchants[7]</t>
        </is>
      </c>
      <c r="E89" s="6" t="n">
        <v>15.95</v>
      </c>
      <c r="H89" s="5" t="inlineStr">
        <is>
          <t>ledger_facts.json</t>
        </is>
      </c>
    </row>
    <row r="90">
      <c r="A90" s="5" t="inlineStr">
        <is>
          <t>화면 표시값 원본</t>
        </is>
      </c>
      <c r="B90" s="3" t="inlineStr">
        <is>
          <t>한강커피 잠원점 — S입금부족율(%)</t>
        </is>
      </c>
      <c r="D90" s="5" t="inlineStr">
        <is>
          <t>ledger_facts.json merchants[7]</t>
        </is>
      </c>
      <c r="E90" s="6" t="n">
        <v>0.04</v>
      </c>
      <c r="H90" s="5" t="inlineStr">
        <is>
          <t>ledger_facts.json</t>
        </is>
      </c>
    </row>
    <row r="91">
      <c r="A91" s="5" t="inlineStr">
        <is>
          <t>화면 표시값 원본</t>
        </is>
      </c>
      <c r="B91" s="3" t="inlineStr">
        <is>
          <t>한강커피 잠원점 — 비중(%)</t>
        </is>
      </c>
      <c r="D91" s="5" t="inlineStr">
        <is>
          <t>ledger_facts.json merchants[7]</t>
        </is>
      </c>
      <c r="E91" s="25" t="n">
        <v>5</v>
      </c>
      <c r="H91" s="5" t="inlineStr">
        <is>
          <t>ledger_facts.json</t>
        </is>
      </c>
    </row>
    <row r="92" ht="30" customHeight="1">
      <c r="A92" s="11" t="inlineStr">
        <is>
          <t>구분</t>
        </is>
      </c>
      <c r="B92" s="11" t="inlineStr">
        <is>
          <t>항목</t>
        </is>
      </c>
      <c r="C92" s="11" t="inlineStr">
        <is>
          <t>엑셀 값</t>
        </is>
      </c>
      <c r="D92" s="11" t="inlineStr">
        <is>
          <t>산출 경로</t>
        </is>
      </c>
      <c r="E92" s="11" t="inlineStr">
        <is>
          <t>화면 표시값</t>
        </is>
      </c>
      <c r="F92" s="11" t="inlineStr">
        <is>
          <t>차이</t>
        </is>
      </c>
      <c r="G92" s="11" t="inlineStr">
        <is>
          <t>판정</t>
        </is>
      </c>
      <c r="H92" s="11" t="inlineStr">
        <is>
          <t>출처</t>
        </is>
      </c>
    </row>
    <row r="93">
      <c r="A93" s="5" t="inlineStr">
        <is>
          <t>항등식</t>
        </is>
      </c>
      <c r="B93" s="3" t="inlineStr">
        <is>
          <t>좌변 — 투자실행액 (채권 미회수 Σ Ai)</t>
        </is>
      </c>
      <c r="C93" s="8">
        <f>기간집계!B38</f>
        <v/>
      </c>
      <c r="D93" s="5" t="inlineStr">
        <is>
          <t>기간집계 B38</t>
        </is>
      </c>
      <c r="E93" s="2">
        <f>가맹점!B18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94">
      <c r="A94" s="5" t="inlineStr">
        <is>
          <t>불변식</t>
        </is>
      </c>
      <c r="B94" s="3" t="inlineStr">
        <is>
          <t>투자실행액</t>
        </is>
      </c>
      <c r="C94" s="8">
        <f>기간집계!B44</f>
        <v/>
      </c>
      <c r="D94" s="5" t="inlineStr">
        <is>
          <t>기간집계 B44</t>
        </is>
      </c>
      <c r="E94" s="2">
        <f>$E$2</f>
        <v/>
      </c>
      <c r="F94" s="2">
        <f>IFERROR(C94-E94,"")</f>
        <v/>
      </c>
      <c r="G94" s="5">
        <f>IFERROR(IF(ABS(F94)&lt;=0.5,"일치","차이"),"")</f>
        <v/>
      </c>
      <c r="H94" s="5" t="inlineStr">
        <is>
          <t>화면대조 E2</t>
        </is>
      </c>
    </row>
    <row r="95">
      <c r="A95" s="5" t="inlineStr">
        <is>
          <t>불변식</t>
        </is>
      </c>
      <c r="B95" s="3" t="inlineStr">
        <is>
          <t>순현금</t>
        </is>
      </c>
      <c r="C95" s="8">
        <f>기간집계!B45</f>
        <v/>
      </c>
      <c r="D95" s="5" t="inlineStr">
        <is>
          <t>기간집계 B45</t>
        </is>
      </c>
      <c r="E95" s="2">
        <f>$E$3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E3</t>
        </is>
      </c>
    </row>
    <row r="96">
      <c r="A96" s="5" t="inlineStr">
        <is>
          <t>불변식</t>
        </is>
      </c>
      <c r="B96" s="3" t="inlineStr">
        <is>
          <t>투자자산</t>
        </is>
      </c>
      <c r="C96" s="8">
        <f>기간집계!B46</f>
        <v/>
      </c>
      <c r="D96" s="5" t="inlineStr">
        <is>
          <t>기간집계 B46</t>
        </is>
      </c>
      <c r="E96" s="2">
        <f>$E$4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E4</t>
        </is>
      </c>
    </row>
    <row r="97">
      <c r="A97" s="5" t="inlineStr">
        <is>
          <t>불변식</t>
        </is>
      </c>
      <c r="B97" s="3" t="inlineStr">
        <is>
          <t>투자실행액 비중(%)</t>
        </is>
      </c>
      <c r="C97" s="25">
        <f>ROUND(기간집계!B47*100,1)</f>
        <v/>
      </c>
      <c r="D97" s="5" t="inlineStr">
        <is>
          <t>기간집계 B47</t>
        </is>
      </c>
      <c r="E97" s="24">
        <f>$E$5</f>
        <v/>
      </c>
      <c r="F97" s="24">
        <f>IFERROR(C97-E97,"")</f>
        <v/>
      </c>
      <c r="G97" s="5">
        <f>IFERROR(IF(ABS(F97)&lt;=0.005,"일치","차이"),"")</f>
        <v/>
      </c>
      <c r="H97" s="5" t="inlineStr">
        <is>
          <t>화면대조 E5</t>
        </is>
      </c>
    </row>
    <row r="98">
      <c r="A98" s="5" t="inlineStr">
        <is>
          <t>불변식</t>
        </is>
      </c>
      <c r="B98" s="3" t="inlineStr">
        <is>
          <t>순현금 비중(%)</t>
        </is>
      </c>
      <c r="C98" s="25">
        <f>ROUND(기간집계!B48*100,1)</f>
        <v/>
      </c>
      <c r="D98" s="5" t="inlineStr">
        <is>
          <t>기간집계 B48</t>
        </is>
      </c>
      <c r="E98" s="24">
        <f>$E$6</f>
        <v/>
      </c>
      <c r="F98" s="24">
        <f>IFERROR(C98-E98,"")</f>
        <v/>
      </c>
      <c r="G98" s="5">
        <f>IFERROR(IF(ABS(F98)&lt;=0.005,"일치","차이"),"")</f>
        <v/>
      </c>
      <c r="H98" s="5" t="inlineStr">
        <is>
          <t>화면대조 E6</t>
        </is>
      </c>
    </row>
    <row r="99">
      <c r="A99" s="5" t="inlineStr">
        <is>
          <t>불변식</t>
        </is>
      </c>
      <c r="B99" s="3" t="inlineStr">
        <is>
          <t>W금융일수 (표기)</t>
        </is>
      </c>
      <c r="C99" s="6">
        <f>기간집계!B42</f>
        <v/>
      </c>
      <c r="D99" s="5" t="inlineStr">
        <is>
          <t>기간집계 B42</t>
        </is>
      </c>
      <c r="E99" s="7">
        <f>$E$8</f>
        <v/>
      </c>
      <c r="F99" s="7">
        <f>IFERROR(C99-E99,"")</f>
        <v/>
      </c>
      <c r="G99" s="5">
        <f>IFERROR(IF(ABS(F99)&lt;=0.0005,"일치","차이"),"")</f>
        <v/>
      </c>
      <c r="H99" s="5" t="inlineStr">
        <is>
          <t>화면대조 E8</t>
        </is>
      </c>
    </row>
    <row r="100">
      <c r="A100" s="5" t="inlineStr">
        <is>
          <t>불변식</t>
        </is>
      </c>
      <c r="B100" s="3" t="inlineStr">
        <is>
          <t>W금융일수 (raw · 소수 6자리)</t>
        </is>
      </c>
      <c r="C100" s="9">
        <f>ROUND(기간집계!B41,6)</f>
        <v/>
      </c>
      <c r="D100" s="5" t="inlineStr">
        <is>
          <t>기간집계 B41</t>
        </is>
      </c>
      <c r="E100" s="10">
        <f>$E$7</f>
        <v/>
      </c>
      <c r="F100" s="10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불변식</t>
        </is>
      </c>
      <c r="B101" s="3" t="inlineStr">
        <is>
          <t>Ty수익율(%)</t>
        </is>
      </c>
      <c r="C101" s="6">
        <f>기간집계!B43</f>
        <v/>
      </c>
      <c r="D101" s="5" t="inlineStr">
        <is>
          <t>기간집계 B43</t>
        </is>
      </c>
      <c r="E101" s="7">
        <f>$E$9</f>
        <v/>
      </c>
      <c r="F101" s="7">
        <f>IFERROR(C101-E101,"")</f>
        <v/>
      </c>
      <c r="G101" s="5">
        <f>IFERROR(IF(ABS(F101)&lt;=0.005,"일치","차이"),"")</f>
        <v/>
      </c>
      <c r="H101" s="5" t="inlineStr">
        <is>
          <t>화면대조 E9</t>
        </is>
      </c>
    </row>
    <row r="102">
      <c r="A102" s="5" t="inlineStr">
        <is>
          <t>불변식</t>
        </is>
      </c>
      <c r="B102" s="3" t="inlineStr">
        <is>
          <t>로스터 건수</t>
        </is>
      </c>
      <c r="C102" s="8">
        <f>가맹점!B19</f>
        <v/>
      </c>
      <c r="D102" s="5" t="inlineStr">
        <is>
          <t>가맹점 B19</t>
        </is>
      </c>
      <c r="E102" s="2">
        <f>$E$19</f>
        <v/>
      </c>
      <c r="F102" s="2">
        <f>IFERROR(C102-E102,"")</f>
        <v/>
      </c>
      <c r="G102" s="5">
        <f>IFERROR(IF(ABS(F102)&lt;=0.5,"일치","차이"),"")</f>
        <v/>
      </c>
      <c r="H102" s="5" t="inlineStr">
        <is>
          <t>화면대조 E19</t>
        </is>
      </c>
    </row>
    <row r="103">
      <c r="A103" s="5" t="inlineStr">
        <is>
          <t>불변식</t>
        </is>
      </c>
      <c r="B103" s="3" t="inlineStr">
        <is>
          <t>서명 대기 건수</t>
        </is>
      </c>
      <c r="C103" s="8">
        <f>COUNTIF(계약상태범위,"서명 대기")</f>
        <v/>
      </c>
      <c r="D103" s="5" t="inlineStr">
        <is>
          <t>입력 J열</t>
        </is>
      </c>
      <c r="E103" s="2">
        <f>$E$20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화면대조 E20</t>
        </is>
      </c>
    </row>
    <row r="104">
      <c r="A104" s="5" t="inlineStr">
        <is>
          <t>불변식</t>
        </is>
      </c>
      <c r="B104" s="3" t="inlineStr">
        <is>
          <t>비중 합(%)</t>
        </is>
      </c>
      <c r="C104" s="25">
        <f>SUM(가맹점!AC2:AC9)</f>
        <v/>
      </c>
      <c r="D104" s="5" t="inlineStr">
        <is>
          <t>가맹점 AC열 (최대잉여법)</t>
        </is>
      </c>
      <c r="E104" s="24" t="n">
        <v>100</v>
      </c>
      <c r="F104" s="24">
        <f>IFERROR(C104-E104,"")</f>
        <v/>
      </c>
      <c r="G104" s="5">
        <f>IFERROR(IF(ABS(F104)&lt;=0.005,"일치","차이"),"")</f>
        <v/>
      </c>
      <c r="H104" s="5" t="inlineStr">
        <is>
          <t>비중 합 100.0 불변</t>
        </is>
      </c>
    </row>
    <row r="105">
      <c r="A105" s="5" t="inlineStr">
        <is>
          <t>불변식</t>
        </is>
      </c>
      <c r="B105" s="3" t="inlineStr">
        <is>
          <t>채권 Di 최소</t>
        </is>
      </c>
      <c r="C105" s="8">
        <f>MIN(채권!$H$2:$H$1281)</f>
        <v/>
      </c>
      <c r="D105" s="5" t="inlineStr">
        <is>
          <t>채권 H열</t>
        </is>
      </c>
      <c r="E105" s="2">
        <f>$E$17</f>
        <v/>
      </c>
      <c r="F105" s="2">
        <f>IFERROR(C105-E105,"")</f>
        <v/>
      </c>
      <c r="G105" s="5">
        <f>IFERROR(IF(ABS(F105)&lt;=0.5,"일치","차이"),"")</f>
        <v/>
      </c>
      <c r="H105" s="5" t="inlineStr">
        <is>
          <t>화면대조 E17</t>
        </is>
      </c>
    </row>
    <row r="106">
      <c r="A106" s="5" t="inlineStr">
        <is>
          <t>불변식</t>
        </is>
      </c>
      <c r="B106" s="3" t="inlineStr">
        <is>
          <t>채권 Di 최대</t>
        </is>
      </c>
      <c r="C106" s="8">
        <f>MAX(채권!$H$2:$H$1281)</f>
        <v/>
      </c>
      <c r="D106" s="5" t="inlineStr">
        <is>
          <t>채권 H열</t>
        </is>
      </c>
      <c r="E106" s="2">
        <f>$E$18</f>
        <v/>
      </c>
      <c r="F106" s="2">
        <f>IFERROR(C106-E106,"")</f>
        <v/>
      </c>
      <c r="G106" s="5">
        <f>IFERROR(IF(ABS(F106)&lt;=0.5,"일치","차이"),"")</f>
        <v/>
      </c>
      <c r="H106" s="5" t="inlineStr">
        <is>
          <t>화면대조 E18</t>
        </is>
      </c>
    </row>
    <row r="107">
      <c r="A107" s="5" t="inlineStr">
        <is>
          <t>불변식</t>
        </is>
      </c>
      <c r="B107" s="3" t="inlineStr">
        <is>
          <t>플랫폼 구성비 합</t>
        </is>
      </c>
      <c r="C107" s="14">
        <f>SUM(구성비범위)</f>
        <v/>
      </c>
      <c r="D107" s="5" t="inlineStr">
        <is>
          <t>입력 C28:C31</t>
        </is>
      </c>
      <c r="E107" s="17" t="n">
        <v>1</v>
      </c>
      <c r="F107" s="17">
        <f>IFERROR(C107-E107,"")</f>
        <v/>
      </c>
      <c r="G107" s="5">
        <f>IFERROR(IF(ABS(F107)&lt;=1e-07,"일치","차이"),"")</f>
        <v/>
      </c>
      <c r="H107" s="5" t="inlineStr">
        <is>
          <t>합 1 (구성상)</t>
        </is>
      </c>
    </row>
    <row r="108">
      <c r="A108" s="5" t="inlineStr">
        <is>
          <t>교차</t>
        </is>
      </c>
      <c r="B108" s="3" t="inlineStr">
        <is>
          <t>미회수 잔량 W — 채권 vs 도수표</t>
        </is>
      </c>
      <c r="C108" s="9">
        <f>기간집계!B40</f>
        <v/>
      </c>
      <c r="D108" s="5" t="inlineStr">
        <is>
          <t>기간집계 B40</t>
        </is>
      </c>
      <c r="E108" s="10">
        <f>플랫폼!B21</f>
        <v/>
      </c>
      <c r="F108" s="10">
        <f>IFERROR(C108-E108,"")</f>
        <v/>
      </c>
      <c r="G108" s="5">
        <f>IFERROR(IF(ABS(F108)&lt;=0.0005,"일치","차이"),"")</f>
        <v/>
      </c>
      <c r="H108" s="5" t="inlineStr">
        <is>
          <t>플랫폼 B21 = 가중 E[d²] / W</t>
        </is>
      </c>
    </row>
    <row r="109">
      <c r="A109" s="5" t="inlineStr">
        <is>
          <t>교차</t>
        </is>
      </c>
      <c r="B109" s="3" t="inlineStr">
        <is>
          <t>미회수 잔량 Ty(%)</t>
        </is>
      </c>
      <c r="C109" s="6">
        <f>기간집계!B56</f>
        <v/>
      </c>
      <c r="D109" s="5" t="inlineStr">
        <is>
          <t>기간집계 B56</t>
        </is>
      </c>
      <c r="E109" s="7">
        <f>'가중치 대조'!C21</f>
        <v/>
      </c>
      <c r="F109" s="7">
        <f>IFERROR(C109-E109,"")</f>
        <v/>
      </c>
      <c r="G109" s="5">
        <f>IFERROR(IF(ABS(F109)&lt;=0.02,"일치","차이"),"")</f>
        <v/>
      </c>
      <c r="H109" s="5" t="inlineStr">
        <is>
          <t>가중치 대조 C21</t>
        </is>
      </c>
    </row>
    <row r="110">
      <c r="A110" s="5" t="inlineStr">
        <is>
          <t>교차</t>
        </is>
      </c>
      <c r="B110" s="3" t="inlineStr">
        <is>
          <t>W금융일수 — 구성비 x 평균 금융일수</t>
        </is>
      </c>
      <c r="C110" s="9">
        <f>플랫폼!B17</f>
        <v/>
      </c>
      <c r="D110" s="5" t="inlineStr">
        <is>
          <t>플랫폼 B17</t>
        </is>
      </c>
      <c r="E110" s="10">
        <f>$E$7</f>
        <v/>
      </c>
      <c r="F110" s="10">
        <f>IFERROR(C110-E110,"")</f>
        <v/>
      </c>
      <c r="G110" s="5">
        <f>IFERROR(IF(ABS(F110)&lt;=5e-07,"일치","차이"),"")</f>
        <v/>
      </c>
      <c r="H110" s="5" t="inlineStr">
        <is>
          <t>화면대조 E7</t>
        </is>
      </c>
    </row>
    <row r="111">
      <c r="A111" s="5" t="inlineStr">
        <is>
          <t>교차</t>
        </is>
      </c>
      <c r="B111" s="3" t="inlineStr">
        <is>
          <t>로스터 금액가중 구성비 — 카드</t>
        </is>
      </c>
      <c r="C111" s="14">
        <f>가맹점!B28</f>
        <v/>
      </c>
      <c r="D111" s="5" t="inlineStr">
        <is>
          <t>가맹점 B28</t>
        </is>
      </c>
      <c r="E111" s="17">
        <f>INDEX(구성비범위,1)</f>
        <v/>
      </c>
      <c r="F111" s="17">
        <f>IFERROR(C111-E111,"")</f>
        <v/>
      </c>
      <c r="G111" s="5">
        <f>IFERROR(IF(ABS(F111)&lt;=1e-07,"일치","차이"),"")</f>
        <v/>
      </c>
      <c r="H111" s="5" t="inlineStr">
        <is>
          <t>입력 C28</t>
        </is>
      </c>
    </row>
    <row r="112">
      <c r="A112" s="5" t="inlineStr">
        <is>
          <t>불변식</t>
        </is>
      </c>
      <c r="B112" s="3" t="inlineStr">
        <is>
          <t>S입금부족율(%)</t>
        </is>
      </c>
      <c r="C112" s="6">
        <f>ROUND(기간집계!B51,2)</f>
        <v/>
      </c>
      <c r="D112" s="5" t="inlineStr">
        <is>
          <t>기간집계 B51</t>
        </is>
      </c>
      <c r="E112" s="7">
        <f>$E$11</f>
        <v/>
      </c>
      <c r="F112" s="7">
        <f>IFERROR(C112-E112,"")</f>
        <v/>
      </c>
      <c r="G112" s="5">
        <f>IFERROR(IF(ABS(F112)&lt;=0.005,"일치","차이"),"")</f>
        <v/>
      </c>
      <c r="H112" s="5" t="inlineStr">
        <is>
          <t>화면대조 E11</t>
        </is>
      </c>
    </row>
    <row r="113">
      <c r="A113" s="5" t="inlineStr">
        <is>
          <t>불변식</t>
        </is>
      </c>
      <c r="B113" s="3" t="inlineStr">
        <is>
          <t>투자실행액 = 입력 목표</t>
        </is>
      </c>
      <c r="C113" s="8">
        <f>기간집계!B44</f>
        <v/>
      </c>
      <c r="D113" s="5" t="inlineStr">
        <is>
          <t>기간집계 B44</t>
        </is>
      </c>
      <c r="E113" s="2">
        <f>투자실행액목표</f>
        <v/>
      </c>
      <c r="F113" s="2">
        <f>IFERROR(C113-E113,"")</f>
        <v/>
      </c>
      <c r="G113" s="5">
        <f>IFERROR(IF(ABS(F113)&lt;=0.5,"일치","차이"),"")</f>
        <v/>
      </c>
      <c r="H113" s="5" t="inlineStr">
        <is>
          <t>입력 C7 = C5 - C8</t>
        </is>
      </c>
    </row>
    <row r="114">
      <c r="A114" s="5" t="inlineStr">
        <is>
          <t>불변식</t>
        </is>
      </c>
      <c r="B114" s="3" t="inlineStr">
        <is>
          <t>투자자산 = 총 투자자산</t>
        </is>
      </c>
      <c r="C114" s="8">
        <f>기간집계!B46</f>
        <v/>
      </c>
      <c r="D114" s="5" t="inlineStr">
        <is>
          <t>기간집계 B46</t>
        </is>
      </c>
      <c r="E114" s="2">
        <f>총투자자산</f>
        <v/>
      </c>
      <c r="F114" s="2">
        <f>IFERROR(C114-E114,"")</f>
        <v/>
      </c>
      <c r="G114" s="5">
        <f>IFERROR(IF(ABS(F114)&lt;=0.5,"일치","차이"),"")</f>
        <v/>
      </c>
      <c r="H114" s="5" t="inlineStr">
        <is>
          <t>입력 C5</t>
        </is>
      </c>
    </row>
    <row r="115">
      <c r="A115" s="5" t="inlineStr">
        <is>
          <t>가맹점</t>
        </is>
      </c>
      <c r="B115" s="3" t="inlineStr">
        <is>
          <t>김성호떡볶이 본점 — W 표기</t>
        </is>
      </c>
      <c r="C115" s="6">
        <f>가맹점!T2</f>
        <v/>
      </c>
      <c r="D115" s="5" t="inlineStr">
        <is>
          <t>가맹점 T2</t>
        </is>
      </c>
      <c r="E115" s="7">
        <f>$E$45</f>
        <v/>
      </c>
      <c r="F115" s="7">
        <f>IFERROR(C115-E115,"")</f>
        <v/>
      </c>
      <c r="G115" s="5">
        <f>IFERROR(IF(ABS(F115)&lt;=0.0005,"일치","차이"),"")</f>
        <v/>
      </c>
      <c r="H115" s="5" t="inlineStr">
        <is>
          <t>화면대조 E45</t>
        </is>
      </c>
    </row>
    <row r="116">
      <c r="A116" s="5" t="inlineStr">
        <is>
          <t>가맹점</t>
        </is>
      </c>
      <c r="B116" s="3" t="inlineStr">
        <is>
          <t>초록치킨 서초점 — W 표기</t>
        </is>
      </c>
      <c r="C116" s="6">
        <f>가맹점!T3</f>
        <v/>
      </c>
      <c r="D116" s="5" t="inlineStr">
        <is>
          <t>가맹점 T3</t>
        </is>
      </c>
      <c r="E116" s="7">
        <f>$E$51</f>
        <v/>
      </c>
      <c r="F116" s="7">
        <f>IFERROR(C116-E116,"")</f>
        <v/>
      </c>
      <c r="G116" s="5">
        <f>IFERROR(IF(ABS(F116)&lt;=0.0005,"일치","차이"),"")</f>
        <v/>
      </c>
      <c r="H116" s="5" t="inlineStr">
        <is>
          <t>화면대조 E51</t>
        </is>
      </c>
    </row>
    <row r="117">
      <c r="A117" s="5" t="inlineStr">
        <is>
          <t>가맹점</t>
        </is>
      </c>
      <c r="B117" s="3" t="inlineStr">
        <is>
          <t>김밥나라 — W 표기</t>
        </is>
      </c>
      <c r="C117" s="6">
        <f>가맹점!T4</f>
        <v/>
      </c>
      <c r="D117" s="5" t="inlineStr">
        <is>
          <t>가맹점 T4</t>
        </is>
      </c>
      <c r="E117" s="7">
        <f>$E$57</f>
        <v/>
      </c>
      <c r="F117" s="7">
        <f>IFERROR(C117-E117,"")</f>
        <v/>
      </c>
      <c r="G117" s="5">
        <f>IFERROR(IF(ABS(F117)&lt;=0.0005,"일치","차이"),"")</f>
        <v/>
      </c>
      <c r="H117" s="5" t="inlineStr">
        <is>
          <t>화면대조 E57</t>
        </is>
      </c>
    </row>
    <row r="118">
      <c r="A118" s="5" t="inlineStr">
        <is>
          <t>가맹점</t>
        </is>
      </c>
      <c r="B118" s="3" t="inlineStr">
        <is>
          <t>골목냉면 — W 표기</t>
        </is>
      </c>
      <c r="C118" s="6">
        <f>가맹점!T5</f>
        <v/>
      </c>
      <c r="D118" s="5" t="inlineStr">
        <is>
          <t>가맹점 T5</t>
        </is>
      </c>
      <c r="E118" s="7">
        <f>$E$63</f>
        <v/>
      </c>
      <c r="F118" s="7">
        <f>IFERROR(C118-E118,"")</f>
        <v/>
      </c>
      <c r="G118" s="5">
        <f>IFERROR(IF(ABS(F118)&lt;=0.0005,"일치","차이"),"")</f>
        <v/>
      </c>
      <c r="H118" s="5" t="inlineStr">
        <is>
          <t>화면대조 E63</t>
        </is>
      </c>
    </row>
    <row r="119">
      <c r="A119" s="5" t="inlineStr">
        <is>
          <t>가맹점</t>
        </is>
      </c>
      <c r="B119" s="3" t="inlineStr">
        <is>
          <t>달빛곱창 홍대점 — W 표기</t>
        </is>
      </c>
      <c r="C119" s="6">
        <f>가맹점!T6</f>
        <v/>
      </c>
      <c r="D119" s="5" t="inlineStr">
        <is>
          <t>가맹점 T6</t>
        </is>
      </c>
      <c r="E119" s="7">
        <f>$E$69</f>
        <v/>
      </c>
      <c r="F119" s="7">
        <f>IFERROR(C119-E119,"")</f>
        <v/>
      </c>
      <c r="G119" s="5">
        <f>IFERROR(IF(ABS(F119)&lt;=0.0005,"일치","차이"),"")</f>
        <v/>
      </c>
      <c r="H119" s="5" t="inlineStr">
        <is>
          <t>화면대조 E69</t>
        </is>
      </c>
    </row>
    <row r="120">
      <c r="A120" s="5" t="inlineStr">
        <is>
          <t>가맹점</t>
        </is>
      </c>
      <c r="B120" s="3" t="inlineStr">
        <is>
          <t>청춘포차 신촌점 — W 표기</t>
        </is>
      </c>
      <c r="C120" s="6">
        <f>가맹점!T7</f>
        <v/>
      </c>
      <c r="D120" s="5" t="inlineStr">
        <is>
          <t>가맹점 T7</t>
        </is>
      </c>
      <c r="E120" s="7">
        <f>$E$75</f>
        <v/>
      </c>
      <c r="F120" s="7">
        <f>IFERROR(C120-E120,"")</f>
        <v/>
      </c>
      <c r="G120" s="5">
        <f>IFERROR(IF(ABS(F120)&lt;=0.0005,"일치","차이"),"")</f>
        <v/>
      </c>
      <c r="H120" s="5" t="inlineStr">
        <is>
          <t>화면대조 E75</t>
        </is>
      </c>
    </row>
    <row r="121">
      <c r="A121" s="5" t="inlineStr">
        <is>
          <t>가맹점</t>
        </is>
      </c>
      <c r="B121" s="3" t="inlineStr">
        <is>
          <t>바다마루 횟집 — W 표기</t>
        </is>
      </c>
      <c r="C121" s="6">
        <f>가맹점!T8</f>
        <v/>
      </c>
      <c r="D121" s="5" t="inlineStr">
        <is>
          <t>가맹점 T8</t>
        </is>
      </c>
      <c r="E121" s="7">
        <f>$E$81</f>
        <v/>
      </c>
      <c r="F121" s="7">
        <f>IFERROR(C121-E121,"")</f>
        <v/>
      </c>
      <c r="G121" s="5">
        <f>IFERROR(IF(ABS(F121)&lt;=0.0005,"일치","차이"),"")</f>
        <v/>
      </c>
      <c r="H121" s="5" t="inlineStr">
        <is>
          <t>화면대조 E81</t>
        </is>
      </c>
    </row>
    <row r="122">
      <c r="A122" s="5" t="inlineStr">
        <is>
          <t>가맹점</t>
        </is>
      </c>
      <c r="B122" s="3" t="inlineStr">
        <is>
          <t>한강커피 잠원점 — W 표기</t>
        </is>
      </c>
      <c r="C122" s="6">
        <f>가맹점!T9</f>
        <v/>
      </c>
      <c r="D122" s="5" t="inlineStr">
        <is>
          <t>가맹점 T9</t>
        </is>
      </c>
      <c r="E122" s="7">
        <f>$E$87</f>
        <v/>
      </c>
      <c r="F122" s="7">
        <f>IFERROR(C122-E122,"")</f>
        <v/>
      </c>
      <c r="G122" s="5">
        <f>IFERROR(IF(ABS(F122)&lt;=0.0005,"일치","차이"),"")</f>
        <v/>
      </c>
      <c r="H122" s="5" t="inlineStr">
        <is>
          <t>화면대조 E87</t>
        </is>
      </c>
    </row>
    <row r="123">
      <c r="A123" s="5" t="inlineStr">
        <is>
          <t>가맹점</t>
        </is>
      </c>
      <c r="B123" s="3" t="inlineStr">
        <is>
          <t>김성호떡볶이 본점 — S입금부족율(%)</t>
        </is>
      </c>
      <c r="C123" s="6">
        <f>ROUND(가맹점!W2,2)</f>
        <v/>
      </c>
      <c r="D123" s="5" t="inlineStr">
        <is>
          <t>가맹점 W2</t>
        </is>
      </c>
      <c r="E123" s="7">
        <f>$E$48</f>
        <v/>
      </c>
      <c r="F123" s="7">
        <f>IFERROR(C123-E123,"")</f>
        <v/>
      </c>
      <c r="G123" s="5">
        <f>IFERROR(IF(ABS(F123)&lt;=0.005,"일치","차이"),"")</f>
        <v/>
      </c>
      <c r="H123" s="5" t="inlineStr">
        <is>
          <t>화면대조 E48</t>
        </is>
      </c>
    </row>
    <row r="124">
      <c r="A124" s="5" t="inlineStr">
        <is>
          <t>가맹점</t>
        </is>
      </c>
      <c r="B124" s="3" t="inlineStr">
        <is>
          <t>초록치킨 서초점 — S입금부족율(%)</t>
        </is>
      </c>
      <c r="C124" s="6">
        <f>ROUND(가맹점!W3,2)</f>
        <v/>
      </c>
      <c r="D124" s="5" t="inlineStr">
        <is>
          <t>가맹점 W3</t>
        </is>
      </c>
      <c r="E124" s="7">
        <f>$E$54</f>
        <v/>
      </c>
      <c r="F124" s="7">
        <f>IFERROR(C124-E124,"")</f>
        <v/>
      </c>
      <c r="G124" s="5">
        <f>IFERROR(IF(ABS(F124)&lt;=0.005,"일치","차이"),"")</f>
        <v/>
      </c>
      <c r="H124" s="5" t="inlineStr">
        <is>
          <t>화면대조 E54</t>
        </is>
      </c>
    </row>
    <row r="125">
      <c r="A125" s="5" t="inlineStr">
        <is>
          <t>가맹점</t>
        </is>
      </c>
      <c r="B125" s="3" t="inlineStr">
        <is>
          <t>김밥나라 — S입금부족율(%)</t>
        </is>
      </c>
      <c r="C125" s="6">
        <f>ROUND(가맹점!W4,2)</f>
        <v/>
      </c>
      <c r="D125" s="5" t="inlineStr">
        <is>
          <t>가맹점 W4</t>
        </is>
      </c>
      <c r="E125" s="7">
        <f>$E$60</f>
        <v/>
      </c>
      <c r="F125" s="7">
        <f>IFERROR(C125-E125,"")</f>
        <v/>
      </c>
      <c r="G125" s="5">
        <f>IFERROR(IF(ABS(F125)&lt;=0.005,"일치","차이"),"")</f>
        <v/>
      </c>
      <c r="H125" s="5" t="inlineStr">
        <is>
          <t>화면대조 E60</t>
        </is>
      </c>
    </row>
    <row r="126">
      <c r="A126" s="5" t="inlineStr">
        <is>
          <t>가맹점</t>
        </is>
      </c>
      <c r="B126" s="3" t="inlineStr">
        <is>
          <t>골목냉면 — S입금부족율(%)</t>
        </is>
      </c>
      <c r="C126" s="6">
        <f>ROUND(가맹점!W5,2)</f>
        <v/>
      </c>
      <c r="D126" s="5" t="inlineStr">
        <is>
          <t>가맹점 W5</t>
        </is>
      </c>
      <c r="E126" s="7">
        <f>$E$66</f>
        <v/>
      </c>
      <c r="F126" s="7">
        <f>IFERROR(C126-E126,"")</f>
        <v/>
      </c>
      <c r="G126" s="5">
        <f>IFERROR(IF(ABS(F126)&lt;=0.005,"일치","차이"),"")</f>
        <v/>
      </c>
      <c r="H126" s="5" t="inlineStr">
        <is>
          <t>화면대조 E66</t>
        </is>
      </c>
    </row>
    <row r="127">
      <c r="A127" s="5" t="inlineStr">
        <is>
          <t>가맹점</t>
        </is>
      </c>
      <c r="B127" s="3" t="inlineStr">
        <is>
          <t>달빛곱창 홍대점 — S입금부족율(%)</t>
        </is>
      </c>
      <c r="C127" s="6">
        <f>ROUND(가맹점!W6,2)</f>
        <v/>
      </c>
      <c r="D127" s="5" t="inlineStr">
        <is>
          <t>가맹점 W6</t>
        </is>
      </c>
      <c r="E127" s="7">
        <f>$E$72</f>
        <v/>
      </c>
      <c r="F127" s="7">
        <f>IFERROR(C127-E127,"")</f>
        <v/>
      </c>
      <c r="G127" s="5">
        <f>IFERROR(IF(ABS(F127)&lt;=0.005,"일치","차이"),"")</f>
        <v/>
      </c>
      <c r="H127" s="5" t="inlineStr">
        <is>
          <t>화면대조 E72</t>
        </is>
      </c>
    </row>
    <row r="128">
      <c r="A128" s="5" t="inlineStr">
        <is>
          <t>가맹점</t>
        </is>
      </c>
      <c r="B128" s="3" t="inlineStr">
        <is>
          <t>청춘포차 신촌점 — S입금부족율(%)</t>
        </is>
      </c>
      <c r="C128" s="6">
        <f>ROUND(가맹점!W7,2)</f>
        <v/>
      </c>
      <c r="D128" s="5" t="inlineStr">
        <is>
          <t>가맹점 W7</t>
        </is>
      </c>
      <c r="E128" s="7">
        <f>$E$78</f>
        <v/>
      </c>
      <c r="F128" s="7">
        <f>IFERROR(C128-E128,"")</f>
        <v/>
      </c>
      <c r="G128" s="5">
        <f>IFERROR(IF(ABS(F128)&lt;=0.005,"일치","차이"),"")</f>
        <v/>
      </c>
      <c r="H128" s="5" t="inlineStr">
        <is>
          <t>화면대조 E78</t>
        </is>
      </c>
    </row>
    <row r="129">
      <c r="A129" s="5" t="inlineStr">
        <is>
          <t>가맹점</t>
        </is>
      </c>
      <c r="B129" s="3" t="inlineStr">
        <is>
          <t>바다마루 횟집 — S입금부족율(%)</t>
        </is>
      </c>
      <c r="C129" s="6">
        <f>ROUND(가맹점!W8,2)</f>
        <v/>
      </c>
      <c r="D129" s="5" t="inlineStr">
        <is>
          <t>가맹점 W8</t>
        </is>
      </c>
      <c r="E129" s="7">
        <f>$E$84</f>
        <v/>
      </c>
      <c r="F129" s="7">
        <f>IFERROR(C129-E129,"")</f>
        <v/>
      </c>
      <c r="G129" s="5">
        <f>IFERROR(IF(ABS(F129)&lt;=0.005,"일치","차이"),"")</f>
        <v/>
      </c>
      <c r="H129" s="5" t="inlineStr">
        <is>
          <t>화면대조 E84</t>
        </is>
      </c>
    </row>
    <row r="130">
      <c r="A130" s="5" t="inlineStr">
        <is>
          <t>가맹점</t>
        </is>
      </c>
      <c r="B130" s="3" t="inlineStr">
        <is>
          <t>한강커피 잠원점 — S입금부족율(%)</t>
        </is>
      </c>
      <c r="C130" s="6">
        <f>ROUND(가맹점!W9,2)</f>
        <v/>
      </c>
      <c r="D130" s="5" t="inlineStr">
        <is>
          <t>가맹점 W9</t>
        </is>
      </c>
      <c r="E130" s="7">
        <f>$E$90</f>
        <v/>
      </c>
      <c r="F130" s="7">
        <f>IFERROR(C130-E130,"")</f>
        <v/>
      </c>
      <c r="G130" s="5">
        <f>IFERROR(IF(ABS(F130)&lt;=0.005,"일치","차이"),"")</f>
        <v/>
      </c>
      <c r="H130" s="5" t="inlineStr">
        <is>
          <t>화면대조 E90</t>
        </is>
      </c>
    </row>
    <row r="131" ht="30" customHeight="1">
      <c r="A131" s="11" t="inlineStr">
        <is>
          <t>구분</t>
        </is>
      </c>
      <c r="B131" s="11" t="inlineStr">
        <is>
          <t>항목</t>
        </is>
      </c>
      <c r="C131" s="11" t="inlineStr">
        <is>
          <t>산식으로 되짚은 값</t>
        </is>
      </c>
      <c r="D131" s="11" t="inlineStr">
        <is>
          <t>산식</t>
        </is>
      </c>
      <c r="E131" s="11" t="inlineStr">
        <is>
          <t>화면 표시값</t>
        </is>
      </c>
      <c r="F131" s="11" t="inlineStr">
        <is>
          <t>차이</t>
        </is>
      </c>
      <c r="G131" s="11" t="inlineStr">
        <is>
          <t>판정</t>
        </is>
      </c>
      <c r="H131" s="11" t="inlineStr">
        <is>
          <t>출처</t>
        </is>
      </c>
    </row>
    <row r="132">
      <c r="A132" s="5" t="inlineStr">
        <is>
          <t>화면 정합</t>
        </is>
      </c>
      <c r="B132" s="3" t="inlineStr">
        <is>
          <t>투자자산</t>
        </is>
      </c>
      <c r="C132" s="8">
        <f>$E$2+$E$3</f>
        <v/>
      </c>
      <c r="D132" s="5" t="inlineStr">
        <is>
          <t>투자실행액 + 순현금</t>
        </is>
      </c>
      <c r="E132" s="2">
        <f>$E$4</f>
        <v/>
      </c>
      <c r="F132" s="2">
        <f>IFERROR(C132-E132,"")</f>
        <v/>
      </c>
      <c r="G132" s="5">
        <f>IFERROR(IF(ABS(F132)&lt;=0.5,"일치","차이"),"")</f>
        <v/>
      </c>
      <c r="H132" s="5" t="inlineStr">
        <is>
          <t>ceo_definitions.md [1번] 비중</t>
        </is>
      </c>
    </row>
    <row r="133">
      <c r="A133" s="5" t="inlineStr">
        <is>
          <t>화면 정합</t>
        </is>
      </c>
      <c r="B133" s="3" t="inlineStr">
        <is>
          <t>투자실행액 비중(%)</t>
        </is>
      </c>
      <c r="C133" s="25">
        <f>ROUND($E$2/($E$2+$E$3)*100,1)</f>
        <v/>
      </c>
      <c r="D133" s="5" t="inlineStr">
        <is>
          <t>투자실행액 / (투자실행액 + 순현금)</t>
        </is>
      </c>
      <c r="E133" s="24">
        <f>$E$5</f>
        <v/>
      </c>
      <c r="F133" s="24">
        <f>IFERROR(C133-E133,"")</f>
        <v/>
      </c>
      <c r="G133" s="5">
        <f>IFERROR(IF(ABS(F133)&lt;=0.005,"일치","차이"),"")</f>
        <v/>
      </c>
      <c r="H133" s="5" t="inlineStr">
        <is>
          <t>ceo_definitions.md [1번] 투자 실행액의 비중</t>
        </is>
      </c>
    </row>
    <row r="134">
      <c r="A134" s="5" t="inlineStr">
        <is>
          <t>화면 정합</t>
        </is>
      </c>
      <c r="B134" s="3" t="inlineStr">
        <is>
          <t>순현금 비중(%)</t>
        </is>
      </c>
      <c r="C134" s="25">
        <f>ROUND($E$3/($E$2+$E$3)*100,1)</f>
        <v/>
      </c>
      <c r="D134" s="5" t="inlineStr">
        <is>
          <t>순현금 / (투자실행액 + 순현금)</t>
        </is>
      </c>
      <c r="E134" s="24">
        <f>$E$6</f>
        <v/>
      </c>
      <c r="F134" s="24">
        <f>IFERROR(C134-E134,"")</f>
        <v/>
      </c>
      <c r="G134" s="5">
        <f>IFERROR(IF(ABS(F134)&lt;=0.005,"일치","차이"),"")</f>
        <v/>
      </c>
      <c r="H134" s="5" t="inlineStr">
        <is>
          <t>ceo_definitions.md [1번] 순현금의 비중</t>
        </is>
      </c>
    </row>
    <row r="135">
      <c r="A135" s="5" t="inlineStr">
        <is>
          <t>화면 정합</t>
        </is>
      </c>
      <c r="B135" s="3" t="inlineStr">
        <is>
          <t>W금융일수 표기</t>
        </is>
      </c>
      <c r="C135" s="6">
        <f>ROUND($E$7,2)</f>
        <v/>
      </c>
      <c r="D135" s="5" t="inlineStr">
        <is>
          <t>ROUND(W raw, 2)</t>
        </is>
      </c>
      <c r="E135" s="7">
        <f>$E$8</f>
        <v/>
      </c>
      <c r="F135" s="7">
        <f>IFERROR(C135-E135,"")</f>
        <v/>
      </c>
      <c r="G135" s="5">
        <f>IFERROR(IF(ABS(F135)&lt;=0.0005,"일치","차이"),"")</f>
        <v/>
      </c>
      <c r="H135" s="5" t="inlineStr">
        <is>
          <t>9-C 표기 규칙</t>
        </is>
      </c>
    </row>
    <row r="136">
      <c r="A136" s="5" t="inlineStr">
        <is>
          <t>화면 정합</t>
        </is>
      </c>
      <c r="B136" s="3" t="inlineStr">
        <is>
          <t>Ty수익율(%)</t>
        </is>
      </c>
      <c r="C136" s="6">
        <f>ROUND($E$12*연일수/$E$8,2)</f>
        <v/>
      </c>
      <c r="D136" s="5" t="inlineStr">
        <is>
          <t>할인율 x 365 / 표기 W</t>
        </is>
      </c>
      <c r="E136" s="7">
        <f>$E$9</f>
        <v/>
      </c>
      <c r="F136" s="7">
        <f>IFERROR(C136-E136,"")</f>
        <v/>
      </c>
      <c r="G136" s="5">
        <f>IFERROR(IF(ABS(F136)&lt;=0.005,"일치","차이"),"")</f>
        <v/>
      </c>
      <c r="H136" s="5" t="inlineStr">
        <is>
          <t>ceo_definitions.md [1번] ty수익율</t>
        </is>
      </c>
    </row>
    <row r="137">
      <c r="A137" s="5" t="inlineStr">
        <is>
          <t>화면 정합</t>
        </is>
      </c>
      <c r="B137" s="3" t="inlineStr">
        <is>
          <t>S입금부족율 표기(%)</t>
        </is>
      </c>
      <c r="C137" s="6">
        <f>ROUND($E$10,2)</f>
        <v/>
      </c>
      <c r="D137" s="5" t="inlineStr">
        <is>
          <t>ROUND(S raw, 2)</t>
        </is>
      </c>
      <c r="E137" s="7">
        <f>$E$11</f>
        <v/>
      </c>
      <c r="F137" s="7">
        <f>IFERROR(C137-E137,"")</f>
        <v/>
      </c>
      <c r="G137" s="5">
        <f>IFERROR(IF(ABS(F137)&lt;=0.005,"일치","차이"),"")</f>
        <v/>
      </c>
      <c r="H137" s="5" t="inlineStr">
        <is>
          <t>9-C 표기 규칙</t>
        </is>
      </c>
    </row>
    <row r="138">
      <c r="A138" s="5" t="inlineStr">
        <is>
          <t>화면 정합</t>
        </is>
      </c>
      <c r="B138" s="3" t="inlineStr">
        <is>
          <t>주간 PM = 수수료 - 차감</t>
        </is>
      </c>
      <c r="C138" s="8">
        <f>$E$25-$E$26</f>
        <v/>
      </c>
      <c r="D138" s="5" t="inlineStr">
        <is>
          <t>Σ 채권매입수수료 - Σ max(0, 미지급-과지급)</t>
        </is>
      </c>
      <c r="E138" s="2">
        <f>$E$23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ceo_definitions.md [2번] Mi</t>
        </is>
      </c>
    </row>
    <row r="139">
      <c r="A139" s="5" t="inlineStr">
        <is>
          <t>화면 정합</t>
        </is>
      </c>
      <c r="B139" s="3" t="inlineStr">
        <is>
          <t>주간 PEC</t>
        </is>
      </c>
      <c r="C139" s="8">
        <f>$E$3*$E$21</f>
        <v/>
      </c>
      <c r="D139" s="5" t="inlineStr">
        <is>
          <t>순현금 x 조회 일수</t>
        </is>
      </c>
      <c r="E139" s="2">
        <f>$E$29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ceo_definitions.md [2번] PEC</t>
        </is>
      </c>
    </row>
    <row r="140">
      <c r="A140" s="5" t="inlineStr">
        <is>
          <t>화면 정합</t>
        </is>
      </c>
      <c r="B140" s="3" t="inlineStr">
        <is>
          <t>주간 PwD 표기</t>
        </is>
      </c>
      <c r="C140" s="6">
        <f>ROUND($E$27,2)</f>
        <v/>
      </c>
      <c r="D140" s="5" t="inlineStr">
        <is>
          <t>ROUND(PwD raw, 2)</t>
        </is>
      </c>
      <c r="E140" s="7">
        <f>$E$28</f>
        <v/>
      </c>
      <c r="F140" s="7">
        <f>IFERROR(C140-E140,"")</f>
        <v/>
      </c>
      <c r="G140" s="5">
        <f>IFERROR(IF(ABS(F140)&lt;=0.0005,"일치","차이"),"")</f>
        <v/>
      </c>
      <c r="H140" s="5" t="inlineStr">
        <is>
          <t>9-C 표기 규칙</t>
        </is>
      </c>
    </row>
    <row r="141">
      <c r="A141" s="5" t="inlineStr">
        <is>
          <t>화면 정합</t>
        </is>
      </c>
      <c r="B141" s="3" t="inlineStr">
        <is>
          <t>주간 ④(%)</t>
        </is>
      </c>
      <c r="C141" s="6">
        <f>ROUND(ROUND(ROUND($E$23/$E$22*100,6)*연일수/$E$27,6),2)</f>
        <v/>
      </c>
      <c r="D141" s="5" t="inlineStr">
        <is>
          <t>ROUND(PMR(%) x 365 / PwD, 6) 뒤 표기 2자리</t>
        </is>
      </c>
      <c r="E141" s="7">
        <f>$E$31</f>
        <v/>
      </c>
      <c r="F141" s="7">
        <f>IFERROR(C141-E141,"")</f>
        <v/>
      </c>
      <c r="G141" s="5">
        <f>IFERROR(IF(ABS(F141)&lt;=0.005,"일치","차이"),"")</f>
        <v/>
      </c>
      <c r="H141" s="5" t="inlineStr">
        <is>
          <t>ceo_definitions.md [2번] 이미지의 ④</t>
        </is>
      </c>
    </row>
    <row r="142">
      <c r="A142" s="5" t="inlineStr">
        <is>
          <t>화면 정합</t>
        </is>
      </c>
      <c r="B142" s="3" t="inlineStr">
        <is>
          <t>전 구간 PM = 수수료 - 차감</t>
        </is>
      </c>
      <c r="C142" s="8">
        <f>$E$35-$E$36</f>
        <v/>
      </c>
      <c r="D142" s="5" t="inlineStr">
        <is>
          <t>Σ 채권매입수수료 - Σ 차감</t>
        </is>
      </c>
      <c r="E142" s="2">
        <f>$E$34</f>
        <v/>
      </c>
      <c r="F142" s="2">
        <f>IFERROR(C142-E142,"")</f>
        <v/>
      </c>
      <c r="G142" s="5">
        <f>IFERROR(IF(ABS(F142)&lt;=0.5,"일치","차이"),"")</f>
        <v/>
      </c>
      <c r="H142" s="5" t="inlineStr">
        <is>
          <t>ceo_definitions.md [2번] Mi</t>
        </is>
      </c>
    </row>
    <row r="143">
      <c r="A143" s="5" t="inlineStr">
        <is>
          <t>화면 정합</t>
        </is>
      </c>
      <c r="B143" s="3" t="inlineStr">
        <is>
          <t>전 구간 차감/수수료(%)</t>
        </is>
      </c>
      <c r="C143" s="6">
        <f>ROUND($E$36/$E$35*100,2)</f>
        <v/>
      </c>
      <c r="D143" s="5" t="inlineStr">
        <is>
          <t>Σ 차감 / Σ 수수료</t>
        </is>
      </c>
      <c r="E143" s="7">
        <f>$E$37</f>
        <v/>
      </c>
      <c r="F143" s="7">
        <f>IFERROR(C143-E143,"")</f>
        <v/>
      </c>
      <c r="G143" s="5">
        <f>IFERROR(IF(ABS(F143)&lt;=0.005,"일치","차이"),"")</f>
        <v/>
      </c>
      <c r="H143" s="5" t="inlineStr">
        <is>
          <t>ceo_definitions.md [2번] Mi</t>
        </is>
      </c>
    </row>
    <row r="144">
      <c r="A144" s="5" t="inlineStr">
        <is>
          <t>화면 정합</t>
        </is>
      </c>
      <c r="B144" s="3" t="inlineStr">
        <is>
          <t>전 구간 PEC</t>
        </is>
      </c>
      <c r="C144" s="8">
        <f>$E$3*$E$14</f>
        <v/>
      </c>
      <c r="D144" s="5" t="inlineStr">
        <is>
          <t>순현금 x 원장 일수</t>
        </is>
      </c>
      <c r="E144" s="2">
        <f>$E$40</f>
        <v/>
      </c>
      <c r="F144" s="2">
        <f>IFERROR(C144-E144,"")</f>
        <v/>
      </c>
      <c r="G144" s="5">
        <f>IFERROR(IF(ABS(F144)&lt;=0.5,"일치","차이"),"")</f>
        <v/>
      </c>
      <c r="H144" s="5" t="inlineStr">
        <is>
          <t>ceo_definitions.md [2번] PEC</t>
        </is>
      </c>
    </row>
    <row r="145">
      <c r="A145" s="5" t="inlineStr">
        <is>
          <t>화면 정합</t>
        </is>
      </c>
      <c r="B145" s="3" t="inlineStr">
        <is>
          <t>전 구간 PwD 표기</t>
        </is>
      </c>
      <c r="C145" s="6">
        <f>ROUND($E$38,2)</f>
        <v/>
      </c>
      <c r="D145" s="5" t="inlineStr">
        <is>
          <t>ROUND(PwD raw, 2)</t>
        </is>
      </c>
      <c r="E145" s="7">
        <f>$E$39</f>
        <v/>
      </c>
      <c r="F145" s="7">
        <f>IFERROR(C145-E145,"")</f>
        <v/>
      </c>
      <c r="G145" s="5">
        <f>IFERROR(IF(ABS(F145)&lt;=0.0005,"일치","차이"),"")</f>
        <v/>
      </c>
      <c r="H145" s="5" t="inlineStr">
        <is>
          <t>9-C 표기 규칙</t>
        </is>
      </c>
    </row>
    <row r="146">
      <c r="A146" s="5" t="inlineStr">
        <is>
          <t>화면 정합</t>
        </is>
      </c>
      <c r="B146" s="3" t="inlineStr">
        <is>
          <t>전 구간 ④(%)</t>
        </is>
      </c>
      <c r="C146" s="6">
        <f>ROUND(ROUND($E$34/$E$33*100*연일수/$E$38,6),2)</f>
        <v/>
      </c>
      <c r="D146" s="5" t="inlineStr">
        <is>
          <t>ROUND(PMR x 365 / PwD, 6) 뒤 표기 2자리</t>
        </is>
      </c>
      <c r="E146" s="7">
        <f>$E$42</f>
        <v/>
      </c>
      <c r="F146" s="7">
        <f>IFERROR(C146-E146,"")</f>
        <v/>
      </c>
      <c r="G146" s="5">
        <f>IFERROR(IF(ABS(F146)&lt;=0.005,"일치","차이"),"")</f>
        <v/>
      </c>
      <c r="H146" s="5" t="inlineStr">
        <is>
          <t>ceo_definitions.md [2번] 이미지의 ④</t>
        </is>
      </c>
    </row>
    <row r="147">
      <c r="A147" s="5" t="inlineStr">
        <is>
          <t>화면 정합</t>
        </is>
      </c>
      <c r="B147" s="3" t="inlineStr">
        <is>
          <t>하루 평균 투자실행금</t>
        </is>
      </c>
      <c r="C147" s="8">
        <f>ROUND($E$33/$E$14,0)</f>
        <v/>
      </c>
      <c r="D147" s="5" t="inlineStr">
        <is>
          <t>전 구간 PA / 원장 일수</t>
        </is>
      </c>
      <c r="E147" s="2">
        <f>$E$13</f>
        <v/>
      </c>
      <c r="F147" s="2">
        <f>IFERROR(C147-E147,"")</f>
        <v/>
      </c>
      <c r="G147" s="5">
        <f>IFERROR(IF(ABS(F147)&lt;=0.5,"일치","차이"),"")</f>
        <v/>
      </c>
      <c r="H147" s="5" t="inlineStr">
        <is>
          <t>roster16_model.py DAY_AVG</t>
        </is>
      </c>
    </row>
    <row r="148">
      <c r="A148" s="5" t="inlineStr">
        <is>
          <t>화면 정합</t>
        </is>
      </c>
      <c r="B148" s="3" t="inlineStr">
        <is>
          <t>가맹점 투자실행액 합</t>
        </is>
      </c>
      <c r="C148" s="8">
        <f>$E$44+$E$50+$E$56+$E$62+$E$68+$E$74+$E$80+$E$86</f>
        <v/>
      </c>
      <c r="D148" s="5" t="inlineStr">
        <is>
          <t>Σ 가맹점별 투자실행액</t>
        </is>
      </c>
      <c r="E148" s="2">
        <f>$E$2</f>
        <v/>
      </c>
      <c r="F148" s="2">
        <f>IFERROR(C148-E148,"")</f>
        <v/>
      </c>
      <c r="G148" s="5">
        <f>IFERROR(IF(ABS(F148)&lt;=0.5,"일치","차이"),"")</f>
        <v/>
      </c>
      <c r="H148" s="5" t="inlineStr">
        <is>
          <t>roster16_model.py EXEC</t>
        </is>
      </c>
    </row>
    <row r="149">
      <c r="A149" s="5" t="inlineStr">
        <is>
          <t>화면 정합</t>
        </is>
      </c>
      <c r="B149" s="3" t="inlineStr">
        <is>
          <t>가맹점 비중 합(%)</t>
        </is>
      </c>
      <c r="C149" s="25">
        <f>$E$49+$E$55+$E$61+$E$67+$E$73+$E$79+$E$85+$E$91</f>
        <v/>
      </c>
      <c r="D149" s="5" t="inlineStr">
        <is>
          <t>Σ 가맹점별 비중 (최대잉여법)</t>
        </is>
      </c>
      <c r="E149" s="24" t="n">
        <v>100</v>
      </c>
      <c r="F149" s="24">
        <f>IFERROR(C149-E149,"")</f>
        <v/>
      </c>
      <c r="G149" s="5">
        <f>IFERROR(IF(ABS(F149)&lt;=0.005,"일치","차이"),"")</f>
        <v/>
      </c>
      <c r="H149" s="5" t="inlineStr">
        <is>
          <t>roster16_model.py ratios</t>
        </is>
      </c>
    </row>
    <row r="150">
      <c r="A150" s="5" t="inlineStr">
        <is>
          <t>화면 정합</t>
        </is>
      </c>
      <c r="B150" s="3" t="inlineStr">
        <is>
          <t>김성호떡볶이 본점 — W 표기 = ROUND(W raw, 2)</t>
        </is>
      </c>
      <c r="C150" s="6">
        <f>ROUND($E$46,2)</f>
        <v/>
      </c>
      <c r="D150" s="5" t="inlineStr">
        <is>
          <t>ROUND(W raw, 2)</t>
        </is>
      </c>
      <c r="E150" s="7">
        <f>$E$45</f>
        <v/>
      </c>
      <c r="F150" s="7">
        <f>IFERROR(C150-E150,"")</f>
        <v/>
      </c>
      <c r="G150" s="5">
        <f>IFERROR(IF(ABS(F150)&lt;=0.0005,"일치","차이"),"")</f>
        <v/>
      </c>
      <c r="H150" s="5" t="inlineStr">
        <is>
          <t>9-C 표기 규칙</t>
        </is>
      </c>
    </row>
    <row r="151">
      <c r="A151" s="5" t="inlineStr">
        <is>
          <t>화면 정합</t>
        </is>
      </c>
      <c r="B151" s="3" t="inlineStr">
        <is>
          <t>김성호떡볶이 본점 — Ty = 할인율 x 365 / W raw</t>
        </is>
      </c>
      <c r="C151" s="6">
        <f>ROUND($E$12*연일수/$E$46,2)</f>
        <v/>
      </c>
      <c r="D151" s="5" t="inlineStr">
        <is>
          <t>할인율 x 365 / W raw(6자리)</t>
        </is>
      </c>
      <c r="E151" s="7">
        <f>$E$47</f>
        <v/>
      </c>
      <c r="F151" s="7">
        <f>IFERROR(C151-E151,"")</f>
        <v/>
      </c>
      <c r="G151" s="5">
        <f>IFERROR(IF(ABS(F151)&lt;=0.005,"일치","차이"),"")</f>
        <v/>
      </c>
      <c r="H151" s="5" t="inlineStr">
        <is>
          <t>ceo_definitions.md [1번] ty수익율 · dm_0901/rounding_rule_0901.md 규칙 1</t>
        </is>
      </c>
    </row>
    <row r="152">
      <c r="A152" s="5" t="inlineStr">
        <is>
          <t>화면 정합</t>
        </is>
      </c>
      <c r="B152" s="3" t="inlineStr">
        <is>
          <t>초록치킨 서초점 — W 표기 = ROUND(W raw, 2)</t>
        </is>
      </c>
      <c r="C152" s="6">
        <f>ROUND($E$52,2)</f>
        <v/>
      </c>
      <c r="D152" s="5" t="inlineStr">
        <is>
          <t>ROUND(W raw, 2)</t>
        </is>
      </c>
      <c r="E152" s="7">
        <f>$E$51</f>
        <v/>
      </c>
      <c r="F152" s="7">
        <f>IFERROR(C152-E152,"")</f>
        <v/>
      </c>
      <c r="G152" s="5">
        <f>IFERROR(IF(ABS(F152)&lt;=0.0005,"일치","차이"),"")</f>
        <v/>
      </c>
      <c r="H152" s="5" t="inlineStr">
        <is>
          <t>9-C 표기 규칙</t>
        </is>
      </c>
    </row>
    <row r="153">
      <c r="A153" s="5" t="inlineStr">
        <is>
          <t>화면 정합</t>
        </is>
      </c>
      <c r="B153" s="3" t="inlineStr">
        <is>
          <t>초록치킨 서초점 — Ty = 할인율 x 365 / W raw</t>
        </is>
      </c>
      <c r="C153" s="6">
        <f>ROUND($E$12*연일수/$E$52,2)</f>
        <v/>
      </c>
      <c r="D153" s="5" t="inlineStr">
        <is>
          <t>할인율 x 365 / W raw(6자리)</t>
        </is>
      </c>
      <c r="E153" s="7">
        <f>$E$53</f>
        <v/>
      </c>
      <c r="F153" s="7">
        <f>IFERROR(C153-E153,"")</f>
        <v/>
      </c>
      <c r="G153" s="5">
        <f>IFERROR(IF(ABS(F153)&lt;=0.005,"일치","차이"),"")</f>
        <v/>
      </c>
      <c r="H153" s="5" t="inlineStr">
        <is>
          <t>ceo_definitions.md [1번] ty수익율 · dm_0901/rounding_rule_0901.md 규칙 1</t>
        </is>
      </c>
    </row>
    <row r="154">
      <c r="A154" s="5" t="inlineStr">
        <is>
          <t>화면 정합</t>
        </is>
      </c>
      <c r="B154" s="3" t="inlineStr">
        <is>
          <t>김밥나라 — W 표기 = ROUND(W raw, 2)</t>
        </is>
      </c>
      <c r="C154" s="6">
        <f>ROUND($E$58,2)</f>
        <v/>
      </c>
      <c r="D154" s="5" t="inlineStr">
        <is>
          <t>ROUND(W raw, 2)</t>
        </is>
      </c>
      <c r="E154" s="7">
        <f>$E$57</f>
        <v/>
      </c>
      <c r="F154" s="7">
        <f>IFERROR(C154-E154,"")</f>
        <v/>
      </c>
      <c r="G154" s="5">
        <f>IFERROR(IF(ABS(F154)&lt;=0.0005,"일치","차이"),"")</f>
        <v/>
      </c>
      <c r="H154" s="5" t="inlineStr">
        <is>
          <t>9-C 표기 규칙</t>
        </is>
      </c>
    </row>
    <row r="155">
      <c r="A155" s="5" t="inlineStr">
        <is>
          <t>화면 정합</t>
        </is>
      </c>
      <c r="B155" s="3" t="inlineStr">
        <is>
          <t>김밥나라 — Ty = 할인율 x 365 / W raw</t>
        </is>
      </c>
      <c r="C155" s="6">
        <f>ROUND($E$12*연일수/$E$58,2)</f>
        <v/>
      </c>
      <c r="D155" s="5" t="inlineStr">
        <is>
          <t>할인율 x 365 / W raw(6자리)</t>
        </is>
      </c>
      <c r="E155" s="7">
        <f>$E$59</f>
        <v/>
      </c>
      <c r="F155" s="7">
        <f>IFERROR(C155-E155,"")</f>
        <v/>
      </c>
      <c r="G155" s="5">
        <f>IFERROR(IF(ABS(F155)&lt;=0.005,"일치","차이"),"")</f>
        <v/>
      </c>
      <c r="H155" s="5" t="inlineStr">
        <is>
          <t>ceo_definitions.md [1번] ty수익율 · dm_0901/rounding_rule_0901.md 규칙 1</t>
        </is>
      </c>
    </row>
    <row r="156">
      <c r="A156" s="5" t="inlineStr">
        <is>
          <t>화면 정합</t>
        </is>
      </c>
      <c r="B156" s="3" t="inlineStr">
        <is>
          <t>골목냉면 — W 표기 = ROUND(W raw, 2)</t>
        </is>
      </c>
      <c r="C156" s="6">
        <f>ROUND($E$64,2)</f>
        <v/>
      </c>
      <c r="D156" s="5" t="inlineStr">
        <is>
          <t>ROUND(W raw, 2)</t>
        </is>
      </c>
      <c r="E156" s="7">
        <f>$E$63</f>
        <v/>
      </c>
      <c r="F156" s="7">
        <f>IFERROR(C156-E156,"")</f>
        <v/>
      </c>
      <c r="G156" s="5">
        <f>IFERROR(IF(ABS(F156)&lt;=0.0005,"일치","차이"),"")</f>
        <v/>
      </c>
      <c r="H156" s="5" t="inlineStr">
        <is>
          <t>9-C 표기 규칙</t>
        </is>
      </c>
    </row>
    <row r="157">
      <c r="A157" s="5" t="inlineStr">
        <is>
          <t>화면 정합</t>
        </is>
      </c>
      <c r="B157" s="3" t="inlineStr">
        <is>
          <t>골목냉면 — Ty = 할인율 x 365 / W raw</t>
        </is>
      </c>
      <c r="C157" s="6">
        <f>ROUND($E$12*연일수/$E$64,2)</f>
        <v/>
      </c>
      <c r="D157" s="5" t="inlineStr">
        <is>
          <t>할인율 x 365 / W raw(6자리)</t>
        </is>
      </c>
      <c r="E157" s="7">
        <f>$E$65</f>
        <v/>
      </c>
      <c r="F157" s="7">
        <f>IFERROR(C157-E157,"")</f>
        <v/>
      </c>
      <c r="G157" s="5">
        <f>IFERROR(IF(ABS(F157)&lt;=0.005,"일치","차이"),"")</f>
        <v/>
      </c>
      <c r="H157" s="5" t="inlineStr">
        <is>
          <t>ceo_definitions.md [1번] ty수익율 · dm_0901/rounding_rule_0901.md 규칙 1</t>
        </is>
      </c>
    </row>
    <row r="158">
      <c r="A158" s="5" t="inlineStr">
        <is>
          <t>화면 정합</t>
        </is>
      </c>
      <c r="B158" s="3" t="inlineStr">
        <is>
          <t>달빛곱창 홍대점 — W 표기 = ROUND(W raw, 2)</t>
        </is>
      </c>
      <c r="C158" s="6">
        <f>ROUND($E$70,2)</f>
        <v/>
      </c>
      <c r="D158" s="5" t="inlineStr">
        <is>
          <t>ROUND(W raw, 2)</t>
        </is>
      </c>
      <c r="E158" s="7">
        <f>$E$69</f>
        <v/>
      </c>
      <c r="F158" s="7">
        <f>IFERROR(C158-E158,"")</f>
        <v/>
      </c>
      <c r="G158" s="5">
        <f>IFERROR(IF(ABS(F158)&lt;=0.0005,"일치","차이"),"")</f>
        <v/>
      </c>
      <c r="H158" s="5" t="inlineStr">
        <is>
          <t>9-C 표기 규칙</t>
        </is>
      </c>
    </row>
    <row r="159">
      <c r="A159" s="5" t="inlineStr">
        <is>
          <t>화면 정합</t>
        </is>
      </c>
      <c r="B159" s="3" t="inlineStr">
        <is>
          <t>달빛곱창 홍대점 — Ty = 할인율 x 365 / W raw</t>
        </is>
      </c>
      <c r="C159" s="6">
        <f>ROUND($E$12*연일수/$E$70,2)</f>
        <v/>
      </c>
      <c r="D159" s="5" t="inlineStr">
        <is>
          <t>할인율 x 365 / W raw(6자리)</t>
        </is>
      </c>
      <c r="E159" s="7">
        <f>$E$71</f>
        <v/>
      </c>
      <c r="F159" s="7">
        <f>IFERROR(C159-E159,"")</f>
        <v/>
      </c>
      <c r="G159" s="5">
        <f>IFERROR(IF(ABS(F159)&lt;=0.005,"일치","차이"),"")</f>
        <v/>
      </c>
      <c r="H159" s="5" t="inlineStr">
        <is>
          <t>ceo_definitions.md [1번] ty수익율 · dm_0901/rounding_rule_0901.md 규칙 1</t>
        </is>
      </c>
    </row>
    <row r="160">
      <c r="A160" s="5" t="inlineStr">
        <is>
          <t>화면 정합</t>
        </is>
      </c>
      <c r="B160" s="3" t="inlineStr">
        <is>
          <t>청춘포차 신촌점 — W 표기 = ROUND(W raw, 2)</t>
        </is>
      </c>
      <c r="C160" s="6">
        <f>ROUND($E$76,2)</f>
        <v/>
      </c>
      <c r="D160" s="5" t="inlineStr">
        <is>
          <t>ROUND(W raw, 2)</t>
        </is>
      </c>
      <c r="E160" s="7">
        <f>$E$75</f>
        <v/>
      </c>
      <c r="F160" s="7">
        <f>IFERROR(C160-E160,"")</f>
        <v/>
      </c>
      <c r="G160" s="5">
        <f>IFERROR(IF(ABS(F160)&lt;=0.0005,"일치","차이"),"")</f>
        <v/>
      </c>
      <c r="H160" s="5" t="inlineStr">
        <is>
          <t>9-C 표기 규칙</t>
        </is>
      </c>
    </row>
    <row r="161">
      <c r="A161" s="5" t="inlineStr">
        <is>
          <t>화면 정합</t>
        </is>
      </c>
      <c r="B161" s="3" t="inlineStr">
        <is>
          <t>청춘포차 신촌점 — Ty = 할인율 x 365 / W raw</t>
        </is>
      </c>
      <c r="C161" s="6">
        <f>ROUND($E$12*연일수/$E$76,2)</f>
        <v/>
      </c>
      <c r="D161" s="5" t="inlineStr">
        <is>
          <t>할인율 x 365 / W raw(6자리)</t>
        </is>
      </c>
      <c r="E161" s="7">
        <f>$E$77</f>
        <v/>
      </c>
      <c r="F161" s="7">
        <f>IFERROR(C161-E161,"")</f>
        <v/>
      </c>
      <c r="G161" s="5">
        <f>IFERROR(IF(ABS(F161)&lt;=0.005,"일치","차이"),"")</f>
        <v/>
      </c>
      <c r="H161" s="5" t="inlineStr">
        <is>
          <t>ceo_definitions.md [1번] ty수익율 · dm_0901/rounding_rule_0901.md 규칙 1</t>
        </is>
      </c>
    </row>
    <row r="162">
      <c r="A162" s="5" t="inlineStr">
        <is>
          <t>화면 정합</t>
        </is>
      </c>
      <c r="B162" s="3" t="inlineStr">
        <is>
          <t>바다마루 횟집 — W 표기 = ROUND(W raw, 2)</t>
        </is>
      </c>
      <c r="C162" s="6">
        <f>ROUND($E$82,2)</f>
        <v/>
      </c>
      <c r="D162" s="5" t="inlineStr">
        <is>
          <t>ROUND(W raw, 2)</t>
        </is>
      </c>
      <c r="E162" s="7">
        <f>$E$81</f>
        <v/>
      </c>
      <c r="F162" s="7">
        <f>IFERROR(C162-E162,"")</f>
        <v/>
      </c>
      <c r="G162" s="5">
        <f>IFERROR(IF(ABS(F162)&lt;=0.0005,"일치","차이"),"")</f>
        <v/>
      </c>
      <c r="H162" s="5" t="inlineStr">
        <is>
          <t>9-C 표기 규칙</t>
        </is>
      </c>
    </row>
    <row r="163">
      <c r="A163" s="5" t="inlineStr">
        <is>
          <t>화면 정합</t>
        </is>
      </c>
      <c r="B163" s="3" t="inlineStr">
        <is>
          <t>바다마루 횟집 — Ty = 할인율 x 365 / W raw</t>
        </is>
      </c>
      <c r="C163" s="6">
        <f>ROUND($E$12*연일수/$E$82,2)</f>
        <v/>
      </c>
      <c r="D163" s="5" t="inlineStr">
        <is>
          <t>할인율 x 365 / W raw(6자리)</t>
        </is>
      </c>
      <c r="E163" s="7">
        <f>$E$83</f>
        <v/>
      </c>
      <c r="F163" s="7">
        <f>IFERROR(C163-E163,"")</f>
        <v/>
      </c>
      <c r="G163" s="5">
        <f>IFERROR(IF(ABS(F163)&lt;=0.005,"일치","차이"),"")</f>
        <v/>
      </c>
      <c r="H163" s="5" t="inlineStr">
        <is>
          <t>ceo_definitions.md [1번] ty수익율 · dm_0901/rounding_rule_0901.md 규칙 1</t>
        </is>
      </c>
    </row>
    <row r="164">
      <c r="A164" s="5" t="inlineStr">
        <is>
          <t>화면 정합</t>
        </is>
      </c>
      <c r="B164" s="3" t="inlineStr">
        <is>
          <t>한강커피 잠원점 — W 표기 = ROUND(W raw, 2)</t>
        </is>
      </c>
      <c r="C164" s="6">
        <f>ROUND($E$88,2)</f>
        <v/>
      </c>
      <c r="D164" s="5" t="inlineStr">
        <is>
          <t>ROUND(W raw, 2)</t>
        </is>
      </c>
      <c r="E164" s="7">
        <f>$E$87</f>
        <v/>
      </c>
      <c r="F164" s="7">
        <f>IFERROR(C164-E164,"")</f>
        <v/>
      </c>
      <c r="G164" s="5">
        <f>IFERROR(IF(ABS(F164)&lt;=0.0005,"일치","차이"),"")</f>
        <v/>
      </c>
      <c r="H164" s="5" t="inlineStr">
        <is>
          <t>9-C 표기 규칙</t>
        </is>
      </c>
    </row>
    <row r="165">
      <c r="A165" s="5" t="inlineStr">
        <is>
          <t>화면 정합</t>
        </is>
      </c>
      <c r="B165" s="3" t="inlineStr">
        <is>
          <t>한강커피 잠원점 — Ty = 할인율 x 365 / W raw</t>
        </is>
      </c>
      <c r="C165" s="6">
        <f>ROUND($E$12*연일수/$E$88,2)</f>
        <v/>
      </c>
      <c r="D165" s="5" t="inlineStr">
        <is>
          <t>할인율 x 365 / W raw(6자리)</t>
        </is>
      </c>
      <c r="E165" s="7">
        <f>$E$89</f>
        <v/>
      </c>
      <c r="F165" s="7">
        <f>IFERROR(C165-E165,"")</f>
        <v/>
      </c>
      <c r="G165" s="5">
        <f>IFERROR(IF(ABS(F165)&lt;=0.005,"일치","차이"),"")</f>
        <v/>
      </c>
      <c r="H165" s="5" t="inlineStr">
        <is>
          <t>ceo_definitions.md [1번] ty수익율 · dm_0901/rounding_rule_0901.md 규칙 1</t>
        </is>
      </c>
    </row>
    <row r="167" ht="30" customHeight="1">
      <c r="A167" s="11" t="inlineStr">
        <is>
          <t>구분</t>
        </is>
      </c>
      <c r="B167" s="11" t="inlineStr">
        <is>
          <t>항목</t>
        </is>
      </c>
      <c r="C167" s="11" t="inlineStr">
        <is>
          <t>엑셀 값</t>
        </is>
      </c>
      <c r="D167" s="11" t="inlineStr">
        <is>
          <t>산출 경로</t>
        </is>
      </c>
      <c r="E167" s="11" t="inlineStr">
        <is>
          <t>화면 표시값</t>
        </is>
      </c>
      <c r="F167" s="11" t="inlineStr">
        <is>
          <t>차이</t>
        </is>
      </c>
      <c r="G167" s="11" t="inlineStr">
        <is>
          <t>잔차율(%)</t>
        </is>
      </c>
      <c r="H167" s="11" t="inlineStr">
        <is>
          <t>사유</t>
        </is>
      </c>
    </row>
    <row r="168">
      <c r="A168" s="5" t="inlineStr">
        <is>
          <t>모델 잔차</t>
        </is>
      </c>
      <c r="B168" s="3" t="inlineStr">
        <is>
          <t>하루 평균 투자실행금</t>
        </is>
      </c>
      <c r="C168" s="8">
        <f>가맹점!B16*(1-할인율)</f>
        <v/>
      </c>
      <c r="D168" s="5" t="inlineStr">
        <is>
          <t>가맹점 B16 x (1-r)</t>
        </is>
      </c>
      <c r="E168" s="2">
        <f>$E$13</f>
        <v/>
      </c>
      <c r="F168" s="2">
        <f>IFERROR(C168-E168,"")</f>
        <v/>
      </c>
      <c r="G168" s="7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조회기간 PA</t>
        </is>
      </c>
      <c r="C169" s="8">
        <f>기간집계!B5</f>
        <v/>
      </c>
      <c r="D169" s="5" t="inlineStr">
        <is>
          <t>기간집계 B5</t>
        </is>
      </c>
      <c r="E169" s="2">
        <f>$E$22</f>
        <v/>
      </c>
      <c r="F169" s="2">
        <f>IFERROR(C169-E169,"")</f>
        <v/>
      </c>
      <c r="G169" s="7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조회기간 PwD</t>
        </is>
      </c>
      <c r="C170" s="9">
        <f>기간집계!B12</f>
        <v/>
      </c>
      <c r="D170" s="5" t="inlineStr">
        <is>
          <t>기간집계 B12</t>
        </is>
      </c>
      <c r="E170" s="10">
        <f>$E$27</f>
        <v/>
      </c>
      <c r="F170" s="10">
        <f>IFERROR(C170-E170,"")</f>
        <v/>
      </c>
      <c r="G170" s="7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조회기간 PM (차감 반영)</t>
        </is>
      </c>
      <c r="C171" s="8">
        <f>기간집계!B6</f>
        <v/>
      </c>
      <c r="D171" s="5" t="inlineStr">
        <is>
          <t>기간집계 B6</t>
        </is>
      </c>
      <c r="E171" s="2">
        <f>$E$23</f>
        <v/>
      </c>
      <c r="F171" s="2">
        <f>IFERROR(C171-E171,"")</f>
        <v/>
      </c>
      <c r="G171" s="7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2">
      <c r="A172" s="5" t="inlineStr">
        <is>
          <t>모델 잔차</t>
        </is>
      </c>
      <c r="B172" s="3" t="inlineStr">
        <is>
          <t>조회기간 ④(%)</t>
        </is>
      </c>
      <c r="C172" s="6">
        <f>기간집계!B13</f>
        <v/>
      </c>
      <c r="D172" s="5" t="inlineStr">
        <is>
          <t>기간집계 B13</t>
        </is>
      </c>
      <c r="E172" s="7">
        <f>$E$31</f>
        <v/>
      </c>
      <c r="F172" s="7">
        <f>IFERROR(C172-E172,"")</f>
        <v/>
      </c>
      <c r="G172" s="7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3">
      <c r="A173" s="5" t="inlineStr">
        <is>
          <t>모델 잔차</t>
        </is>
      </c>
      <c r="B173" s="3" t="inlineStr">
        <is>
          <t>조회기간 ⑤(%)</t>
        </is>
      </c>
      <c r="C173" s="6">
        <f>기간집계!B17</f>
        <v/>
      </c>
      <c r="D173" s="5" t="inlineStr">
        <is>
          <t>기간집계 B17</t>
        </is>
      </c>
      <c r="E173" s="7">
        <f>$E$32</f>
        <v/>
      </c>
      <c r="F173" s="7">
        <f>IFERROR(C173-E173,"")</f>
        <v/>
      </c>
      <c r="G173" s="7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4">
      <c r="A174" s="5" t="inlineStr">
        <is>
          <t>모델 잔차</t>
        </is>
      </c>
      <c r="B174" s="3" t="inlineStr">
        <is>
          <t>조회기간 PEC</t>
        </is>
      </c>
      <c r="C174" s="8">
        <f>기간집계!B15</f>
        <v/>
      </c>
      <c r="D174" s="5" t="inlineStr">
        <is>
          <t>기간집계 B15</t>
        </is>
      </c>
      <c r="E174" s="2">
        <f>$E$29</f>
        <v/>
      </c>
      <c r="F174" s="2">
        <f>IFERROR(C174-E174,"")</f>
        <v/>
      </c>
      <c r="G174" s="7">
        <f>IFERROR(IF(E174=0,"",F174/E174*100),"")</f>
        <v/>
      </c>
      <c r="H174" s="4" t="inlineStr">
        <is>
          <t>조회 일수가 같으면 차가 0 이다.</t>
        </is>
      </c>
    </row>
    <row r="175">
      <c r="A175" s="5" t="inlineStr">
        <is>
          <t>모델 잔차</t>
        </is>
      </c>
      <c r="B175" s="3" t="inlineStr">
        <is>
          <t>조회기간 Σ(Ai x Di)</t>
        </is>
      </c>
      <c r="C175" s="8">
        <f>기간집계!B9</f>
        <v/>
      </c>
      <c r="D175" s="5" t="inlineStr">
        <is>
          <t>기간집계 B9</t>
        </is>
      </c>
      <c r="E175" s="2">
        <f>$E$30</f>
        <v/>
      </c>
      <c r="F175" s="2">
        <f>IFERROR(C175-E175,"")</f>
        <v/>
      </c>
      <c r="G175" s="7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주간 상환액 - (PA + PM)</t>
        </is>
      </c>
      <c r="C176" s="8">
        <f>$E$24-$E$22-$E$23</f>
        <v/>
      </c>
      <c r="D176" s="5" t="inlineStr">
        <is>
          <t>화면대조 E24 - E22 - E23</t>
        </is>
      </c>
      <c r="E176" s="2" t="n">
        <v>0</v>
      </c>
      <c r="F176" s="2">
        <f>IFERROR(C176-E176,"")</f>
        <v/>
      </c>
      <c r="G176" s="7">
        <f>IFERROR(IF(E176=0,"",F176/E176*100),"")</f>
        <v/>
      </c>
      <c r="H176" s="4" t="inlineStr">
        <is>
          <t>상환액은 순지급액 - max(0, Li) 한 줄로 낸다. 투자실행금은 반올림(순지급액 x (1-r)), 채권매입수수료는 절사(순지급액 x r) 이라 둘을 더하면 건당 0~1원이 모자란다. 투자실행금 + 투자수익으로 되짚으면 그만큼 어긋난다.</t>
        </is>
      </c>
    </row>
    <row r="177">
      <c r="A177" s="5" t="inlineStr">
        <is>
          <t>모델 잔차</t>
        </is>
      </c>
      <c r="B177" s="3" t="inlineStr">
        <is>
          <t>차감 / 수수료(%)</t>
        </is>
      </c>
      <c r="C177" s="6">
        <f>기간집계!B20</f>
        <v/>
      </c>
      <c r="D177" s="5" t="inlineStr">
        <is>
          <t>기간집계 B20</t>
        </is>
      </c>
      <c r="E177" s="7">
        <f>$E$37</f>
        <v/>
      </c>
      <c r="F177" s="7">
        <f>IFERROR(C177-E177,"")</f>
        <v/>
      </c>
      <c r="G177" s="7">
        <f>IFERROR(IF(E177=0,"",F177/E177*100),"")</f>
        <v/>
      </c>
      <c r="H177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8">
      <c r="A178" s="5" t="inlineStr">
        <is>
          <t>모델 잔차</t>
        </is>
      </c>
      <c r="B178" s="3" t="inlineStr">
        <is>
          <t>S입금부족율 raw(%)</t>
        </is>
      </c>
      <c r="C178" s="9">
        <f>기간집계!B51</f>
        <v/>
      </c>
      <c r="D178" s="5" t="inlineStr">
        <is>
          <t>기간집계 B51</t>
        </is>
      </c>
      <c r="E178" s="10">
        <f>$E$10</f>
        <v/>
      </c>
      <c r="F178" s="10">
        <f>IFERROR(C178-E178,"")</f>
        <v/>
      </c>
      <c r="G178" s="7">
        <f>IFERROR(IF(E178=0,"",F178/E178*100),"")</f>
        <v/>
      </c>
      <c r="H178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9">
      <c r="A179" s="5" t="inlineStr">
        <is>
          <t>모델 잔차</t>
        </is>
      </c>
      <c r="B179" s="3" t="inlineStr">
        <is>
          <t>채권 건수</t>
        </is>
      </c>
      <c r="C179" s="8">
        <f>기간집계!B53</f>
        <v/>
      </c>
      <c r="D179" s="5" t="inlineStr">
        <is>
          <t>기간집계 B53</t>
        </is>
      </c>
      <c r="E179" s="2">
        <f>$E$15</f>
        <v/>
      </c>
      <c r="F179" s="2">
        <f>IFERROR(C179-E179,"")</f>
        <v/>
      </c>
      <c r="G179" s="7">
        <f>IFERROR(IF(E179=0,"",F179/E179*100),"")</f>
        <v/>
      </c>
      <c r="H179" s="4" t="inlineStr">
        <is>
          <t>모집단이 다르다. 이 통합문서는 선정산일 40일 x 8곳 x 4플랫폼 = 1280건, 화면 원장은 193일 x 8곳 x 4플랫폼 x 정산예정일 버킷 = 61,760건.</t>
        </is>
      </c>
    </row>
    <row r="180">
      <c r="A180" s="5" t="inlineStr">
        <is>
          <t>모델 잔차</t>
        </is>
      </c>
      <c r="B180" s="3" t="inlineStr">
        <is>
          <t>미회수 건수</t>
        </is>
      </c>
      <c r="C180" s="8">
        <f>기간집계!B52</f>
        <v/>
      </c>
      <c r="D180" s="5" t="inlineStr">
        <is>
          <t>기간집계 B52</t>
        </is>
      </c>
      <c r="E180" s="2">
        <f>$E$16</f>
        <v/>
      </c>
      <c r="F180" s="2">
        <f>IFERROR(C180-E180,"")</f>
        <v/>
      </c>
      <c r="G180" s="7">
        <f>IFERROR(IF(E180=0,"",F180/E180*100),"")</f>
        <v/>
      </c>
      <c r="H180" s="4" t="inlineStr">
        <is>
          <t>모집단이 다르다. 이 통합문서는 선정산일 40일 x 8곳 x 4플랫폼 = 1280건, 화면 원장은 193일 x 8곳 x 4플랫폼 x 정산예정일 버킷 = 61,760건.</t>
        </is>
      </c>
    </row>
    <row r="181">
      <c r="A181" s="5" t="inlineStr">
        <is>
          <t>모델 잔차</t>
        </is>
      </c>
      <c r="B181" s="3" t="inlineStr">
        <is>
          <t>김성호떡볶이 본점 — 투자실행액</t>
        </is>
      </c>
      <c r="C181" s="8">
        <f>가맹점!R2</f>
        <v/>
      </c>
      <c r="D181" s="5" t="inlineStr">
        <is>
          <t>가맹점 R2</t>
        </is>
      </c>
      <c r="E181" s="2">
        <f>$E$44</f>
        <v/>
      </c>
      <c r="F181" s="2">
        <f>IFERROR(C181-E181,"")</f>
        <v/>
      </c>
      <c r="G181" s="7">
        <f>IFERROR(IF(E181=0,"",F181/E181*100),"")</f>
        <v/>
      </c>
      <c r="H181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2">
      <c r="A182" s="5" t="inlineStr">
        <is>
          <t>모델 잔차</t>
        </is>
      </c>
      <c r="B182" s="3" t="inlineStr">
        <is>
          <t>초록치킨 서초점 — 투자실행액</t>
        </is>
      </c>
      <c r="C182" s="8">
        <f>가맹점!R3</f>
        <v/>
      </c>
      <c r="D182" s="5" t="inlineStr">
        <is>
          <t>가맹점 R3</t>
        </is>
      </c>
      <c r="E182" s="2">
        <f>$E$50</f>
        <v/>
      </c>
      <c r="F182" s="2">
        <f>IFERROR(C182-E182,"")</f>
        <v/>
      </c>
      <c r="G182" s="7">
        <f>IFERROR(IF(E182=0,"",F182/E182*100),"")</f>
        <v/>
      </c>
      <c r="H182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3">
      <c r="A183" s="5" t="inlineStr">
        <is>
          <t>모델 잔차</t>
        </is>
      </c>
      <c r="B183" s="3" t="inlineStr">
        <is>
          <t>김밥나라 — 투자실행액</t>
        </is>
      </c>
      <c r="C183" s="8">
        <f>가맹점!R4</f>
        <v/>
      </c>
      <c r="D183" s="5" t="inlineStr">
        <is>
          <t>가맹점 R4</t>
        </is>
      </c>
      <c r="E183" s="2">
        <f>$E$56</f>
        <v/>
      </c>
      <c r="F183" s="2">
        <f>IFERROR(C183-E183,"")</f>
        <v/>
      </c>
      <c r="G183" s="7">
        <f>IFERROR(IF(E183=0,"",F183/E183*100),"")</f>
        <v/>
      </c>
      <c r="H183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4">
      <c r="A184" s="5" t="inlineStr">
        <is>
          <t>모델 잔차</t>
        </is>
      </c>
      <c r="B184" s="3" t="inlineStr">
        <is>
          <t>골목냉면 — 투자실행액</t>
        </is>
      </c>
      <c r="C184" s="8">
        <f>가맹점!R5</f>
        <v/>
      </c>
      <c r="D184" s="5" t="inlineStr">
        <is>
          <t>가맹점 R5</t>
        </is>
      </c>
      <c r="E184" s="2">
        <f>$E$62</f>
        <v/>
      </c>
      <c r="F184" s="2">
        <f>IFERROR(C184-E184,"")</f>
        <v/>
      </c>
      <c r="G184" s="7">
        <f>IFERROR(IF(E184=0,"",F184/E184*100),"")</f>
        <v/>
      </c>
      <c r="H184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5">
      <c r="A185" s="5" t="inlineStr">
        <is>
          <t>모델 잔차</t>
        </is>
      </c>
      <c r="B185" s="3" t="inlineStr">
        <is>
          <t>달빛곱창 홍대점 — 투자실행액</t>
        </is>
      </c>
      <c r="C185" s="8">
        <f>가맹점!R6</f>
        <v/>
      </c>
      <c r="D185" s="5" t="inlineStr">
        <is>
          <t>가맹점 R6</t>
        </is>
      </c>
      <c r="E185" s="2">
        <f>$E$68</f>
        <v/>
      </c>
      <c r="F185" s="2">
        <f>IFERROR(C185-E185,"")</f>
        <v/>
      </c>
      <c r="G185" s="7">
        <f>IFERROR(IF(E185=0,"",F185/E185*100),"")</f>
        <v/>
      </c>
      <c r="H185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6">
      <c r="A186" s="5" t="inlineStr">
        <is>
          <t>모델 잔차</t>
        </is>
      </c>
      <c r="B186" s="3" t="inlineStr">
        <is>
          <t>청춘포차 신촌점 — 투자실행액</t>
        </is>
      </c>
      <c r="C186" s="8">
        <f>가맹점!R7</f>
        <v/>
      </c>
      <c r="D186" s="5" t="inlineStr">
        <is>
          <t>가맹점 R7</t>
        </is>
      </c>
      <c r="E186" s="2">
        <f>$E$74</f>
        <v/>
      </c>
      <c r="F186" s="2">
        <f>IFERROR(C186-E186,"")</f>
        <v/>
      </c>
      <c r="G186" s="7">
        <f>IFERROR(IF(E186=0,"",F186/E186*100),"")</f>
        <v/>
      </c>
      <c r="H186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7">
      <c r="A187" s="5" t="inlineStr">
        <is>
          <t>모델 잔차</t>
        </is>
      </c>
      <c r="B187" s="3" t="inlineStr">
        <is>
          <t>바다마루 횟집 — 투자실행액</t>
        </is>
      </c>
      <c r="C187" s="8">
        <f>가맹점!R8</f>
        <v/>
      </c>
      <c r="D187" s="5" t="inlineStr">
        <is>
          <t>가맹점 R8</t>
        </is>
      </c>
      <c r="E187" s="2">
        <f>$E$80</f>
        <v/>
      </c>
      <c r="F187" s="2">
        <f>IFERROR(C187-E187,"")</f>
        <v/>
      </c>
      <c r="G187" s="7">
        <f>IFERROR(IF(E187=0,"",F187/E187*100),"")</f>
        <v/>
      </c>
      <c r="H187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8">
      <c r="A188" s="5" t="inlineStr">
        <is>
          <t>모델 잔차</t>
        </is>
      </c>
      <c r="B188" s="3" t="inlineStr">
        <is>
          <t>한강커피 잠원점 — 투자실행액</t>
        </is>
      </c>
      <c r="C188" s="8">
        <f>가맹점!R9</f>
        <v/>
      </c>
      <c r="D188" s="5" t="inlineStr">
        <is>
          <t>가맹점 R9</t>
        </is>
      </c>
      <c r="E188" s="2">
        <f>$E$86</f>
        <v/>
      </c>
      <c r="F188" s="2">
        <f>IFERROR(C188-E188,"")</f>
        <v/>
      </c>
      <c r="G188" s="7">
        <f>IFERROR(IF(E188=0,"",F188/E188*100),"")</f>
        <v/>
      </c>
      <c r="H188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9">
      <c r="A189" s="5" t="inlineStr">
        <is>
          <t>모델 잔차</t>
        </is>
      </c>
      <c r="B189" s="3" t="inlineStr">
        <is>
          <t>김성호떡볶이 본점 — 비중 표기(%)</t>
        </is>
      </c>
      <c r="C189" s="25">
        <f>가맹점!AC2</f>
        <v/>
      </c>
      <c r="D189" s="5" t="inlineStr">
        <is>
          <t>가맹점 AC2</t>
        </is>
      </c>
      <c r="E189" s="24">
        <f>$E$49</f>
        <v/>
      </c>
      <c r="F189" s="24">
        <f>IFERROR(C189-E189,"")</f>
        <v/>
      </c>
      <c r="G189" s="7">
        <f>IFERROR(IF(E189=0,"",F189/E189*100),"")</f>
        <v/>
      </c>
      <c r="H189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0">
      <c r="A190" s="5" t="inlineStr">
        <is>
          <t>모델 잔차</t>
        </is>
      </c>
      <c r="B190" s="3" t="inlineStr">
        <is>
          <t>초록치킨 서초점 — 비중 표기(%)</t>
        </is>
      </c>
      <c r="C190" s="25">
        <f>가맹점!AC3</f>
        <v/>
      </c>
      <c r="D190" s="5" t="inlineStr">
        <is>
          <t>가맹점 AC3</t>
        </is>
      </c>
      <c r="E190" s="24">
        <f>$E$55</f>
        <v/>
      </c>
      <c r="F190" s="24">
        <f>IFERROR(C190-E190,"")</f>
        <v/>
      </c>
      <c r="G190" s="7">
        <f>IFERROR(IF(E190=0,"",F190/E190*100),"")</f>
        <v/>
      </c>
      <c r="H190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1">
      <c r="A191" s="5" t="inlineStr">
        <is>
          <t>모델 잔차</t>
        </is>
      </c>
      <c r="B191" s="3" t="inlineStr">
        <is>
          <t>김밥나라 — 비중 표기(%)</t>
        </is>
      </c>
      <c r="C191" s="25">
        <f>가맹점!AC4</f>
        <v/>
      </c>
      <c r="D191" s="5" t="inlineStr">
        <is>
          <t>가맹점 AC4</t>
        </is>
      </c>
      <c r="E191" s="24">
        <f>$E$61</f>
        <v/>
      </c>
      <c r="F191" s="24">
        <f>IFERROR(C191-E191,"")</f>
        <v/>
      </c>
      <c r="G191" s="7">
        <f>IFERROR(IF(E191=0,"",F191/E191*100),"")</f>
        <v/>
      </c>
      <c r="H191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2">
      <c r="A192" s="5" t="inlineStr">
        <is>
          <t>모델 잔차</t>
        </is>
      </c>
      <c r="B192" s="3" t="inlineStr">
        <is>
          <t>골목냉면 — 비중 표기(%)</t>
        </is>
      </c>
      <c r="C192" s="25">
        <f>가맹점!AC5</f>
        <v/>
      </c>
      <c r="D192" s="5" t="inlineStr">
        <is>
          <t>가맹점 AC5</t>
        </is>
      </c>
      <c r="E192" s="24">
        <f>$E$67</f>
        <v/>
      </c>
      <c r="F192" s="24">
        <f>IFERROR(C192-E192,"")</f>
        <v/>
      </c>
      <c r="G192" s="7">
        <f>IFERROR(IF(E192=0,"",F192/E192*100),"")</f>
        <v/>
      </c>
      <c r="H192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3">
      <c r="A193" s="5" t="inlineStr">
        <is>
          <t>모델 잔차</t>
        </is>
      </c>
      <c r="B193" s="3" t="inlineStr">
        <is>
          <t>달빛곱창 홍대점 — 비중 표기(%)</t>
        </is>
      </c>
      <c r="C193" s="25">
        <f>가맹점!AC6</f>
        <v/>
      </c>
      <c r="D193" s="5" t="inlineStr">
        <is>
          <t>가맹점 AC6</t>
        </is>
      </c>
      <c r="E193" s="24">
        <f>$E$73</f>
        <v/>
      </c>
      <c r="F193" s="24">
        <f>IFERROR(C193-E193,"")</f>
        <v/>
      </c>
      <c r="G193" s="7">
        <f>IFERROR(IF(E193=0,"",F193/E193*100),"")</f>
        <v/>
      </c>
      <c r="H193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4">
      <c r="A194" s="5" t="inlineStr">
        <is>
          <t>모델 잔차</t>
        </is>
      </c>
      <c r="B194" s="3" t="inlineStr">
        <is>
          <t>청춘포차 신촌점 — 비중 표기(%)</t>
        </is>
      </c>
      <c r="C194" s="25">
        <f>가맹점!AC7</f>
        <v/>
      </c>
      <c r="D194" s="5" t="inlineStr">
        <is>
          <t>가맹점 AC7</t>
        </is>
      </c>
      <c r="E194" s="24">
        <f>$E$79</f>
        <v/>
      </c>
      <c r="F194" s="24">
        <f>IFERROR(C194-E194,"")</f>
        <v/>
      </c>
      <c r="G194" s="7">
        <f>IFERROR(IF(E194=0,"",F194/E194*100),"")</f>
        <v/>
      </c>
      <c r="H194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5">
      <c r="A195" s="5" t="inlineStr">
        <is>
          <t>모델 잔차</t>
        </is>
      </c>
      <c r="B195" s="3" t="inlineStr">
        <is>
          <t>바다마루 횟집 — 비중 표기(%)</t>
        </is>
      </c>
      <c r="C195" s="25">
        <f>가맹점!AC8</f>
        <v/>
      </c>
      <c r="D195" s="5" t="inlineStr">
        <is>
          <t>가맹점 AC8</t>
        </is>
      </c>
      <c r="E195" s="24">
        <f>$E$85</f>
        <v/>
      </c>
      <c r="F195" s="24">
        <f>IFERROR(C195-E195,"")</f>
        <v/>
      </c>
      <c r="G195" s="7">
        <f>IFERROR(IF(E195=0,"",F195/E195*100),"")</f>
        <v/>
      </c>
      <c r="H195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6">
      <c r="A196" s="5" t="inlineStr">
        <is>
          <t>모델 잔차</t>
        </is>
      </c>
      <c r="B196" s="3" t="inlineStr">
        <is>
          <t>한강커피 잠원점 — 비중 표기(%)</t>
        </is>
      </c>
      <c r="C196" s="25">
        <f>가맹점!AC9</f>
        <v/>
      </c>
      <c r="D196" s="5" t="inlineStr">
        <is>
          <t>가맹점 AC9</t>
        </is>
      </c>
      <c r="E196" s="24">
        <f>$E$91</f>
        <v/>
      </c>
      <c r="F196" s="24">
        <f>IFERROR(C196-E196,"")</f>
        <v/>
      </c>
      <c r="G196" s="7">
        <f>IFERROR(IF(E196=0,"",F196/E196*100),"")</f>
        <v/>
      </c>
      <c r="H196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</sheetData>
  <conditionalFormatting sqref="G2:G165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3" t="inlineStr">
        <is>
          <t>기간집계 B44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3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3" t="inlineStr">
        <is>
          <t>입력 C8 · 기간집계 B45</t>
        </is>
      </c>
    </row>
    <row r="5">
      <c r="A5" s="5" t="inlineStr">
        <is>
          <t>[1번 이미지]</t>
        </is>
      </c>
      <c r="B5" s="4" t="inlineStr">
        <is>
          <t>w금융일수 = Σ Ai x Di / Σ Ai</t>
        </is>
      </c>
      <c r="C5" s="13" t="inlineStr">
        <is>
          <t>기간집계 B34 · 가중치 대조 C17 — 가중치는 금액(Ai)</t>
        </is>
      </c>
    </row>
    <row r="6">
      <c r="A6" s="5" t="inlineStr">
        <is>
          <t>[1번 이미지]</t>
        </is>
      </c>
      <c r="B6" s="4" t="inlineStr">
        <is>
          <t>Ai = ID가 i인 대상정산금채권의 순지급액 x (1- 유동화투자자의 할인율)</t>
        </is>
      </c>
      <c r="C6" s="13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t>Di = ID가 i인 다상정산금채권의 금융일수</t>
        </is>
      </c>
      <c r="C7" s="13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3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3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3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3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t>S입금부족율 = Σ SLi / Σ SAi</t>
        </is>
      </c>
      <c r="C12" s="13" t="inlineStr">
        <is>
          <t>기간집계 B51</t>
        </is>
      </c>
    </row>
    <row r="13">
      <c r="A13" s="5" t="inlineStr">
        <is>
          <t>[1번 이미지]</t>
        </is>
      </c>
      <c r="B13" s="4" t="inlineStr">
        <is>
          <t>SLi = 표본집합에 속하는 ID가 i인 대상정산금채권의 미지급액 – 과지급액</t>
        </is>
      </c>
      <c r="C13" s="13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3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3" t="inlineStr">
        <is>
          <t>입력 C10 — 이 통합문서 표기는 소문자 d 다. 대문자 D는 금융일수다 (채권 H열)</t>
        </is>
      </c>
    </row>
    <row r="16">
      <c r="A16" s="5" t="inlineStr">
        <is>
          <t>[1번 이미지]</t>
        </is>
      </c>
      <c r="B16" s="4" t="inlineStr">
        <is>
          <t>SAi = 표본집합에 속하는 ID가 i인 대상정산급채권의 순지급액 x (1- 유동화투자자의 할인율)</t>
        </is>
      </c>
      <c r="C16" s="13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3" t="inlineStr">
        <is>
          <t>기간집계 B43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3" t="inlineStr">
        <is>
          <t>기간집계 B47 · B48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3" t="inlineStr">
        <is>
          <t>기간집계 B44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3" t="inlineStr">
        <is>
          <t>입력 C8 · 기간집계 B45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3" t="inlineStr">
        <is>
          <t>일별 시트 전 행 · 평균순현금은 기간집계 B16 (칸만 있고 값 없음 · 미확정)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3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3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3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3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3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3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3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3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3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3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3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3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3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3" t="inlineStr">
        <is>
          <t>기간집계 2~29행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3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3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3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3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t>PSD = (Σ Api x Dpi) / PSA</t>
        </is>
      </c>
      <c r="C40" s="13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t>Api : 정산예정일이 위 선택한 기간에 해당하는 모든 각 대상정산금채권의 ‘순지급액 x ( 1 – 유동화투자자 할인율)’</t>
        </is>
      </c>
      <c r="C41" s="13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t>Dpi: 정산예정일이 위 선택한 기간에 해당하는 모든 각 대상정산금채권의 금융일수</t>
        </is>
      </c>
      <c r="C42" s="13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3" t="inlineStr">
        <is>
          <t>기간집계 B17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3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3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3" t="inlineStr">
        <is>
          <t>기간집계 B18 = (B13 / 입력 C18) x 365 / B17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2026-09-07T04:36:03Z</dcterms:created>
  <dcterms:modified xmlns:dcterms="http://purl.org/dc/terms/" xmlns:xsi="http://www.w3.org/2001/XMLSchema-instance" xsi:type="dcterms:W3CDTF">2026-09-07T04:36:03Z</dcterms:modified>
</cp:coreProperties>
</file>