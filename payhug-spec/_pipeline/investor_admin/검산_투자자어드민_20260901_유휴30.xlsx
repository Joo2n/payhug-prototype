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플랫폼" sheetId="3" state="visible" r:id="rId3"/>
    <sheet xmlns:r="http://schemas.openxmlformats.org/officeDocument/2006/relationships" name="가맹점" sheetId="4" state="visible" r:id="rId4"/>
    <sheet xmlns:r="http://schemas.openxmlformats.org/officeDocument/2006/relationships" name="채권" sheetId="5" state="visible" r:id="rId5"/>
    <sheet xmlns:r="http://schemas.openxmlformats.org/officeDocument/2006/relationships" name="일별" sheetId="6" state="visible" r:id="rId6"/>
    <sheet xmlns:r="http://schemas.openxmlformats.org/officeDocument/2006/relationships" name="기간집계" sheetId="7" state="visible" r:id="rId7"/>
    <sheet xmlns:r="http://schemas.openxmlformats.org/officeDocument/2006/relationships" name="가중치 대조" sheetId="8" state="visible" r:id="rId8"/>
    <sheet xmlns:r="http://schemas.openxmlformats.org/officeDocument/2006/relationships" name="화면대조" sheetId="9" state="visible" r:id="rId9"/>
    <sheet xmlns:r="http://schemas.openxmlformats.org/officeDocument/2006/relationships" name="산식" sheetId="10" state="visible" r:id="rId10"/>
  </sheets>
  <definedNames>
    <definedName name="할인율">입력!$C$2</definedName>
    <definedName name="할인율퍼센트">입력!$C$3</definedName>
    <definedName name="연일수">입력!$C$4</definedName>
    <definedName name="총투자자산">입력!$C$5</definedName>
    <definedName name="유휴비율">입력!$C$6</definedName>
    <definedName name="투자실행액목표">입력!$C$7</definedName>
    <definedName name="순현금">입력!$C$8</definedName>
    <definedName name="가맹점평균">입력!$C$9</definedName>
    <definedName name="기준일">입력!$C$10</definedName>
    <definedName name="축시작">입력!$C$11</definedName>
    <definedName name="일별시작">입력!$C$12</definedName>
    <definedName name="일별종료">입력!$C$13</definedName>
    <definedName name="조회시작">입력!$C$14</definedName>
    <definedName name="조회종료">입력!$C$15</definedName>
    <definedName name="표본시작">입력!$C$16</definedName>
    <definedName name="표본종료">입력!$C$17</definedName>
    <definedName name="지시대상3">입력!$C$18</definedName>
    <definedName name="산식5">입력!$C$19</definedName>
    <definedName name="SW_모집단">입력!$B$22</definedName>
    <definedName name="SW_자릿수">입력!$B$23</definedName>
    <definedName name="SW_가맹점수">입력!$B$24</definedName>
    <definedName name="SW_방향">입력!$B$25</definedName>
    <definedName name="플랫폼코드범위">입력!$A$28:$A$31</definedName>
    <definedName name="플랫폼명범위">입력!$B$28:$B$31</definedName>
    <definedName name="구성비범위">입력!$C$28:$C$31</definedName>
    <definedName name="미지급률범위">입력!$D$28:$D$31</definedName>
    <definedName name="과지급률범위">입력!$E$28:$E$31</definedName>
    <definedName name="실측금액범위">입력!$B$35:$B$38</definedName>
    <definedName name="배달배분범위">입력!$D$36:$D$38</definedName>
    <definedName name="배달앱금액비중">입력!$C$40</definedName>
    <definedName name="MAU배분범위">입력!$C$43:$C$45</definedName>
    <definedName name="배달앱비중">입력!$B$47</definedName>
    <definedName name="순번범위">입력!$A$50:$A$57</definedName>
    <definedName name="상호범위">입력!$C$50:$C$57</definedName>
    <definedName name="flow범위">입력!$G$50:$G$57</definedName>
    <definedName name="b범위">입력!$H$50:$H$57</definedName>
    <definedName name="하루입력범위">입력!$I$50:$I$57</definedName>
    <definedName name="계약상태범위">입력!$J$50:$J$57</definedName>
    <definedName name="평균금융일수범위">플랫폼!$D$9:$D$12</definedName>
    <definedName name="Ed2범위">플랫폼!$E$9:$E$12</definedName>
    <definedName name="_xlnm._FilterDatabase" localSheetId="4" hidden="1">'채권'!$A$1:$U$1281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%"/>
    <numFmt numFmtId="166" formatCode="yyyy-mm-dd"/>
    <numFmt numFmtId="167" formatCode="0.000000"/>
    <numFmt numFmtId="168" formatCode="0.0"/>
    <numFmt numFmtId="169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2" fontId="2" fillId="3" borderId="1" pivotButton="0" quotePrefix="0" xfId="0"/>
    <xf numFmtId="2" fontId="2" fillId="0" borderId="1" pivotButton="0" quotePrefix="0" xfId="0"/>
    <xf numFmtId="3" fontId="2" fillId="3" borderId="1" pivotButton="0" quotePrefix="0" xfId="0"/>
    <xf numFmtId="167" fontId="2" fillId="3" borderId="1" pivotButton="0" quotePrefix="0" xfId="0"/>
    <xf numFmtId="167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11" fontId="2" fillId="3" borderId="1" pivotButton="0" quotePrefix="0" xfId="0"/>
    <xf numFmtId="167" fontId="3" fillId="0" borderId="1" pivotButton="0" quotePrefix="0" xfId="0"/>
    <xf numFmtId="165" fontId="2" fillId="0" borderId="1" pivotButton="0" quotePrefix="0" xfId="0"/>
    <xf numFmtId="168" fontId="2" fillId="0" borderId="1" pivotButton="0" quotePrefix="0" xfId="0"/>
    <xf numFmtId="168" fontId="2" fillId="3" borderId="1" pivotButton="0" quotePrefix="0" xfId="0"/>
    <xf numFmtId="165" fontId="3" fillId="0" borderId="1" pivotButton="0" quotePrefix="0" xfId="0"/>
    <xf numFmtId="168" fontId="3" fillId="0" borderId="1" pivotButton="0" quotePrefix="0" xfId="0"/>
    <xf numFmtId="168" fontId="3" fillId="3" borderId="1" pivotButton="0" quotePrefix="0" xfId="0"/>
    <xf numFmtId="4" fontId="2" fillId="3" borderId="1" pivotButton="0" quotePrefix="0" xfId="0"/>
    <xf numFmtId="169" fontId="2" fillId="3" borderId="1" pivotButton="0" quotePrefix="0" xfId="0"/>
    <xf numFmtId="2" fontId="3" fillId="0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vertical="top" wrapText="1"/>
    </xf>
    <xf numFmtId="167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56" customWidth="1" min="4" max="4"/>
    <col width="18" customWidth="1" min="5" max="5"/>
    <col width="18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화면 ↔ 엑셀 갈림</t>
        </is>
      </c>
      <c r="C1" s="1" t="inlineStr">
        <is>
          <t>까닭</t>
        </is>
      </c>
      <c r="D1" s="1" t="inlineStr">
        <is>
          <t>화면대조 행</t>
        </is>
      </c>
      <c r="E1" s="1" t="inlineStr">
        <is>
          <t>엑셀 값</t>
        </is>
      </c>
      <c r="F1" s="1" t="inlineStr">
        <is>
          <t>화면 표시값</t>
        </is>
      </c>
      <c r="G1" s="1" t="inlineStr">
        <is>
          <t>차이</t>
        </is>
      </c>
    </row>
    <row r="2">
      <c r="A2" s="2" t="n">
        <v>1</v>
      </c>
      <c r="B2" s="3" t="inlineStr">
        <is>
          <t>조회기간 ④(%)</t>
        </is>
      </c>
      <c r="C2" s="4">
        <f>화면대조!H170</f>
        <v/>
      </c>
      <c r="D2" s="5" t="inlineStr">
        <is>
          <t>화면대조 170행</t>
        </is>
      </c>
      <c r="E2" s="6">
        <f>화면대조!C170</f>
        <v/>
      </c>
      <c r="F2" s="7">
        <f>화면대조!E170</f>
        <v/>
      </c>
      <c r="G2" s="7">
        <f>화면대조!F170</f>
        <v/>
      </c>
    </row>
    <row r="3">
      <c r="A3" s="2" t="n">
        <v>2</v>
      </c>
      <c r="B3" s="3" t="inlineStr">
        <is>
          <t>조회기간 ⑤(%)</t>
        </is>
      </c>
      <c r="C3" s="4">
        <f>화면대조!H171</f>
        <v/>
      </c>
      <c r="D3" s="5" t="inlineStr">
        <is>
          <t>화면대조 171행</t>
        </is>
      </c>
      <c r="E3" s="6">
        <f>화면대조!C171</f>
        <v/>
      </c>
      <c r="F3" s="7">
        <f>화면대조!E171</f>
        <v/>
      </c>
      <c r="G3" s="7">
        <f>화면대조!F171</f>
        <v/>
      </c>
    </row>
    <row r="4">
      <c r="A4" s="2" t="n">
        <v>3</v>
      </c>
      <c r="B4" s="3" t="inlineStr">
        <is>
          <t>조회기간 PA</t>
        </is>
      </c>
      <c r="C4" s="4">
        <f>화면대조!H167</f>
        <v/>
      </c>
      <c r="D4" s="5" t="inlineStr">
        <is>
          <t>화면대조 167행</t>
        </is>
      </c>
      <c r="E4" s="8">
        <f>화면대조!C167</f>
        <v/>
      </c>
      <c r="F4" s="2">
        <f>화면대조!E167</f>
        <v/>
      </c>
      <c r="G4" s="2">
        <f>화면대조!F167</f>
        <v/>
      </c>
    </row>
    <row r="5">
      <c r="A5" s="2" t="n">
        <v>4</v>
      </c>
      <c r="B5" s="3" t="inlineStr">
        <is>
          <t>조회기간 PwD</t>
        </is>
      </c>
      <c r="C5" s="4">
        <f>화면대조!H168</f>
        <v/>
      </c>
      <c r="D5" s="5" t="inlineStr">
        <is>
          <t>화면대조 168행</t>
        </is>
      </c>
      <c r="E5" s="9">
        <f>화면대조!C168</f>
        <v/>
      </c>
      <c r="F5" s="10">
        <f>화면대조!E168</f>
        <v/>
      </c>
      <c r="G5" s="10">
        <f>화면대조!F168</f>
        <v/>
      </c>
    </row>
    <row r="6">
      <c r="A6" s="2" t="n">
        <v>5</v>
      </c>
      <c r="B6" s="3" t="inlineStr">
        <is>
          <t>S입금부족율 raw(%)</t>
        </is>
      </c>
      <c r="C6" s="4">
        <f>화면대조!H175</f>
        <v/>
      </c>
      <c r="D6" s="5" t="inlineStr">
        <is>
          <t>화면대조 175행</t>
        </is>
      </c>
      <c r="E6" s="9">
        <f>화면대조!C175</f>
        <v/>
      </c>
      <c r="F6" s="10">
        <f>화면대조!E175</f>
        <v/>
      </c>
      <c r="G6" s="10">
        <f>화면대조!F175</f>
        <v/>
      </c>
    </row>
    <row r="7">
      <c r="A7" s="2" t="n">
        <v>6</v>
      </c>
      <c r="B7" s="3" t="inlineStr">
        <is>
          <t>채권 건수</t>
        </is>
      </c>
      <c r="C7" s="4">
        <f>화면대조!H176</f>
        <v/>
      </c>
      <c r="D7" s="5" t="inlineStr">
        <is>
          <t>화면대조 176행</t>
        </is>
      </c>
      <c r="E7" s="8">
        <f>화면대조!C176</f>
        <v/>
      </c>
      <c r="F7" s="2">
        <f>화면대조!E176</f>
        <v/>
      </c>
      <c r="G7" s="2">
        <f>화면대조!F176</f>
        <v/>
      </c>
    </row>
    <row r="9" ht="30" customHeight="1">
      <c r="A9" s="1" t="inlineStr">
        <is>
          <t>순서</t>
        </is>
      </c>
      <c r="B9" s="1" t="inlineStr">
        <is>
          <t>시트</t>
        </is>
      </c>
      <c r="C9" s="1" t="inlineStr">
        <is>
          <t>무엇</t>
        </is>
      </c>
      <c r="D9" s="1" t="inlineStr">
        <is>
          <t>주요 칸</t>
        </is>
      </c>
    </row>
    <row r="10">
      <c r="A10" s="2" t="n">
        <v>1</v>
      </c>
      <c r="B10" s="3" t="inlineStr">
        <is>
          <t>읽는 법</t>
        </is>
      </c>
      <c r="C10" s="4" t="inlineStr">
        <is>
          <t>화면 ↔ 엑셀 갈림 6줄 · 시트 차례 · 화면 표시값 되짚는 경로 3줄 · 시뮬레이션 입력 칸 · 기호 규칙 · 대표 DM 2026-08-31</t>
        </is>
      </c>
      <c r="D10" s="5" t="inlineStr">
        <is>
          <t>A1:G7 · 이 시트</t>
        </is>
      </c>
    </row>
    <row r="11">
      <c r="A11" s="2" t="n">
        <v>2</v>
      </c>
      <c r="B11" s="3" t="inlineStr">
        <is>
          <t>입력</t>
        </is>
      </c>
      <c r="C11" s="4" t="inlineStr">
        <is>
          <t>가정값 18칸 · 스위치 4칸 · 플랫폼 구성비 · 금액 실측 · 대표 엑셀 MAU 참고값 · 로스터 8곳 · 엑셀 프리셋 6종</t>
        </is>
      </c>
      <c r="D11" s="5" t="inlineStr">
        <is>
          <t>C2:C17 · B22:B25 · C28:C31 · A50:K57</t>
        </is>
      </c>
    </row>
    <row r="12">
      <c r="A12" s="2" t="n">
        <v>3</v>
      </c>
      <c r="B12" s="3" t="inlineStr">
        <is>
          <t>플랫폼</t>
        </is>
      </c>
      <c r="C12" s="4" t="inlineStr">
        <is>
          <t>금융일수 도수분포(1~13일) · 평균 금융일수 · 구성비 가중 W금융일수</t>
        </is>
      </c>
      <c r="D12" s="5" t="inlineStr">
        <is>
          <t>C2:O5 · D9:D12 · B17</t>
        </is>
      </c>
    </row>
    <row r="13">
      <c r="A13" s="2" t="n">
        <v>4</v>
      </c>
      <c r="B13" s="3" t="inlineStr">
        <is>
          <t>가맹점</t>
        </is>
      </c>
      <c r="C13" s="4" t="inlineStr">
        <is>
          <t>로스터 8곳의 플랫폼 배분 · 하루 선정산액 · 투자실행액 · W · S · Ty · 비중(최대잉여법)</t>
        </is>
      </c>
      <c r="D13" s="5" t="inlineStr">
        <is>
          <t>J2:M9 · O2:O9 · P2:P9 · AC2:AC9</t>
        </is>
      </c>
    </row>
    <row r="14">
      <c r="A14" s="2" t="n">
        <v>5</v>
      </c>
      <c r="B14" s="3" t="inlineStr">
        <is>
          <t>채권</t>
        </is>
      </c>
      <c r="C14" s="4" t="inlineStr">
        <is>
          <t>(가맹점 x 플랫폼 x 선정산일 40일) 1,280건 원장 — 값 셀은 금융일수 Di 하나뿐</t>
        </is>
      </c>
      <c r="D14" s="5" t="inlineStr">
        <is>
          <t>H열 Di · J열 Ai · Q열 미회수 · S열 Ai x Di</t>
        </is>
      </c>
    </row>
    <row r="15">
      <c r="A15" s="2" t="n">
        <v>6</v>
      </c>
      <c r="B15" s="3" t="inlineStr">
        <is>
          <t>일별</t>
        </is>
      </c>
      <c r="C15" s="4" t="inlineStr">
        <is>
          <t>정산예정일 27일치 집계 — 상환액 · 투자실행금 · 투자수익 · W · ty수익율</t>
        </is>
      </c>
      <c r="D15" s="5" t="inlineStr">
        <is>
          <t>C2:E28 · H2:H28 · I2:I28</t>
        </is>
      </c>
    </row>
    <row r="16">
      <c r="A16" s="2" t="n">
        <v>7</v>
      </c>
      <c r="B16" s="3" t="inlineStr">
        <is>
          <t>기간집계</t>
        </is>
      </c>
      <c r="C16" s="4" t="inlineStr">
        <is>
          <t>조회기간 집계 2~29행 · 모집단별 W·Ty·S 32~60행</t>
        </is>
      </c>
      <c r="D16" s="5" t="inlineStr">
        <is>
          <t>B5 · B13 · B17 · B41 · B42 · B51</t>
        </is>
      </c>
    </row>
    <row r="17">
      <c r="A17" s="2" t="n">
        <v>8</v>
      </c>
      <c r="B17" s="3" t="inlineStr">
        <is>
          <t>가중치 대조</t>
        </is>
      </c>
      <c r="C17" s="4" t="inlineStr">
        <is>
          <t>금액 실측 · 대표 엑셀 MAU · 로스터 금액가중 세 기준을 나란히</t>
        </is>
      </c>
      <c r="D17" s="5" t="inlineStr">
        <is>
          <t>C17:E17 · C19:E19</t>
        </is>
      </c>
    </row>
    <row r="18">
      <c r="A18" s="2" t="n">
        <v>9</v>
      </c>
      <c r="B18" s="3" t="inlineStr">
        <is>
          <t>화면대조</t>
        </is>
      </c>
      <c r="C18" s="4" t="inlineStr">
        <is>
          <t>화면 표시값 원본 40행 · 불변식 · 화면 정합 162행 · 모델 잔차 28행</t>
        </is>
      </c>
      <c r="D18" s="5" t="inlineStr">
        <is>
          <t>E열 화면 표시값 · G열 판정 · 166~193행 모델 잔차</t>
        </is>
      </c>
    </row>
    <row r="19">
      <c r="A19" s="2" t="n">
        <v>10</v>
      </c>
      <c r="B19" s="3" t="inlineStr">
        <is>
          <t>산식</t>
        </is>
      </c>
      <c r="C19" s="4" t="inlineStr">
        <is>
          <t>대표 정의서 45줄 ↔ 이 통합문서의 셀</t>
        </is>
      </c>
      <c r="D19" s="5" t="inlineStr">
        <is>
          <t>C열</t>
        </is>
      </c>
    </row>
    <row r="21" ht="30" customHeight="1">
      <c r="A21" s="11" t="inlineStr">
        <is>
          <t>#</t>
        </is>
      </c>
      <c r="B21" s="11" t="inlineStr">
        <is>
          <t>화면 표시값</t>
        </is>
      </c>
      <c r="C21" s="11" t="inlineStr">
        <is>
          <t>값</t>
        </is>
      </c>
      <c r="D21" s="11" t="inlineStr">
        <is>
          <t>되짚는 경로</t>
        </is>
      </c>
    </row>
    <row r="22">
      <c r="A22" s="2" t="n">
        <v>1</v>
      </c>
      <c r="B22" s="3" t="inlineStr">
        <is>
          <t>투자실행액</t>
        </is>
      </c>
      <c r="C22" s="8">
        <f>화면대조!E2</f>
        <v/>
      </c>
      <c r="D22" s="5" t="inlineStr">
        <is>
          <t>입력 C7 → 가맹점 B14 → 가맹점 P2:P9 → 채권 J2:J1281 (Q열=1) → 기간집계 B38 → B44</t>
        </is>
      </c>
    </row>
    <row r="23">
      <c r="A23" s="2" t="n">
        <v>2</v>
      </c>
      <c r="B23" s="3" t="inlineStr">
        <is>
          <t>W금융일수 표기</t>
        </is>
      </c>
      <c r="C23" s="6">
        <f>화면대조!E8</f>
        <v/>
      </c>
      <c r="D23" s="5" t="inlineStr">
        <is>
          <t>플랫폼 C2:O5 → 플랫폼 D9:D12 → 가맹점 O2:O9 → 채권 S2:S1281 → 기간집계 B41 → B42</t>
        </is>
      </c>
    </row>
    <row r="24">
      <c r="A24" s="2" t="n">
        <v>3</v>
      </c>
      <c r="B24" s="3" t="inlineStr">
        <is>
          <t>Ty수익율(%)</t>
        </is>
      </c>
      <c r="C24" s="6">
        <f>화면대조!E9</f>
        <v/>
      </c>
      <c r="D24" s="5" t="inlineStr">
        <is>
          <t>입력 C3 · 입력 C4 · 기간집계 B42 → 기간집계 B43</t>
        </is>
      </c>
    </row>
    <row r="26" ht="30" customHeight="1">
      <c r="A26" s="11" t="inlineStr">
        <is>
          <t>#</t>
        </is>
      </c>
      <c r="B26" s="11" t="inlineStr">
        <is>
          <t>바꾸는 칸</t>
        </is>
      </c>
      <c r="C26" s="11" t="inlineStr">
        <is>
          <t>항목</t>
        </is>
      </c>
      <c r="D26" s="11" t="inlineStr">
        <is>
          <t>지금 값</t>
        </is>
      </c>
      <c r="E26" s="11" t="inlineStr">
        <is>
          <t>움직이는 값</t>
        </is>
      </c>
    </row>
    <row r="27">
      <c r="A27" s="2" t="n">
        <v>1</v>
      </c>
      <c r="B27" s="3" t="inlineStr">
        <is>
          <t>입력 C5</t>
        </is>
      </c>
      <c r="C27" s="5" t="inlineStr">
        <is>
          <t>총 투자자산</t>
        </is>
      </c>
      <c r="D27" s="8">
        <f>총투자자산</f>
        <v/>
      </c>
      <c r="E27" s="5" t="inlineStr">
        <is>
          <t>입력 C7 · C8 → 채권 I·J열 → 기간집계 B44 · B45 · B46</t>
        </is>
      </c>
    </row>
    <row r="28">
      <c r="A28" s="2" t="n">
        <v>2</v>
      </c>
      <c r="B28" s="3" t="inlineStr">
        <is>
          <t>입력 C6</t>
        </is>
      </c>
      <c r="C28" s="5" t="inlineStr">
        <is>
          <t>유휴 비율</t>
        </is>
      </c>
      <c r="D28" s="12">
        <f>유휴비율</f>
        <v/>
      </c>
      <c r="E28" s="5" t="inlineStr">
        <is>
          <t>입력 C7 · C8 → 기간집계 B47 · B48 · B17(⑤)</t>
        </is>
      </c>
    </row>
    <row r="29">
      <c r="A29" s="2" t="n">
        <v>3</v>
      </c>
      <c r="B29" s="3" t="inlineStr">
        <is>
          <t>입력 B22</t>
        </is>
      </c>
      <c r="C29" s="5" t="inlineStr">
        <is>
          <t>스위치 ① W금융일수 모집단</t>
        </is>
      </c>
      <c r="D29" s="13">
        <f>SW_모집단</f>
        <v/>
      </c>
      <c r="E29" s="5" t="inlineStr">
        <is>
          <t>기간집계 B41 · B42 · B43</t>
        </is>
      </c>
    </row>
    <row r="30">
      <c r="A30" s="2" t="n">
        <v>4</v>
      </c>
      <c r="B30" s="3" t="inlineStr">
        <is>
          <t>입력 B23</t>
        </is>
      </c>
      <c r="C30" s="5" t="inlineStr">
        <is>
          <t>스위치 ② W 표기 자릿수</t>
        </is>
      </c>
      <c r="D30" s="8">
        <f>SW_자릿수</f>
        <v/>
      </c>
      <c r="E30" s="5" t="inlineStr">
        <is>
          <t>기간집계 B42 · B43</t>
        </is>
      </c>
    </row>
    <row r="31">
      <c r="A31" s="2" t="n">
        <v>5</v>
      </c>
      <c r="B31" s="3" t="inlineStr">
        <is>
          <t>입력 B24</t>
        </is>
      </c>
      <c r="C31" s="5" t="inlineStr">
        <is>
          <t>스위치 ③ 가맹점 수</t>
        </is>
      </c>
      <c r="D31" s="8">
        <f>SW_가맹점수</f>
        <v/>
      </c>
      <c r="E31" s="5" t="inlineStr">
        <is>
          <t>가맹점 G열 → 가맹점 B19 · B16</t>
        </is>
      </c>
    </row>
    <row r="32">
      <c r="A32" s="2" t="n">
        <v>6</v>
      </c>
      <c r="B32" s="3" t="inlineStr">
        <is>
          <t>입력 B25</t>
        </is>
      </c>
      <c r="C32" s="5" t="inlineStr">
        <is>
          <t>스위치 ④ 산출 방향</t>
        </is>
      </c>
      <c r="D32" s="13">
        <f>SW_방향</f>
        <v/>
      </c>
      <c r="E32" s="5" t="inlineStr">
        <is>
          <t>가맹점 P열 → 가맹점 B16</t>
        </is>
      </c>
    </row>
    <row r="33">
      <c r="A33" s="2" t="n">
        <v>7</v>
      </c>
      <c r="B33" s="3" t="inlineStr">
        <is>
          <t>입력 C28:C31</t>
        </is>
      </c>
      <c r="C33" s="5" t="inlineStr">
        <is>
          <t>플랫폼 구성비</t>
        </is>
      </c>
      <c r="D33" s="14">
        <f>SUM(구성비범위)</f>
        <v/>
      </c>
      <c r="E33" s="5" t="inlineStr">
        <is>
          <t>플랫폼 B17 · 가맹점 O열 · '가중치 대조' C17</t>
        </is>
      </c>
    </row>
    <row r="34">
      <c r="A34" s="2" t="n">
        <v>8</v>
      </c>
      <c r="B34" s="3" t="inlineStr">
        <is>
          <t>입력 C14:C15</t>
        </is>
      </c>
      <c r="C34" s="5" t="inlineStr">
        <is>
          <t>조회기간</t>
        </is>
      </c>
      <c r="D34" s="8">
        <f>조회종료-조회시작+1</f>
        <v/>
      </c>
      <c r="E34" s="5" t="inlineStr">
        <is>
          <t>기간집계 2~29행</t>
        </is>
      </c>
    </row>
    <row r="35">
      <c r="A35" s="2" t="n">
        <v>9</v>
      </c>
      <c r="B35" s="3" t="inlineStr">
        <is>
          <t>입력 C10</t>
        </is>
      </c>
      <c r="C35" s="5" t="inlineStr">
        <is>
          <t>기준일 d</t>
        </is>
      </c>
      <c r="D35" s="15">
        <f>기준일</f>
        <v/>
      </c>
      <c r="E35" s="5" t="inlineStr">
        <is>
          <t>채권 F·G열 · 일별 A열 · 채권 Q·R·T·U열</t>
        </is>
      </c>
    </row>
    <row r="36">
      <c r="A36" s="2" t="n">
        <v>10</v>
      </c>
      <c r="B36" s="3" t="inlineStr">
        <is>
          <t>입력 C18</t>
        </is>
      </c>
      <c r="C36" s="5" t="inlineStr">
        <is>
          <t>③ 지시 대상 (미확정)</t>
        </is>
      </c>
      <c r="D36" s="8">
        <f>지시대상3</f>
        <v/>
      </c>
      <c r="E36" s="5" t="inlineStr">
        <is>
          <t>기간집계 B18(⑥) — 비어 있는 동안 ⑥ 은 「미확정」</t>
        </is>
      </c>
    </row>
    <row r="37">
      <c r="A37" s="2" t="n">
        <v>11</v>
      </c>
      <c r="B37" s="3" t="inlineStr">
        <is>
          <t>입력 C19</t>
        </is>
      </c>
      <c r="C37" s="5" t="inlineStr">
        <is>
          <t>⑤ 산식 (미확정 · 대표 재작성 대기)</t>
        </is>
      </c>
      <c r="D37" s="6">
        <f>산식5</f>
        <v/>
      </c>
      <c r="E37" s="5" t="inlineStr">
        <is>
          <t>기간집계 B17(⑤) → 기간집계 B18(⑥) → 화면대조 모델 잔차 「조회기간 ⑤(%)」</t>
        </is>
      </c>
    </row>
    <row r="38">
      <c r="A38" s="2" t="n">
        <v>12</v>
      </c>
      <c r="B38" s="3" t="inlineStr">
        <is>
          <t>입력 B47</t>
        </is>
      </c>
      <c r="C38" s="5" t="inlineStr">
        <is>
          <t>배달앱/전체 (대표 엑셀 MAU 쪽 계산)</t>
        </is>
      </c>
      <c r="D38" s="14">
        <f>배달앱비중</f>
        <v/>
      </c>
      <c r="E38" s="5" t="inlineStr">
        <is>
          <t>'가중치 대조' D17 · D19 — 참고값 계열</t>
        </is>
      </c>
    </row>
    <row r="40" ht="30" customHeight="1">
      <c r="A40" s="11" t="inlineStr">
        <is>
          <t>#</t>
        </is>
      </c>
      <c r="B40" s="11" t="inlineStr">
        <is>
          <t>기호</t>
        </is>
      </c>
      <c r="C40" s="11" t="inlineStr">
        <is>
          <t>갈래</t>
        </is>
      </c>
      <c r="D40" s="11" t="inlineStr">
        <is>
          <t>뜻</t>
        </is>
      </c>
      <c r="E40" s="11" t="inlineStr">
        <is>
          <t>이 통합문서의 자리</t>
        </is>
      </c>
      <c r="F40" s="11" t="inlineStr">
        <is>
          <t>출처</t>
        </is>
      </c>
    </row>
    <row r="41">
      <c r="A41" s="2" t="n">
        <v>1</v>
      </c>
      <c r="B41" s="3" t="inlineStr">
        <is>
          <t>d</t>
        </is>
      </c>
      <c r="C41" s="5" t="inlineStr"/>
      <c r="D41" s="4" t="inlineStr">
        <is>
          <t>현재일자</t>
        </is>
      </c>
      <c r="E41" s="5" t="inlineStr">
        <is>
          <t>입력 C10 기준일 d</t>
        </is>
      </c>
      <c r="F41" s="5" t="inlineStr">
        <is>
          <t>dm_0901/symbol_rule_0901.md</t>
        </is>
      </c>
    </row>
    <row r="42">
      <c r="A42" s="2" t="n">
        <v>2</v>
      </c>
      <c r="B42" s="3" t="inlineStr">
        <is>
          <t>r</t>
        </is>
      </c>
      <c r="C42" s="5" t="inlineStr"/>
      <c r="D42" s="4" t="inlineStr">
        <is>
          <t>유동화투자자의 할인율</t>
        </is>
      </c>
      <c r="E42" s="5" t="inlineStr">
        <is>
          <t>입력 C2 · C3</t>
        </is>
      </c>
      <c r="F42" s="5" t="inlineStr">
        <is>
          <t>dm_0901/symbol_rule_0901.md</t>
        </is>
      </c>
    </row>
    <row r="43">
      <c r="A43" s="2" t="n">
        <v>3</v>
      </c>
      <c r="B43" s="3" t="inlineStr">
        <is>
          <t>D</t>
        </is>
      </c>
      <c r="C43" s="5" t="inlineStr">
        <is>
          <t>개념</t>
        </is>
      </c>
      <c r="D43" s="4" t="inlineStr">
        <is>
          <t>금융일수</t>
        </is>
      </c>
      <c r="E43" s="5" t="inlineStr">
        <is>
          <t>채권 H열</t>
        </is>
      </c>
      <c r="F43" s="5" t="inlineStr">
        <is>
          <t>dm_0901/symbol_rule_0901.md</t>
        </is>
      </c>
    </row>
    <row r="44">
      <c r="A44" s="2" t="n">
        <v>4</v>
      </c>
      <c r="B44" s="3" t="inlineStr">
        <is>
          <t>Y</t>
        </is>
      </c>
      <c r="C44" s="5" t="inlineStr">
        <is>
          <t>개념</t>
        </is>
      </c>
      <c r="D44" s="4" t="inlineStr">
        <is>
          <t>연환산수익률. Yr · YMR(d-1) · PYMR · wPYMR 로 갈린다</t>
        </is>
      </c>
      <c r="E44" s="5" t="inlineStr">
        <is>
          <t>기간집계 B43 · 일별 I열 · 기간집계 B13 · B17</t>
        </is>
      </c>
      <c r="F44" s="5" t="inlineStr">
        <is>
          <t>dm_0901/symbol_rule_0901.md</t>
        </is>
      </c>
    </row>
    <row r="45">
      <c r="A45" s="2" t="n">
        <v>5</v>
      </c>
      <c r="B45" s="3" t="inlineStr">
        <is>
          <t>i</t>
        </is>
      </c>
      <c r="C45" s="5" t="inlineStr">
        <is>
          <t>ID가 i인 대상정산금채권</t>
        </is>
      </c>
      <c r="D45" s="4" t="inlineStr">
        <is>
          <t>채권번호. 가맹점ID &amp; 플랫폼ID &amp; 매출일자</t>
        </is>
      </c>
      <c r="E45" s="5" t="inlineStr">
        <is>
          <t>채권 A열</t>
        </is>
      </c>
      <c r="F45" s="5" t="inlineStr">
        <is>
          <t>dm_0901/symbol_rule_0901.md</t>
        </is>
      </c>
    </row>
    <row r="46">
      <c r="A46" s="2" t="n">
        <v>6</v>
      </c>
      <c r="B46" s="3" t="inlineStr">
        <is>
          <t>Di</t>
        </is>
      </c>
      <c r="C46" s="5" t="inlineStr">
        <is>
          <t>ID가 i인 대상정산금채권</t>
        </is>
      </c>
      <c r="D46" s="4" t="inlineStr">
        <is>
          <t>ID가 i인 대상정산금채권의 금융일수</t>
        </is>
      </c>
      <c r="E46" s="5" t="inlineStr">
        <is>
          <t>채권 H열</t>
        </is>
      </c>
      <c r="F46" s="5" t="inlineStr">
        <is>
          <t>dm_0901/symbol_rule_0901.md</t>
        </is>
      </c>
    </row>
    <row r="47">
      <c r="A47" s="2" t="n">
        <v>7</v>
      </c>
      <c r="B47" s="3" t="inlineStr">
        <is>
          <t>Ai</t>
        </is>
      </c>
      <c r="C47" s="5" t="inlineStr">
        <is>
          <t>ID가 i인 대상정산금채권</t>
        </is>
      </c>
      <c r="D47" s="4" t="inlineStr">
        <is>
          <t>ID가 i인 대상정산금채권의 투자 실행액 = 순지급액 x (1 - r)</t>
        </is>
      </c>
      <c r="E47" s="5" t="inlineStr">
        <is>
          <t>채권 J열</t>
        </is>
      </c>
      <c r="F47" s="5" t="inlineStr">
        <is>
          <t>dm_0901/symbol_rule_0901.md</t>
        </is>
      </c>
    </row>
    <row r="48">
      <c r="A48" s="2" t="n">
        <v>8</v>
      </c>
      <c r="B48" s="3" t="inlineStr">
        <is>
          <t>Li</t>
        </is>
      </c>
      <c r="C48" s="5" t="inlineStr">
        <is>
          <t>ID가 i인 대상정산금채권</t>
        </is>
      </c>
      <c r="D48" s="4" t="inlineStr">
        <is>
          <t>ID가 i인 대상정산금채권의 입금부족액 = 미지급금 - 과지급금</t>
        </is>
      </c>
      <c r="E48" s="5" t="inlineStr">
        <is>
          <t>채권 L열 - M열</t>
        </is>
      </c>
      <c r="F48" s="5" t="inlineStr">
        <is>
          <t>dm_0901/symbol_rule_0901.md</t>
        </is>
      </c>
    </row>
    <row r="49">
      <c r="A49" s="2" t="n">
        <v>9</v>
      </c>
      <c r="B49" s="3" t="inlineStr">
        <is>
          <t>Mi</t>
        </is>
      </c>
      <c r="C49" s="5" t="inlineStr">
        <is>
          <t>ID가 i인 대상정산금채권</t>
        </is>
      </c>
      <c r="D49" s="4" t="inlineStr">
        <is>
          <t>ID가 i인 대상정산금채권의 투자수익 = 채권매입수수료 - max(0, Li)</t>
        </is>
      </c>
      <c r="E49" s="5" t="inlineStr">
        <is>
          <t>채권 O열</t>
        </is>
      </c>
      <c r="F49" s="5" t="inlineStr">
        <is>
          <t>dm_0901/symbol_rule_0901.md</t>
        </is>
      </c>
    </row>
    <row r="50">
      <c r="A50" s="2" t="n">
        <v>10</v>
      </c>
      <c r="B50" s="3" t="inlineStr">
        <is>
          <t>Bi</t>
        </is>
      </c>
      <c r="C50" s="5" t="inlineStr">
        <is>
          <t>ID가 i인 대상정산금채권</t>
        </is>
      </c>
      <c r="D50" s="4" t="inlineStr">
        <is>
          <t>ID가 i인 대상정산금채권의 상환액 = 순지급액 - max(0, Li)</t>
        </is>
      </c>
      <c r="E50" s="5" t="inlineStr">
        <is>
          <t>채권 P열</t>
        </is>
      </c>
      <c r="F50" s="5" t="inlineStr">
        <is>
          <t>dm_0901/symbol_rule_0901.md</t>
        </is>
      </c>
    </row>
    <row r="51">
      <c r="A51" s="2" t="n">
        <v>11</v>
      </c>
      <c r="B51" s="3" t="inlineStr">
        <is>
          <t>Σ Ai</t>
        </is>
      </c>
      <c r="C51" s="5" t="inlineStr">
        <is>
          <t>집계</t>
        </is>
      </c>
      <c r="D51" s="4" t="inlineStr">
        <is>
          <t>투자 실행액 (i 는 미회수 대상정산금채권)</t>
        </is>
      </c>
      <c r="E51" s="5" t="inlineStr">
        <is>
          <t>기간집계 B44</t>
        </is>
      </c>
      <c r="F51" s="5" t="inlineStr">
        <is>
          <t>dm_0901/symbol_rule_0901.md</t>
        </is>
      </c>
    </row>
    <row r="52">
      <c r="A52" s="2" t="n">
        <v>12</v>
      </c>
      <c r="B52" s="3" t="inlineStr">
        <is>
          <t>wD</t>
        </is>
      </c>
      <c r="C52" s="5" t="inlineStr">
        <is>
          <t>집계</t>
        </is>
      </c>
      <c r="D52" s="4" t="inlineStr">
        <is>
          <t>가중평균 금융일수 = Σ(Ai x Di) / Σ Ai</t>
        </is>
      </c>
      <c r="E52" s="5" t="inlineStr">
        <is>
          <t>기간집계 B41 · B42</t>
        </is>
      </c>
      <c r="F52" s="5" t="inlineStr">
        <is>
          <t>dm_0901/symbol_rule_0901.md</t>
        </is>
      </c>
    </row>
    <row r="53">
      <c r="A53" s="2" t="n">
        <v>13</v>
      </c>
      <c r="B53" s="3" t="inlineStr">
        <is>
          <t>EC</t>
        </is>
      </c>
      <c r="C53" s="5" t="inlineStr">
        <is>
          <t>집계</t>
        </is>
      </c>
      <c r="D53" s="4" t="inlineStr">
        <is>
          <t>순현금</t>
        </is>
      </c>
      <c r="E53" s="5" t="inlineStr">
        <is>
          <t>입력 C8 · 일별 J열</t>
        </is>
      </c>
      <c r="F53" s="5" t="inlineStr">
        <is>
          <t>dm_0901/symbol_rule_0901.md</t>
        </is>
      </c>
    </row>
    <row r="54">
      <c r="A54" s="2" t="n">
        <v>14</v>
      </c>
      <c r="B54" s="3" t="inlineStr">
        <is>
          <t>Σ Ai + EC</t>
        </is>
      </c>
      <c r="C54" s="5" t="inlineStr">
        <is>
          <t>집계</t>
        </is>
      </c>
      <c r="D54" s="4" t="inlineStr">
        <is>
          <t>투자자산</t>
        </is>
      </c>
      <c r="E54" s="5" t="inlineStr">
        <is>
          <t>기간집계 B46</t>
        </is>
      </c>
      <c r="F54" s="5" t="inlineStr">
        <is>
          <t>dm_0901/symbol_rule_0901.md</t>
        </is>
      </c>
    </row>
    <row r="55">
      <c r="A55" s="2" t="n">
        <v>15</v>
      </c>
      <c r="B55" s="3" t="inlineStr">
        <is>
          <t>LR</t>
        </is>
      </c>
      <c r="C55" s="5" t="inlineStr">
        <is>
          <t>집계</t>
        </is>
      </c>
      <c r="D55" s="4" t="inlineStr">
        <is>
          <t>입금부족률 = Σ Li / Σ Ai (i 는 선정산일 d-20 ~ d-11)</t>
        </is>
      </c>
      <c r="E55" s="5" t="inlineStr">
        <is>
          <t>기간집계 B51 · 채권 T열</t>
        </is>
      </c>
      <c r="F55" s="5" t="inlineStr">
        <is>
          <t>dm_0901/symbol_rule_0901.md</t>
        </is>
      </c>
    </row>
    <row r="56">
      <c r="A56" s="2" t="n">
        <v>16</v>
      </c>
      <c r="B56" s="3" t="inlineStr">
        <is>
          <t>Yr</t>
        </is>
      </c>
      <c r="C56" s="5" t="inlineStr">
        <is>
          <t>집계</t>
        </is>
      </c>
      <c r="D56" s="4" t="inlineStr">
        <is>
          <t>예상 연환산수익률 = r x 365 / wD</t>
        </is>
      </c>
      <c r="E56" s="5" t="inlineStr">
        <is>
          <t>기간집계 B43</t>
        </is>
      </c>
      <c r="F56" s="5" t="inlineStr">
        <is>
          <t>dm_0901/symbol_rule_0901.md</t>
        </is>
      </c>
    </row>
    <row r="57">
      <c r="A57" s="2" t="n">
        <v>17</v>
      </c>
      <c r="B57" s="3" t="inlineStr">
        <is>
          <t>P</t>
        </is>
      </c>
      <c r="C57" s="5" t="inlineStr">
        <is>
          <t>범위</t>
        </is>
      </c>
      <c r="D57" s="4" t="inlineStr">
        <is>
          <t>기간. 정산예정일이 고른 기간에 드는 것들</t>
        </is>
      </c>
      <c r="E57" s="5" t="inlineStr">
        <is>
          <t>기간집계 2~29행</t>
        </is>
      </c>
      <c r="F57" s="5" t="inlineStr">
        <is>
          <t>dm_0901/symbol_rule_0901.md</t>
        </is>
      </c>
    </row>
    <row r="58">
      <c r="A58" s="2" t="n">
        <v>18</v>
      </c>
      <c r="B58" s="3" t="inlineStr">
        <is>
          <t>d-1</t>
        </is>
      </c>
      <c r="C58" s="5" t="inlineStr">
        <is>
          <t>범위</t>
        </is>
      </c>
      <c r="D58" s="4" t="inlineStr">
        <is>
          <t>하루. 정산예정일이 그 날인 대상정산금채권. 날짜가 아니라 조건이다</t>
        </is>
      </c>
      <c r="E58" s="5" t="inlineStr">
        <is>
          <t>일별 시트 한 줄</t>
        </is>
      </c>
      <c r="F58" s="5" t="inlineStr">
        <is>
          <t>dm_0901/symbol_rule_0901.md</t>
        </is>
      </c>
    </row>
    <row r="59">
      <c r="A59" s="2" t="n">
        <v>19</v>
      </c>
      <c r="B59" s="3" t="inlineStr">
        <is>
          <t>B(d-1)</t>
        </is>
      </c>
      <c r="C59" s="5" t="inlineStr">
        <is>
          <t>집계</t>
        </is>
      </c>
      <c r="D59" s="4" t="inlineStr">
        <is>
          <t>하루 상환액 = Σ Bi (i ∈ d-1)</t>
        </is>
      </c>
      <c r="E59" s="5" t="inlineStr">
        <is>
          <t>일별 C열</t>
        </is>
      </c>
      <c r="F59" s="5" t="inlineStr">
        <is>
          <t>dm_0901/symbol_rule_0901.md</t>
        </is>
      </c>
    </row>
    <row r="60">
      <c r="A60" s="2" t="n">
        <v>20</v>
      </c>
      <c r="B60" s="3" t="inlineStr">
        <is>
          <t>A(d-1)</t>
        </is>
      </c>
      <c r="C60" s="5" t="inlineStr">
        <is>
          <t>집계</t>
        </is>
      </c>
      <c r="D60" s="4" t="inlineStr">
        <is>
          <t>하루 투자실행금 = Σ Ai (i ∈ d-1)</t>
        </is>
      </c>
      <c r="E60" s="5" t="inlineStr">
        <is>
          <t>일별 D열</t>
        </is>
      </c>
      <c r="F60" s="5" t="inlineStr">
        <is>
          <t>dm_0901/symbol_rule_0901.md</t>
        </is>
      </c>
    </row>
    <row r="61">
      <c r="A61" s="2" t="n">
        <v>21</v>
      </c>
      <c r="B61" s="3" t="inlineStr">
        <is>
          <t>M(d-1)</t>
        </is>
      </c>
      <c r="C61" s="5" t="inlineStr">
        <is>
          <t>집계</t>
        </is>
      </c>
      <c r="D61" s="4" t="inlineStr">
        <is>
          <t>하루 투자수익 = Σ Mi (i ∈ d-1)</t>
        </is>
      </c>
      <c r="E61" s="5" t="inlineStr">
        <is>
          <t>일별 E열</t>
        </is>
      </c>
      <c r="F61" s="5" t="inlineStr">
        <is>
          <t>dm_0901/symbol_rule_0901.md</t>
        </is>
      </c>
    </row>
    <row r="62">
      <c r="A62" s="2" t="n">
        <v>22</v>
      </c>
      <c r="B62" s="3" t="inlineStr">
        <is>
          <t>MR(d-1)</t>
        </is>
      </c>
      <c r="C62" s="5" t="inlineStr">
        <is>
          <t>집계</t>
        </is>
      </c>
      <c r="D62" s="4" t="inlineStr">
        <is>
          <t>하루 투자수익율 = M(d-1) / A(d-1)</t>
        </is>
      </c>
      <c r="E62" s="5" t="inlineStr">
        <is>
          <t>일별 G열</t>
        </is>
      </c>
      <c r="F62" s="5" t="inlineStr">
        <is>
          <t>dm_0901/symbol_rule_0901.md</t>
        </is>
      </c>
    </row>
    <row r="63">
      <c r="A63" s="2" t="n">
        <v>23</v>
      </c>
      <c r="B63" s="3" t="inlineStr">
        <is>
          <t>wD(d-1)</t>
        </is>
      </c>
      <c r="C63" s="5" t="inlineStr">
        <is>
          <t>집계</t>
        </is>
      </c>
      <c r="D63" s="4" t="inlineStr">
        <is>
          <t>하루 가중평균 금융일수 = Σ(Ai x Di) / A(d-1)</t>
        </is>
      </c>
      <c r="E63" s="5" t="inlineStr">
        <is>
          <t>일별 H열</t>
        </is>
      </c>
      <c r="F63" s="5" t="inlineStr">
        <is>
          <t>dm_0901/symbol_rule_0901.md</t>
        </is>
      </c>
    </row>
    <row r="64">
      <c r="A64" s="2" t="n">
        <v>24</v>
      </c>
      <c r="B64" s="3" t="inlineStr">
        <is>
          <t>YMR(d-1)</t>
        </is>
      </c>
      <c r="C64" s="5" t="inlineStr">
        <is>
          <t>집계</t>
        </is>
      </c>
      <c r="D64" s="4" t="inlineStr">
        <is>
          <t>일별 연환산수익률 = MR(d-1) x 365 / wD(d-1)</t>
        </is>
      </c>
      <c r="E64" s="5" t="inlineStr">
        <is>
          <t>일별 I열</t>
        </is>
      </c>
      <c r="F64" s="5" t="inlineStr">
        <is>
          <t>dm_0901/symbol_rule_0901.md</t>
        </is>
      </c>
    </row>
    <row r="65">
      <c r="A65" s="2" t="n">
        <v>25</v>
      </c>
      <c r="B65" s="3" t="inlineStr">
        <is>
          <t>EC(d-1)</t>
        </is>
      </c>
      <c r="C65" s="5" t="inlineStr">
        <is>
          <t>집계</t>
        </is>
      </c>
      <c r="D65" s="4" t="inlineStr">
        <is>
          <t>하루 순현금</t>
        </is>
      </c>
      <c r="E65" s="5" t="inlineStr">
        <is>
          <t>일별 J열</t>
        </is>
      </c>
      <c r="F65" s="5" t="inlineStr">
        <is>
          <t>dm_0901/symbol_rule_0901.md</t>
        </is>
      </c>
    </row>
    <row r="66">
      <c r="A66" s="2" t="n">
        <v>26</v>
      </c>
      <c r="B66" s="3" t="inlineStr">
        <is>
          <t>PA</t>
        </is>
      </c>
      <c r="C66" s="5" t="inlineStr">
        <is>
          <t>집계</t>
        </is>
      </c>
      <c r="D66" s="4" t="inlineStr">
        <is>
          <t>기간 투자실행금 = Σ A(d-1)</t>
        </is>
      </c>
      <c r="E66" s="5" t="inlineStr">
        <is>
          <t>기간집계 B5</t>
        </is>
      </c>
      <c r="F66" s="5" t="inlineStr">
        <is>
          <t>dm_0901/symbol_rule_0901.md</t>
        </is>
      </c>
    </row>
    <row r="67">
      <c r="A67" s="2" t="n">
        <v>27</v>
      </c>
      <c r="B67" s="3" t="inlineStr">
        <is>
          <t>PB</t>
        </is>
      </c>
      <c r="C67" s="5" t="inlineStr">
        <is>
          <t>집계</t>
        </is>
      </c>
      <c r="D67" s="4" t="inlineStr">
        <is>
          <t>기간 상환액 = Σ B(d-1)</t>
        </is>
      </c>
      <c r="E67" s="5" t="inlineStr">
        <is>
          <t>기간집계 B8</t>
        </is>
      </c>
      <c r="F67" s="5" t="inlineStr">
        <is>
          <t>dm_0901/symbol_rule_0901.md</t>
        </is>
      </c>
    </row>
    <row r="68">
      <c r="A68" s="2" t="n">
        <v>28</v>
      </c>
      <c r="B68" s="3" t="inlineStr">
        <is>
          <t>PM</t>
        </is>
      </c>
      <c r="C68" s="5" t="inlineStr">
        <is>
          <t>집계</t>
        </is>
      </c>
      <c r="D68" s="4" t="inlineStr">
        <is>
          <t>기간 투자수익 = Σ M(d-1)</t>
        </is>
      </c>
      <c r="E68" s="5" t="inlineStr">
        <is>
          <t>기간집계 B6</t>
        </is>
      </c>
      <c r="F68" s="5" t="inlineStr">
        <is>
          <t>dm_0901/symbol_rule_0901.md</t>
        </is>
      </c>
    </row>
    <row r="69">
      <c r="A69" s="2" t="n">
        <v>29</v>
      </c>
      <c r="B69" s="3" t="inlineStr">
        <is>
          <t>PMR</t>
        </is>
      </c>
      <c r="C69" s="5" t="inlineStr">
        <is>
          <t>집계</t>
        </is>
      </c>
      <c r="D69" s="4" t="inlineStr">
        <is>
          <t>기간 투자수익율 = PM / PA</t>
        </is>
      </c>
      <c r="E69" s="5" t="inlineStr">
        <is>
          <t>기간집계 B10</t>
        </is>
      </c>
      <c r="F69" s="5" t="inlineStr">
        <is>
          <t>dm_0901/symbol_rule_0901.md</t>
        </is>
      </c>
    </row>
    <row r="70">
      <c r="A70" s="2" t="n">
        <v>30</v>
      </c>
      <c r="B70" s="3" t="inlineStr">
        <is>
          <t>PwD</t>
        </is>
      </c>
      <c r="C70" s="5" t="inlineStr">
        <is>
          <t>집계</t>
        </is>
      </c>
      <c r="D70" s="4" t="inlineStr">
        <is>
          <t>기간 가중평균 금융일수 = Σ(Ai x Di) / PA (i ∈ P)</t>
        </is>
      </c>
      <c r="E70" s="5" t="inlineStr">
        <is>
          <t>기간집계 B12</t>
        </is>
      </c>
      <c r="F70" s="5" t="inlineStr">
        <is>
          <t>dm_0901/symbol_rule_0901.md</t>
        </is>
      </c>
    </row>
    <row r="71">
      <c r="A71" s="2" t="n">
        <v>31</v>
      </c>
      <c r="B71" s="3" t="inlineStr">
        <is>
          <t>PEC</t>
        </is>
      </c>
      <c r="C71" s="5" t="inlineStr">
        <is>
          <t>집계</t>
        </is>
      </c>
      <c r="D71" s="4" t="inlineStr">
        <is>
          <t>기간 순현금 = Σ EC(d-1)</t>
        </is>
      </c>
      <c r="E71" s="5" t="inlineStr">
        <is>
          <t>기간집계 B15</t>
        </is>
      </c>
      <c r="F71" s="5" t="inlineStr">
        <is>
          <t>dm_0901/symbol_rule_0901.md</t>
        </is>
      </c>
    </row>
    <row r="72">
      <c r="A72" s="2" t="n">
        <v>32</v>
      </c>
      <c r="B72" s="3" t="inlineStr">
        <is>
          <t>PYMR</t>
        </is>
      </c>
      <c r="C72" s="5" t="inlineStr">
        <is>
          <t>집계</t>
        </is>
      </c>
      <c r="D72" s="4" t="inlineStr">
        <is>
          <t>투자실행금액 대비 연환산수익률(④) = PMR x 365 / PwD</t>
        </is>
      </c>
      <c r="E72" s="5" t="inlineStr">
        <is>
          <t>기간집계 B13</t>
        </is>
      </c>
      <c r="F72" s="5" t="inlineStr">
        <is>
          <t>dm_0901/symbol_rule_0901.md</t>
        </is>
      </c>
    </row>
    <row r="73">
      <c r="A73" s="2" t="n">
        <v>33</v>
      </c>
      <c r="B73" s="3" t="inlineStr">
        <is>
          <t>wPYMR</t>
        </is>
      </c>
      <c r="C73" s="5" t="inlineStr">
        <is>
          <t>집계</t>
        </is>
      </c>
      <c r="D73" s="4" t="inlineStr">
        <is>
          <t>투자자산 대비 연환산수익률(⑤) = PYMR x PA / (PA + PEC)</t>
        </is>
      </c>
      <c r="E73" s="5" t="inlineStr">
        <is>
          <t>기간집계 B17 ← 입력 C19</t>
        </is>
      </c>
      <c r="F73" s="5" t="inlineStr">
        <is>
          <t>dm_0901/symbol_rule_0901.md</t>
        </is>
      </c>
    </row>
    <row r="74">
      <c r="A74" s="2" t="n">
        <v>34</v>
      </c>
      <c r="B74" s="3" t="inlineStr">
        <is>
          <t>원문 표기</t>
        </is>
      </c>
      <c r="C74" s="5" t="inlineStr">
        <is>
          <t>인용</t>
        </is>
      </c>
      <c r="D74" s="4" t="inlineStr">
        <is>
          <t>대표 정의서 원문은 옛 표기를 쓴다. 인용이라 그대로 둔다</t>
        </is>
      </c>
      <c r="E74" s="5" t="inlineStr">
        <is>
          <t>산식 B열</t>
        </is>
      </c>
      <c r="F74" s="5" t="inlineStr">
        <is>
          <t>dm_0901/symbol_rule_0901.md</t>
        </is>
      </c>
    </row>
    <row r="76" ht="30" customHeight="1">
      <c r="A76" s="11" t="inlineStr">
        <is>
          <t>#</t>
        </is>
      </c>
      <c r="B76" s="11" t="inlineStr">
        <is>
          <t>DM 시각</t>
        </is>
      </c>
      <c r="C76" s="11" t="inlineStr">
        <is>
          <t>대표 원문</t>
        </is>
      </c>
      <c r="D76" s="11" t="inlineStr">
        <is>
          <t>이 통합문서의 자리</t>
        </is>
      </c>
      <c r="E76" s="11" t="inlineStr">
        <is>
          <t>이 통합문서의 값</t>
        </is>
      </c>
    </row>
    <row r="77">
      <c r="A77" s="2" t="n">
        <v>1</v>
      </c>
      <c r="B77" s="3" t="inlineStr">
        <is>
          <t>2026-08-31 16:45</t>
        </is>
      </c>
      <c r="C77" s="4" t="inlineStr">
        <is>
          <t>ty수익률이 위는 할인율, 아래는 투자수익률 smr인 이유는 위는 예상치 아래는 실제 결과치라서 실제로 얻은 수익률(할인율)을 나타내는 것.</t>
        </is>
      </c>
      <c r="D77" s="4" t="inlineStr">
        <is>
          <t>위 = 기간집계 B43 Ty수익율(할인율 기준 예상치) · 아래 = 기간집계 B10 PMR(실적치)</t>
        </is>
      </c>
      <c r="E77" s="5" t="inlineStr"/>
    </row>
    <row r="78">
      <c r="A78" s="2" t="n">
        <v>2</v>
      </c>
      <c r="B78" s="3" t="inlineStr">
        <is>
          <t>2026-08-31 16:45</t>
        </is>
      </c>
      <c r="C78" s="4" t="inlineStr">
        <is>
          <t>투자수익률은 할인율 -max(0, 미지급금-과지급금)/투자실행액 이므로 미지급-과지급이 0이면 할인율이 되므로 같다.</t>
        </is>
      </c>
      <c r="D78" s="4" t="inlineStr">
        <is>
          <t>기간집계 B22 (가) 대표 근사식(%) · B23 (나) 원식 PMR(%) · B24 차 · B25 실측 갈림 배수 · B26 이론 1/(1-할인율) · B27 차감합 · B28·B29 차감합 0 일 때 두 값. 두 식은 분모가 달라 갈린다 — 어느 쪽이 정본인지는 대표 확인 대기</t>
        </is>
      </c>
      <c r="E78" s="13">
        <f>기간집계!B24</f>
        <v/>
      </c>
    </row>
    <row r="79">
      <c r="A79" s="2" t="n">
        <v>3</v>
      </c>
      <c r="B79" s="3" t="inlineStr">
        <is>
          <t>2026-08-31 16:27</t>
        </is>
      </c>
      <c r="C79" s="4" t="inlineStr">
        <is>
          <t>365를 w 금융일수로 나누면 1년동안 몇 번 굴릴 수 있는가 =&gt; 여기에 수익률(할인율) 곱하면 이게 ty 수익률이다.</t>
        </is>
      </c>
      <c r="D79" s="4" t="inlineStr">
        <is>
          <t>기간집계 B57 1년 회전수 · B58 Ty 연 환산</t>
        </is>
      </c>
      <c r="E79" s="5" t="inlineStr"/>
    </row>
    <row r="80">
      <c r="A80" s="2" t="n">
        <v>4</v>
      </c>
      <c r="B80" s="3" t="inlineStr">
        <is>
          <t>2026-08-31 16:27</t>
        </is>
      </c>
      <c r="C80" s="4" t="inlineStr">
        <is>
          <t>2. ty 수익률 → 일 환산 수익률</t>
        </is>
      </c>
      <c r="D80" s="4" t="inlineStr">
        <is>
          <t>기간집계 B59 Ty 일 환산 · B60 검산(일 환산 x 365 - 연 환산)</t>
        </is>
      </c>
      <c r="E80" s="13">
        <f>기간집계!B60</f>
        <v/>
      </c>
    </row>
    <row r="81">
      <c r="A81" s="2" t="n">
        <v>5</v>
      </c>
      <c r="B81" s="3" t="inlineStr">
        <is>
          <t>2026-08-31 16:19</t>
        </is>
      </c>
      <c r="C81" s="4" t="inlineStr">
        <is>
          <t>(가맹점에서 채권을 사올 때는 1%를 떼고 사오므로)</t>
        </is>
      </c>
      <c r="D81" s="4" t="inlineStr">
        <is>
          <t>요율 미확정 (C1). 입력 C2 할인율은 ledger_facts.json rate 그대로다. 1% 를 이 통합문서 어디에도 넣지 않았다</t>
        </is>
      </c>
      <c r="E81" s="5" t="inlineStr"/>
    </row>
    <row r="82">
      <c r="A82" s="2" t="n">
        <v>6</v>
      </c>
      <c r="B82" s="3" t="inlineStr">
        <is>
          <t>2026-08-31 16:19</t>
        </is>
      </c>
      <c r="C82" s="4" t="inlineStr">
        <is>
          <t>실제로는 이 금액보다 선정산 실행액이 작다.</t>
        </is>
      </c>
      <c r="D82" s="4" t="inlineStr">
        <is>
          <t>같은 자리 — 선정산 제외액 · 이체/플랫폼 수수료는 이 통합문서 모집단 밖이다</t>
        </is>
      </c>
      <c r="E8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8" customWidth="1" min="4" max="4"/>
    <col width="46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출처</t>
        </is>
      </c>
    </row>
    <row r="2">
      <c r="A2" s="5" t="inlineStr">
        <is>
          <t>요율</t>
        </is>
      </c>
      <c r="B2" s="3" t="inlineStr">
        <is>
          <t>유동화투자자의 할인율</t>
        </is>
      </c>
      <c r="C2" s="14" t="n">
        <v>0.0011</v>
      </c>
      <c r="D2" s="5" t="inlineStr">
        <is>
          <t>비율</t>
        </is>
      </c>
      <c r="E2" s="5" t="inlineStr">
        <is>
          <t>ceo_definitions.md [1번 이미지]</t>
        </is>
      </c>
    </row>
    <row r="3">
      <c r="A3" s="5" t="inlineStr">
        <is>
          <t>요율</t>
        </is>
      </c>
      <c r="B3" s="3" t="inlineStr">
        <is>
          <t>할인율(%)</t>
        </is>
      </c>
      <c r="C3" s="6">
        <f>C2*100</f>
        <v/>
      </c>
      <c r="D3" s="5" t="inlineStr">
        <is>
          <t>%</t>
        </is>
      </c>
      <c r="E3" s="5" t="inlineStr">
        <is>
          <t>C2 x 100</t>
        </is>
      </c>
    </row>
    <row r="4">
      <c r="A4" s="5" t="inlineStr">
        <is>
          <t>요율</t>
        </is>
      </c>
      <c r="B4" s="3" t="inlineStr">
        <is>
          <t>연일수</t>
        </is>
      </c>
      <c r="C4" s="8" t="n">
        <v>365</v>
      </c>
      <c r="D4" s="5" t="inlineStr">
        <is>
          <t>일</t>
        </is>
      </c>
      <c r="E4" s="5" t="inlineStr">
        <is>
          <t>ceo_definitions.md ty수익율</t>
        </is>
      </c>
    </row>
    <row r="5">
      <c r="A5" s="5" t="inlineStr">
        <is>
          <t>규모</t>
        </is>
      </c>
      <c r="B5" s="3" t="inlineStr">
        <is>
          <t>총 투자자산</t>
        </is>
      </c>
      <c r="C5" s="8" t="n">
        <v>100000000</v>
      </c>
      <c r="D5" s="5" t="inlineStr">
        <is>
          <t>원</t>
        </is>
      </c>
      <c r="E5" s="5" t="inlineStr">
        <is>
          <t>ledger_facts.json total</t>
        </is>
      </c>
    </row>
    <row r="6">
      <c r="A6" s="5" t="inlineStr">
        <is>
          <t>규모</t>
        </is>
      </c>
      <c r="B6" s="3" t="inlineStr">
        <is>
          <t>유휴 비율</t>
        </is>
      </c>
      <c r="C6" s="12" t="n">
        <v>0.3</v>
      </c>
      <c r="D6" s="5" t="inlineStr">
        <is>
          <t>비율</t>
        </is>
      </c>
      <c r="E6" s="5" t="inlineStr">
        <is>
          <t>순현금 / 투자자산 (cash / total)</t>
        </is>
      </c>
    </row>
    <row r="7">
      <c r="A7" s="5" t="inlineStr">
        <is>
          <t>규모</t>
        </is>
      </c>
      <c r="B7" s="3" t="inlineStr">
        <is>
          <t>투자실행액 목표</t>
        </is>
      </c>
      <c r="C7" s="8">
        <f>C5-C8</f>
        <v/>
      </c>
      <c r="D7" s="5" t="inlineStr">
        <is>
          <t>원</t>
        </is>
      </c>
      <c r="E7" s="5" t="inlineStr">
        <is>
          <t>C5 - C8 = 총 투자자산 x (1 - 유휴 비율)</t>
        </is>
      </c>
    </row>
    <row r="8">
      <c r="A8" s="5" t="inlineStr">
        <is>
          <t>규모</t>
        </is>
      </c>
      <c r="B8" s="3" t="inlineStr">
        <is>
          <t>순현금</t>
        </is>
      </c>
      <c r="C8" s="8">
        <f>ROUND(C5*C6,0)</f>
        <v/>
      </c>
      <c r="D8" s="5" t="inlineStr">
        <is>
          <t>원</t>
        </is>
      </c>
      <c r="E8" s="5" t="inlineStr">
        <is>
          <t>C5 x C6 = 총 투자자산 x 유휴 비율</t>
        </is>
      </c>
    </row>
    <row r="9">
      <c r="A9" s="5" t="inlineStr">
        <is>
          <t>규모</t>
        </is>
      </c>
      <c r="B9" s="3" t="inlineStr">
        <is>
          <t>가맹점 평균 하루 선정산액</t>
        </is>
      </c>
      <c r="C9" s="8" t="n">
        <v>3287500</v>
      </c>
      <c r="D9" s="5" t="inlineStr">
        <is>
          <t>원</t>
        </is>
      </c>
      <c r="E9" s="5" t="inlineStr">
        <is>
          <t>daily_ledger.py BOOKROWS — Σ flow / 곳수</t>
        </is>
      </c>
    </row>
    <row r="10">
      <c r="A10" s="5" t="inlineStr">
        <is>
          <t>기간</t>
        </is>
      </c>
      <c r="B10" s="3" t="inlineStr">
        <is>
          <t>기준일 d</t>
        </is>
      </c>
      <c r="C10" s="15" t="n">
        <v>46261</v>
      </c>
      <c r="D10" s="5" t="inlineStr">
        <is>
          <t>날짜</t>
        </is>
      </c>
      <c r="E10" s="5" t="inlineStr">
        <is>
          <t>daily_ledger.py ASOF</t>
        </is>
      </c>
    </row>
    <row r="11">
      <c r="A11" s="5" t="inlineStr">
        <is>
          <t>기간</t>
        </is>
      </c>
      <c r="B11" s="3" t="inlineStr">
        <is>
          <t>선정산일 축 시작</t>
        </is>
      </c>
      <c r="C11" s="15">
        <f>C10-39</f>
        <v/>
      </c>
      <c r="D11" s="5" t="inlineStr">
        <is>
          <t>날짜</t>
        </is>
      </c>
      <c r="E11" s="5" t="inlineStr">
        <is>
          <t>축 40일</t>
        </is>
      </c>
    </row>
    <row r="12">
      <c r="A12" s="5" t="inlineStr">
        <is>
          <t>기간</t>
        </is>
      </c>
      <c r="B12" s="3" t="inlineStr">
        <is>
          <t>일별 표 시작</t>
        </is>
      </c>
      <c r="C12" s="15">
        <f>C10-26</f>
        <v/>
      </c>
      <c r="D12" s="5" t="inlineStr">
        <is>
          <t>날짜</t>
        </is>
      </c>
      <c r="E12" s="5" t="inlineStr">
        <is>
          <t>전량 커버 구간 시작</t>
        </is>
      </c>
    </row>
    <row r="13">
      <c r="A13" s="5" t="inlineStr">
        <is>
          <t>기간</t>
        </is>
      </c>
      <c r="B13" s="3" t="inlineStr">
        <is>
          <t>일별 표 종료</t>
        </is>
      </c>
      <c r="C13" s="15">
        <f>C10</f>
        <v/>
      </c>
      <c r="D13" s="5" t="inlineStr">
        <is>
          <t>날짜</t>
        </is>
      </c>
      <c r="E13" s="5" t="inlineStr">
        <is>
          <t>기준일</t>
        </is>
      </c>
    </row>
    <row r="14">
      <c r="A14" s="5" t="inlineStr">
        <is>
          <t>기간</t>
        </is>
      </c>
      <c r="B14" s="3" t="inlineStr">
        <is>
          <t>조회기간 시작</t>
        </is>
      </c>
      <c r="C14" s="15">
        <f>C10-6</f>
        <v/>
      </c>
      <c r="D14" s="5" t="inlineStr">
        <is>
          <t>날짜</t>
        </is>
      </c>
      <c r="E14" s="5" t="inlineStr">
        <is>
          <t>ceo_definitions.md default 일주일</t>
        </is>
      </c>
    </row>
    <row r="15">
      <c r="A15" s="5" t="inlineStr">
        <is>
          <t>기간</t>
        </is>
      </c>
      <c r="B15" s="3" t="inlineStr">
        <is>
          <t>조회기간 종료</t>
        </is>
      </c>
      <c r="C15" s="15">
        <f>C10</f>
        <v/>
      </c>
      <c r="D15" s="5" t="inlineStr">
        <is>
          <t>날짜</t>
        </is>
      </c>
      <c r="E15" s="5" t="inlineStr">
        <is>
          <t>기준일</t>
        </is>
      </c>
    </row>
    <row r="16">
      <c r="A16" s="5" t="inlineStr">
        <is>
          <t>기간</t>
        </is>
      </c>
      <c r="B16" s="3" t="inlineStr">
        <is>
          <t>S표본 시작</t>
        </is>
      </c>
      <c r="C16" s="15">
        <f>C10-20</f>
        <v/>
      </c>
      <c r="D16" s="5" t="inlineStr">
        <is>
          <t>날짜</t>
        </is>
      </c>
      <c r="E16" s="5" t="inlineStr">
        <is>
          <t>ceo_definitions.md 표본집합 d-20</t>
        </is>
      </c>
    </row>
    <row r="17">
      <c r="A17" s="5" t="inlineStr">
        <is>
          <t>기간</t>
        </is>
      </c>
      <c r="B17" s="3" t="inlineStr">
        <is>
          <t>S표본 종료</t>
        </is>
      </c>
      <c r="C17" s="15">
        <f>C10-11</f>
        <v/>
      </c>
      <c r="D17" s="5" t="inlineStr">
        <is>
          <t>날짜</t>
        </is>
      </c>
      <c r="E17" s="5" t="inlineStr">
        <is>
          <t>ceo_definitions.md 표본집합 d-11</t>
        </is>
      </c>
    </row>
    <row r="18">
      <c r="A18" s="5" t="inlineStr">
        <is>
          <t>산식</t>
        </is>
      </c>
      <c r="B18" s="3" t="inlineStr">
        <is>
          <t>③ 지시 대상 (미확정)</t>
        </is>
      </c>
      <c r="C18" s="8" t="n"/>
      <c r="D18" s="5" t="inlineStr">
        <is>
          <t>원</t>
        </is>
      </c>
      <c r="E18" s="5" t="inlineStr">
        <is>
          <t>ceo_definitions.md [2번] 이미지의 ③ — 「상단 현황의 기간 전체 숫자」까지만 좁혀짐. 칸 미확정 (U-03 · F-23)</t>
        </is>
      </c>
    </row>
    <row r="19">
      <c r="A19" s="5" t="inlineStr">
        <is>
          <t>산식</t>
        </is>
      </c>
      <c r="B19" s="3" t="inlineStr">
        <is>
          <t>⑤ 산식 (미확정 · 대표 재작성 대기)</t>
        </is>
      </c>
      <c r="C19" s="6">
        <f>IF(기간집계!B5+기간집계!B15=0,0,ROUND(기간집계!B13*기간집계!B5/(기간집계!B5+기간집계!B15),6))</f>
        <v/>
      </c>
      <c r="D19" s="5" t="inlineStr">
        <is>
          <t>%</t>
        </is>
      </c>
      <c r="E19" s="5" t="inlineStr">
        <is>
          <t>ceo_definitions.md [2번] 이미지의 ⑤ — 이 칸 하나만 갈아 끼우면 기간집계 ⑤ 와 ⑥ 이 따라온다. 대표 재작성 대기 (A-01)</t>
        </is>
      </c>
    </row>
    <row r="21" ht="30" customHeight="1">
      <c r="A21" s="11" t="inlineStr">
        <is>
          <t>스위치</t>
        </is>
      </c>
      <c r="B21" s="11" t="inlineStr">
        <is>
          <t>선택</t>
        </is>
      </c>
      <c r="C21" s="11" t="inlineStr">
        <is>
          <t>선택지</t>
        </is>
      </c>
      <c r="D21" s="11" t="inlineStr">
        <is>
          <t>산출 위치</t>
        </is>
      </c>
    </row>
    <row r="22">
      <c r="A22" s="3" t="inlineStr">
        <is>
          <t>① W금융일수 모집단</t>
        </is>
      </c>
      <c r="B22" s="13" t="inlineStr">
        <is>
          <t>대상정산금채권 전체</t>
        </is>
      </c>
      <c r="C22" s="5" t="inlineStr">
        <is>
          <t>대상정산금채권 전체 / 만기 도래분만 / 미회수 잔량만</t>
        </is>
      </c>
      <c r="D22" s="5" t="inlineStr">
        <is>
          <t>기간집계 B41</t>
        </is>
      </c>
    </row>
    <row r="23">
      <c r="A23" s="3" t="inlineStr">
        <is>
          <t>② W 표기 자릿수</t>
        </is>
      </c>
      <c r="B23" s="13" t="n">
        <v>2</v>
      </c>
      <c r="C23" s="5" t="inlineStr">
        <is>
          <t>1 / 2</t>
        </is>
      </c>
      <c r="D23" s="5" t="inlineStr">
        <is>
          <t>기간집계 B42</t>
        </is>
      </c>
    </row>
    <row r="24">
      <c r="A24" s="3" t="inlineStr">
        <is>
          <t>③ 가맹점 수</t>
        </is>
      </c>
      <c r="B24" s="13" t="n">
        <v>8</v>
      </c>
      <c r="C24" s="5" t="inlineStr">
        <is>
          <t>1 ~ 8</t>
        </is>
      </c>
      <c r="D24" s="5" t="inlineStr">
        <is>
          <t>가맹점 G열</t>
        </is>
      </c>
    </row>
    <row r="25">
      <c r="A25" s="3" t="inlineStr">
        <is>
          <t>④ 산출 방향</t>
        </is>
      </c>
      <c r="B25" s="13" t="inlineStr">
        <is>
          <t>A</t>
        </is>
      </c>
      <c r="C25" s="5" t="inlineStr">
        <is>
          <t>A 자산에서 출발 / B 가맹점에서 출발</t>
        </is>
      </c>
      <c r="D25" s="5" t="inlineStr">
        <is>
          <t>가맹점 P열</t>
        </is>
      </c>
    </row>
    <row r="27" ht="30" customHeight="1">
      <c r="A27" s="11" t="inlineStr">
        <is>
          <t>코드</t>
        </is>
      </c>
      <c r="B27" s="11" t="inlineStr">
        <is>
          <t>플랫폼</t>
        </is>
      </c>
      <c r="C27" s="11" t="inlineStr">
        <is>
          <t>구성비 (입력)</t>
        </is>
      </c>
      <c r="D27" s="11" t="inlineStr">
        <is>
          <t>미지급률</t>
        </is>
      </c>
      <c r="E27" s="11" t="inlineStr">
        <is>
          <t>과지급률</t>
        </is>
      </c>
      <c r="F27" s="11" t="inlineStr">
        <is>
          <t>출처</t>
        </is>
      </c>
    </row>
    <row r="28">
      <c r="A28" s="5" t="inlineStr">
        <is>
          <t>card</t>
        </is>
      </c>
      <c r="B28" s="3" t="inlineStr">
        <is>
          <t>카드사</t>
        </is>
      </c>
      <c r="C28" s="14" t="n">
        <v>0.4283444298440191</v>
      </c>
      <c r="D28" s="9" t="n">
        <v>0.00025</v>
      </c>
      <c r="E28" s="9" t="n">
        <v>0.0001</v>
      </c>
      <c r="F28" s="5" t="inlineStr">
        <is>
          <t>platform_duration.py BOOK_MIX · UNPAID · OVERPAID</t>
        </is>
      </c>
    </row>
    <row r="29">
      <c r="A29" s="5" t="inlineStr">
        <is>
          <t>bm</t>
        </is>
      </c>
      <c r="B29" s="3" t="inlineStr">
        <is>
          <t>배달의민족</t>
        </is>
      </c>
      <c r="C29" s="14" t="n">
        <v>0.4310079297740158</v>
      </c>
      <c r="D29" s="9" t="n">
        <v>0.0014</v>
      </c>
      <c r="E29" s="9" t="n">
        <v>0.00045</v>
      </c>
      <c r="F29" s="5" t="inlineStr">
        <is>
          <t>platform_duration.py BOOK_MIX · UNPAID · OVERPAID</t>
        </is>
      </c>
    </row>
    <row r="30">
      <c r="A30" s="5" t="inlineStr">
        <is>
          <t>cpe</t>
        </is>
      </c>
      <c r="B30" s="3" t="inlineStr">
        <is>
          <t>쿠팡이츠</t>
        </is>
      </c>
      <c r="C30" s="14" t="n">
        <v>0.09552164283461166</v>
      </c>
      <c r="D30" s="9" t="n">
        <v>0.0021</v>
      </c>
      <c r="E30" s="9" t="n">
        <v>0.00055</v>
      </c>
      <c r="F30" s="5" t="inlineStr">
        <is>
          <t>platform_duration.py BOOK_MIX · UNPAID · OVERPAID</t>
        </is>
      </c>
    </row>
    <row r="31">
      <c r="A31" s="5" t="inlineStr">
        <is>
          <t>yo</t>
        </is>
      </c>
      <c r="B31" s="3" t="inlineStr">
        <is>
          <t>요기요</t>
        </is>
      </c>
      <c r="C31" s="14" t="n">
        <v>0.04512599754735346</v>
      </c>
      <c r="D31" s="9" t="n">
        <v>0.003</v>
      </c>
      <c r="E31" s="9" t="n">
        <v>0.00075</v>
      </c>
      <c r="F31" s="5" t="inlineStr">
        <is>
          <t>platform_duration.py BOOK_MIX · UNPAID · OVERPAID</t>
        </is>
      </c>
    </row>
    <row r="32">
      <c r="B32" s="3" t="inlineStr">
        <is>
          <t>합계</t>
        </is>
      </c>
      <c r="C32" s="16">
        <f>SUM(C28:C31)</f>
        <v/>
      </c>
    </row>
    <row r="34" ht="30" customHeight="1">
      <c r="A34" s="11" t="inlineStr">
        <is>
          <t>플랫폼</t>
        </is>
      </c>
      <c r="B34" s="11" t="inlineStr">
        <is>
          <t>하루 순지급액(원)</t>
        </is>
      </c>
      <c r="C34" s="11" t="inlineStr">
        <is>
          <t>구성비</t>
        </is>
      </c>
      <c r="D34" s="11" t="inlineStr">
        <is>
          <t>배달 3사 내부 배분</t>
        </is>
      </c>
      <c r="E34" s="11" t="inlineStr">
        <is>
          <t>출처</t>
        </is>
      </c>
    </row>
    <row r="35">
      <c r="A35" s="3" t="inlineStr">
        <is>
          <t>카드사</t>
        </is>
      </c>
      <c r="B35" s="8" t="n">
        <v>253935</v>
      </c>
      <c r="C35" s="17">
        <f>B35/$B$39</f>
        <v/>
      </c>
      <c r="D35" s="17" t="inlineStr"/>
      <c r="E35" s="5" t="inlineStr">
        <is>
          <t>Figma 2782:5879 · 미리 받는 돈 상세 (analysis/figma_02_가맹점화면.md §3-2)</t>
        </is>
      </c>
    </row>
    <row r="36">
      <c r="A36" s="3" t="inlineStr">
        <is>
          <t>배달의민족</t>
        </is>
      </c>
      <c r="B36" s="8" t="n">
        <v>255514</v>
      </c>
      <c r="C36" s="17">
        <f>B36/$B$39</f>
        <v/>
      </c>
      <c r="D36" s="17">
        <f>B36/$B$40</f>
        <v/>
      </c>
      <c r="E36" s="5" t="inlineStr"/>
    </row>
    <row r="37">
      <c r="A37" s="3" t="inlineStr">
        <is>
          <t>쿠팡이츠</t>
        </is>
      </c>
      <c r="B37" s="8" t="n">
        <v>56628</v>
      </c>
      <c r="C37" s="17">
        <f>B37/$B$39</f>
        <v/>
      </c>
      <c r="D37" s="17">
        <f>B37/$B$40</f>
        <v/>
      </c>
      <c r="E37" s="5" t="inlineStr"/>
    </row>
    <row r="38">
      <c r="A38" s="3" t="inlineStr">
        <is>
          <t>요기요</t>
        </is>
      </c>
      <c r="B38" s="8" t="n">
        <v>26752</v>
      </c>
      <c r="C38" s="17">
        <f>B38/$B$39</f>
        <v/>
      </c>
      <c r="D38" s="17">
        <f>B38/$B$40</f>
        <v/>
      </c>
      <c r="E38" s="5" t="inlineStr"/>
    </row>
    <row r="39">
      <c r="A39" s="3" t="inlineStr">
        <is>
          <t>합계</t>
        </is>
      </c>
      <c r="B39" s="18">
        <f>SUM(B35:B38)</f>
        <v/>
      </c>
      <c r="C39" s="19">
        <f>SUM(C35:C38)</f>
        <v/>
      </c>
    </row>
    <row r="40">
      <c r="A40" s="3" t="inlineStr">
        <is>
          <t>배달 3사 합</t>
        </is>
      </c>
      <c r="B40" s="18">
        <f>SUM(B36:B38)</f>
        <v/>
      </c>
      <c r="C40" s="19">
        <f>B40/B39</f>
        <v/>
      </c>
      <c r="D40" s="19">
        <f>SUM(D36:D38)</f>
        <v/>
      </c>
      <c r="E40" s="5" t="inlineStr">
        <is>
          <t>배달앱/전체 (금액 실측)</t>
        </is>
      </c>
    </row>
    <row r="42" ht="30" customHeight="1">
      <c r="A42" s="11" t="inlineStr">
        <is>
          <t>배달앱</t>
        </is>
      </c>
      <c r="B42" s="11" t="inlineStr">
        <is>
          <t>MAU</t>
        </is>
      </c>
      <c r="C42" s="11" t="inlineStr">
        <is>
          <t>배달 3사 내부 배분</t>
        </is>
      </c>
      <c r="D42" s="11" t="inlineStr">
        <is>
          <t>출처</t>
        </is>
      </c>
    </row>
    <row r="43">
      <c r="A43" s="3" t="inlineStr">
        <is>
          <t>배민</t>
        </is>
      </c>
      <c r="B43" s="8" t="n">
        <v>2175</v>
      </c>
      <c r="C43" s="17">
        <f>B43/$B$46</f>
        <v/>
      </c>
      <c r="D43" s="5" t="inlineStr">
        <is>
          <t>정산주기.xlsx 비중 D4:F4</t>
        </is>
      </c>
    </row>
    <row r="44">
      <c r="A44" s="3" t="inlineStr">
        <is>
          <t>쿠팡이츠</t>
        </is>
      </c>
      <c r="B44" s="8" t="n">
        <v>1044</v>
      </c>
      <c r="C44" s="17">
        <f>B44/$B$46</f>
        <v/>
      </c>
      <c r="D44" s="5" t="inlineStr">
        <is>
          <t>정산주기.xlsx 비중 D4:F4</t>
        </is>
      </c>
    </row>
    <row r="45">
      <c r="A45" s="3" t="inlineStr">
        <is>
          <t>요기요</t>
        </is>
      </c>
      <c r="B45" s="8" t="n">
        <v>486</v>
      </c>
      <c r="C45" s="17">
        <f>B45/$B$46</f>
        <v/>
      </c>
      <c r="D45" s="5" t="inlineStr">
        <is>
          <t>정산주기.xlsx 비중 D4:F4</t>
        </is>
      </c>
    </row>
    <row r="46">
      <c r="A46" s="3" t="inlineStr">
        <is>
          <t>계</t>
        </is>
      </c>
      <c r="B46" s="18">
        <f>SUM(B43:B45)</f>
        <v/>
      </c>
      <c r="C46" s="19">
        <f>SUM(C43:C45)</f>
        <v/>
      </c>
    </row>
    <row r="47">
      <c r="A47" s="3" t="inlineStr">
        <is>
          <t>배달앱/전체</t>
        </is>
      </c>
      <c r="B47" s="14" t="n">
        <v>0.35</v>
      </c>
      <c r="C47" s="17">
        <f>1-B47</f>
        <v/>
      </c>
      <c r="D47" s="5" t="inlineStr">
        <is>
          <t>정산주기.xlsx 비중 H5 — 카드 = 1 - 이 값</t>
        </is>
      </c>
    </row>
    <row r="49" ht="30" customHeight="1">
      <c r="A49" s="11" t="inlineStr">
        <is>
          <t>순번</t>
        </is>
      </c>
      <c r="B49" s="11" t="inlineStr">
        <is>
          <t>사업자ID</t>
        </is>
      </c>
      <c r="C49" s="11" t="inlineStr">
        <is>
          <t>상호</t>
        </is>
      </c>
      <c r="D49" s="11" t="inlineStr">
        <is>
          <t>업종</t>
        </is>
      </c>
      <c r="E49" s="11" t="inlineStr">
        <is>
          <t>품목</t>
        </is>
      </c>
      <c r="F49" s="11" t="inlineStr">
        <is>
          <t>계약일</t>
        </is>
      </c>
      <c r="G49" s="11" t="inlineStr">
        <is>
          <t>flow 하루 선정산액</t>
        </is>
      </c>
      <c r="H49" s="11" t="inlineStr">
        <is>
          <t>배달 의존도 b</t>
        </is>
      </c>
      <c r="I49" s="11" t="inlineStr">
        <is>
          <t>하루 선정산액(방향 B)</t>
        </is>
      </c>
      <c r="J49" s="11" t="inlineStr">
        <is>
          <t>계약 상태</t>
        </is>
      </c>
      <c r="K49" s="11" t="inlineStr">
        <is>
          <t>계약 생성일</t>
        </is>
      </c>
    </row>
    <row r="50">
      <c r="A50" s="5" t="n">
        <v>1</v>
      </c>
      <c r="B50" s="5" t="inlineStr">
        <is>
          <t>M2026-0001</t>
        </is>
      </c>
      <c r="C50" s="3" t="inlineStr">
        <is>
          <t>김성호떡볶이 본점</t>
        </is>
      </c>
      <c r="D50" s="5" t="inlineStr">
        <is>
          <t>음식점업</t>
        </is>
      </c>
      <c r="E50" s="5" t="inlineStr">
        <is>
          <t>분식</t>
        </is>
      </c>
      <c r="F50" s="20" t="n">
        <v>46027</v>
      </c>
      <c r="G50" s="8" t="n">
        <v>6400000</v>
      </c>
      <c r="H50" s="14" t="n">
        <v>0.560709608609734</v>
      </c>
      <c r="I50" s="8" t="n">
        <v>6400000</v>
      </c>
      <c r="J50" s="13" t="inlineStr">
        <is>
          <t>서명 대기</t>
        </is>
      </c>
      <c r="K50" s="20" t="n">
        <v>46259</v>
      </c>
    </row>
    <row r="51">
      <c r="A51" s="5" t="n">
        <v>2</v>
      </c>
      <c r="B51" s="5" t="inlineStr">
        <is>
          <t>M2026-0007</t>
        </is>
      </c>
      <c r="C51" s="3" t="inlineStr">
        <is>
          <t>초록치킨 서초점</t>
        </is>
      </c>
      <c r="D51" s="5" t="inlineStr">
        <is>
          <t>음식점업</t>
        </is>
      </c>
      <c r="E51" s="5" t="inlineStr">
        <is>
          <t>치킨</t>
        </is>
      </c>
      <c r="F51" s="20" t="n">
        <v>46066</v>
      </c>
      <c r="G51" s="8" t="n">
        <v>5200000</v>
      </c>
      <c r="H51" s="14" t="n">
        <v>0.8</v>
      </c>
      <c r="I51" s="8" t="n">
        <v>5200000</v>
      </c>
      <c r="J51" s="5" t="inlineStr">
        <is>
          <t>서명 완료</t>
        </is>
      </c>
      <c r="K51" s="20" t="inlineStr"/>
    </row>
    <row r="52">
      <c r="A52" s="5" t="n">
        <v>3</v>
      </c>
      <c r="B52" s="5" t="inlineStr">
        <is>
          <t>M2026-0006</t>
        </is>
      </c>
      <c r="C52" s="3" t="inlineStr">
        <is>
          <t>김밥나라</t>
        </is>
      </c>
      <c r="D52" s="5" t="inlineStr">
        <is>
          <t>음식점업</t>
        </is>
      </c>
      <c r="E52" s="5" t="inlineStr">
        <is>
          <t>김밥</t>
        </is>
      </c>
      <c r="F52" s="20" t="n">
        <v>46063</v>
      </c>
      <c r="G52" s="8" t="n">
        <v>3600000</v>
      </c>
      <c r="H52" s="14" t="n">
        <v>0.7</v>
      </c>
      <c r="I52" s="8" t="n">
        <v>3600000</v>
      </c>
      <c r="J52" s="5" t="inlineStr">
        <is>
          <t>서명 완료</t>
        </is>
      </c>
      <c r="K52" s="20" t="inlineStr"/>
    </row>
    <row r="53">
      <c r="A53" s="5" t="n">
        <v>4</v>
      </c>
      <c r="B53" s="5" t="inlineStr">
        <is>
          <t>M2026-0008</t>
        </is>
      </c>
      <c r="C53" s="3" t="inlineStr">
        <is>
          <t>골목냉면</t>
        </is>
      </c>
      <c r="D53" s="5" t="inlineStr">
        <is>
          <t>음식점업</t>
        </is>
      </c>
      <c r="E53" s="5" t="inlineStr">
        <is>
          <t>냉면</t>
        </is>
      </c>
      <c r="F53" s="20" t="n">
        <v>46059</v>
      </c>
      <c r="G53" s="8" t="n">
        <v>3000000</v>
      </c>
      <c r="H53" s="14" t="n">
        <v>0.6</v>
      </c>
      <c r="I53" s="8" t="n">
        <v>3000000</v>
      </c>
      <c r="J53" s="5" t="inlineStr">
        <is>
          <t>서명 완료</t>
        </is>
      </c>
      <c r="K53" s="20" t="inlineStr"/>
    </row>
    <row r="54">
      <c r="A54" s="5" t="n">
        <v>5</v>
      </c>
      <c r="B54" s="5" t="inlineStr">
        <is>
          <t>M2026-0002</t>
        </is>
      </c>
      <c r="C54" s="3" t="inlineStr">
        <is>
          <t>달빛곱창 홍대점</t>
        </is>
      </c>
      <c r="D54" s="5" t="inlineStr">
        <is>
          <t>음식점업</t>
        </is>
      </c>
      <c r="E54" s="5" t="inlineStr">
        <is>
          <t>곱창</t>
        </is>
      </c>
      <c r="F54" s="20" t="n">
        <v>46031</v>
      </c>
      <c r="G54" s="8" t="n">
        <v>2500000</v>
      </c>
      <c r="H54" s="14" t="n">
        <v>0.46</v>
      </c>
      <c r="I54" s="8" t="n">
        <v>2500000</v>
      </c>
      <c r="J54" s="13" t="inlineStr">
        <is>
          <t>서명 대기</t>
        </is>
      </c>
      <c r="K54" s="20" t="n">
        <v>46260</v>
      </c>
    </row>
    <row r="55">
      <c r="A55" s="5" t="n">
        <v>6</v>
      </c>
      <c r="B55" s="5" t="inlineStr">
        <is>
          <t>M2026-0009</t>
        </is>
      </c>
      <c r="C55" s="3" t="inlineStr">
        <is>
          <t>청춘포차 신촌점</t>
        </is>
      </c>
      <c r="D55" s="5" t="inlineStr">
        <is>
          <t>음식점업</t>
        </is>
      </c>
      <c r="E55" s="5" t="inlineStr">
        <is>
          <t>포차</t>
        </is>
      </c>
      <c r="F55" s="20" t="n">
        <v>46044</v>
      </c>
      <c r="G55" s="8" t="n">
        <v>2100000</v>
      </c>
      <c r="H55" s="14" t="n">
        <v>0.38</v>
      </c>
      <c r="I55" s="8" t="n">
        <v>2100000</v>
      </c>
      <c r="J55" s="5" t="inlineStr">
        <is>
          <t>서명 완료</t>
        </is>
      </c>
      <c r="K55" s="20" t="inlineStr"/>
    </row>
    <row r="56">
      <c r="A56" s="5" t="n">
        <v>7</v>
      </c>
      <c r="B56" s="5" t="inlineStr">
        <is>
          <t>M2026-0004</t>
        </is>
      </c>
      <c r="C56" s="3" t="inlineStr">
        <is>
          <t>바다마루 횟집</t>
        </is>
      </c>
      <c r="D56" s="5" t="inlineStr">
        <is>
          <t>음식점업</t>
        </is>
      </c>
      <c r="E56" s="5" t="inlineStr">
        <is>
          <t>일식</t>
        </is>
      </c>
      <c r="F56" s="20" t="n">
        <v>46038</v>
      </c>
      <c r="G56" s="8" t="n">
        <v>1900000</v>
      </c>
      <c r="H56" s="14" t="n">
        <v>0.3</v>
      </c>
      <c r="I56" s="8" t="n">
        <v>1900000</v>
      </c>
      <c r="J56" s="13" t="inlineStr">
        <is>
          <t>서명 대기</t>
        </is>
      </c>
      <c r="K56" s="20" t="n">
        <v>46261</v>
      </c>
    </row>
    <row r="57">
      <c r="A57" s="5" t="n">
        <v>8</v>
      </c>
      <c r="B57" s="5" t="inlineStr">
        <is>
          <t>M2026-0005</t>
        </is>
      </c>
      <c r="C57" s="3" t="inlineStr">
        <is>
          <t>한강커피 잠원점</t>
        </is>
      </c>
      <c r="D57" s="5" t="inlineStr">
        <is>
          <t>음식점업</t>
        </is>
      </c>
      <c r="E57" s="5" t="inlineStr">
        <is>
          <t>카페</t>
        </is>
      </c>
      <c r="F57" s="20" t="n">
        <v>46055</v>
      </c>
      <c r="G57" s="8" t="n">
        <v>1600000</v>
      </c>
      <c r="H57" s="14" t="n">
        <v>0.28</v>
      </c>
      <c r="I57" s="8" t="n">
        <v>1600000</v>
      </c>
      <c r="J57" s="5" t="inlineStr">
        <is>
          <t>서명 완료</t>
        </is>
      </c>
      <c r="K57" s="20" t="inlineStr"/>
    </row>
    <row r="58">
      <c r="C58" s="3" t="inlineStr">
        <is>
          <t>합계</t>
        </is>
      </c>
      <c r="G58" s="18">
        <f>SUM(G50:G57)</f>
        <v/>
      </c>
      <c r="I58" s="18">
        <f>SUM(I50:I57)</f>
        <v/>
      </c>
      <c r="J58" s="3">
        <f>COUNTIF(J50:J57,"서명 대기")&amp;"건 대기"</f>
        <v/>
      </c>
    </row>
    <row r="60" ht="30" customHeight="1">
      <c r="A60" s="11" t="inlineStr">
        <is>
          <t>프리셋</t>
        </is>
      </c>
      <c r="B60" s="11" t="inlineStr">
        <is>
          <t>집계 단위</t>
        </is>
      </c>
      <c r="C60" s="11" t="inlineStr">
        <is>
          <t>검색대상기간</t>
        </is>
      </c>
      <c r="D60" s="11" t="inlineStr">
        <is>
          <t>시작(수식)</t>
        </is>
      </c>
      <c r="E60" s="11" t="inlineStr">
        <is>
          <t>종료(수식)</t>
        </is>
      </c>
      <c r="F60" s="11" t="inlineStr">
        <is>
          <t>일수</t>
        </is>
      </c>
      <c r="G60" s="11" t="inlineStr">
        <is>
          <t>화면 시작</t>
        </is>
      </c>
      <c r="H60" s="11" t="inlineStr">
        <is>
          <t>화면 종료</t>
        </is>
      </c>
      <c r="I60" s="11" t="inlineStr">
        <is>
          <t>차</t>
        </is>
      </c>
      <c r="J60" s="11" t="inlineStr">
        <is>
          <t>출처</t>
        </is>
      </c>
    </row>
    <row r="61">
      <c r="A61" s="5" t="inlineStr">
        <is>
          <t>week</t>
        </is>
      </c>
      <c r="B61" s="5" t="inlineStr">
        <is>
          <t>일별</t>
        </is>
      </c>
      <c r="C61" s="3" t="inlineStr">
        <is>
          <t>일주일</t>
        </is>
      </c>
      <c r="D61" s="20">
        <f>기준일-6</f>
        <v/>
      </c>
      <c r="E61" s="20">
        <f>기준일</f>
        <v/>
      </c>
      <c r="F61" s="2">
        <f>E61-D61+1</f>
        <v/>
      </c>
      <c r="G61" s="20" t="n">
        <v>46255</v>
      </c>
      <c r="H61" s="20" t="n">
        <v>46261</v>
      </c>
      <c r="I61" s="8">
        <f>(D61-G61)+(E61-H61)</f>
        <v/>
      </c>
      <c r="J61" s="5" t="inlineStr">
        <is>
          <t>build_xlsx.py PRESETS</t>
        </is>
      </c>
    </row>
    <row r="62">
      <c r="A62" s="5" t="inlineStr">
        <is>
          <t>month</t>
        </is>
      </c>
      <c r="B62" s="5" t="inlineStr">
        <is>
          <t>일별</t>
        </is>
      </c>
      <c r="C62" s="3" t="inlineStr">
        <is>
          <t>금월</t>
        </is>
      </c>
      <c r="D62" s="20">
        <f>DATE(YEAR(기준일),MONTH(기준일),1)</f>
        <v/>
      </c>
      <c r="E62" s="20">
        <f>기준일</f>
        <v/>
      </c>
      <c r="F62" s="2">
        <f>E62-D62+1</f>
        <v/>
      </c>
      <c r="G62" s="20" t="n">
        <v>46235</v>
      </c>
      <c r="H62" s="20" t="n">
        <v>46261</v>
      </c>
      <c r="I62" s="8">
        <f>(D62-G62)+(E62-H62)</f>
        <v/>
      </c>
      <c r="J62" s="5" t="inlineStr">
        <is>
          <t>build_xlsx.py PRESETS</t>
        </is>
      </c>
    </row>
    <row r="63">
      <c r="A63" s="5" t="inlineStr">
        <is>
          <t>w4</t>
        </is>
      </c>
      <c r="B63" s="5" t="inlineStr">
        <is>
          <t>주별</t>
        </is>
      </c>
      <c r="C63" s="3" t="inlineStr">
        <is>
          <t>4주</t>
        </is>
      </c>
      <c r="D63" s="20">
        <f>기준일-WEEKDAY(기준일,3)-21</f>
        <v/>
      </c>
      <c r="E63" s="20">
        <f>기준일</f>
        <v/>
      </c>
      <c r="F63" s="2">
        <f>E63-D63+1</f>
        <v/>
      </c>
      <c r="G63" s="20" t="n">
        <v>46237</v>
      </c>
      <c r="H63" s="20" t="n">
        <v>46261</v>
      </c>
      <c r="I63" s="8">
        <f>(D63-G63)+(E63-H63)</f>
        <v/>
      </c>
      <c r="J63" s="5" t="inlineStr">
        <is>
          <t>build_xlsx.py PRESETS</t>
        </is>
      </c>
    </row>
    <row r="64">
      <c r="A64" s="5" t="inlineStr">
        <is>
          <t>w12</t>
        </is>
      </c>
      <c r="B64" s="5" t="inlineStr">
        <is>
          <t>주별</t>
        </is>
      </c>
      <c r="C64" s="3" t="inlineStr">
        <is>
          <t>12주</t>
        </is>
      </c>
      <c r="D64" s="20">
        <f>기준일-WEEKDAY(기준일,3)-77</f>
        <v/>
      </c>
      <c r="E64" s="20">
        <f>기준일</f>
        <v/>
      </c>
      <c r="F64" s="2">
        <f>E64-D64+1</f>
        <v/>
      </c>
      <c r="G64" s="20" t="n">
        <v>46181</v>
      </c>
      <c r="H64" s="20" t="n">
        <v>46261</v>
      </c>
      <c r="I64" s="8">
        <f>(D64-G64)+(E64-H64)</f>
        <v/>
      </c>
      <c r="J64" s="5" t="inlineStr">
        <is>
          <t>build_xlsx.py PRESETS</t>
        </is>
      </c>
    </row>
    <row r="65">
      <c r="A65" s="5" t="inlineStr">
        <is>
          <t>m3</t>
        </is>
      </c>
      <c r="B65" s="5" t="inlineStr">
        <is>
          <t>월별</t>
        </is>
      </c>
      <c r="C65" s="3" t="inlineStr">
        <is>
          <t>3개월</t>
        </is>
      </c>
      <c r="D65" s="20">
        <f>DATE(YEAR(기준일),MONTH(기준일)-2,1)</f>
        <v/>
      </c>
      <c r="E65" s="20">
        <f>기준일</f>
        <v/>
      </c>
      <c r="F65" s="2">
        <f>E65-D65+1</f>
        <v/>
      </c>
      <c r="G65" s="20" t="n">
        <v>46174</v>
      </c>
      <c r="H65" s="20" t="n">
        <v>46261</v>
      </c>
      <c r="I65" s="8">
        <f>(D65-G65)+(E65-H65)</f>
        <v/>
      </c>
      <c r="J65" s="5" t="inlineStr">
        <is>
          <t>build_xlsx.py PRESETS</t>
        </is>
      </c>
    </row>
    <row r="66">
      <c r="A66" s="5" t="inlineStr">
        <is>
          <t>m6</t>
        </is>
      </c>
      <c r="B66" s="5" t="inlineStr">
        <is>
          <t>월별</t>
        </is>
      </c>
      <c r="C66" s="3" t="inlineStr">
        <is>
          <t>6개월</t>
        </is>
      </c>
      <c r="D66" s="20">
        <f>DATE(YEAR(기준일),MONTH(기준일)-5,1)</f>
        <v/>
      </c>
      <c r="E66" s="20">
        <f>기준일</f>
        <v/>
      </c>
      <c r="F66" s="2">
        <f>E66-D66+1</f>
        <v/>
      </c>
      <c r="G66" s="20" t="n">
        <v>46082</v>
      </c>
      <c r="H66" s="20" t="n">
        <v>46261</v>
      </c>
      <c r="I66" s="8">
        <f>(D66-G66)+(E66-H66)</f>
        <v/>
      </c>
      <c r="J66" s="5" t="inlineStr">
        <is>
          <t>build_xlsx.py PRESETS</t>
        </is>
      </c>
    </row>
    <row r="67">
      <c r="C67" s="3" t="inlineStr">
        <is>
          <t>차 합계</t>
        </is>
      </c>
      <c r="I67" s="18">
        <f>SUM(I61:I66)</f>
        <v/>
      </c>
    </row>
  </sheetData>
  <dataValidations count="4">
    <dataValidation sqref="B22" showDropDown="0" showInputMessage="0" showErrorMessage="0" allowBlank="0" type="list">
      <formula1>"대상정산금채권 전체,만기 도래분만,미회수 잔량만"</formula1>
    </dataValidation>
    <dataValidation sqref="B23" showDropDown="0" showInputMessage="0" showErrorMessage="0" allowBlank="0" type="list">
      <formula1>"1,2"</formula1>
    </dataValidation>
    <dataValidation sqref="B24" showDropDown="0" showInputMessage="0" showErrorMessage="0" allowBlank="0" type="list">
      <formula1>"1,2,3,4,5,6,7,8"</formula1>
    </dataValidation>
    <dataValidation sqref="B25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  <col width="14" customWidth="1" min="17" max="17"/>
    <col width="15" customWidth="1" min="18" max="18"/>
  </cols>
  <sheetData>
    <row r="1" ht="30" customHeight="1">
      <c r="A1" s="1" t="inlineStr">
        <is>
          <t>코드</t>
        </is>
      </c>
      <c r="B1" s="1" t="inlineStr">
        <is>
          <t>플랫폼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inlineStr">
        <is>
          <t>도수 합</t>
        </is>
      </c>
      <c r="Q1" s="1" t="inlineStr">
        <is>
          <t>Σ(d x 도수)</t>
        </is>
      </c>
      <c r="R1" s="1" t="inlineStr">
        <is>
          <t>Σ(d² x 도수)</t>
        </is>
      </c>
    </row>
    <row r="2">
      <c r="A2" s="5" t="inlineStr">
        <is>
          <t>card</t>
        </is>
      </c>
      <c r="B2" s="3" t="inlineStr">
        <is>
          <t>카드사</t>
        </is>
      </c>
      <c r="C2" s="8" t="n">
        <v>189</v>
      </c>
      <c r="D2" s="8" t="n">
        <v>53</v>
      </c>
      <c r="E2" s="8" t="n">
        <v>96</v>
      </c>
      <c r="F2" s="8" t="n">
        <v>12</v>
      </c>
      <c r="G2" s="8" t="n">
        <v>4</v>
      </c>
      <c r="H2" s="8" t="n">
        <v>2</v>
      </c>
      <c r="I2" s="8" t="n">
        <v>3</v>
      </c>
      <c r="J2" s="8" t="n">
        <v>3</v>
      </c>
      <c r="K2" s="8" t="n">
        <v>2</v>
      </c>
      <c r="L2" s="8" t="n">
        <v>1</v>
      </c>
      <c r="M2" s="8" t="n">
        <v>0</v>
      </c>
      <c r="N2" s="8" t="n">
        <v>0</v>
      </c>
      <c r="O2" s="8" t="n">
        <v>0</v>
      </c>
      <c r="P2" s="18">
        <f>SUM(C2:O2)</f>
        <v/>
      </c>
      <c r="Q2" s="2">
        <f>SUMPRODUCT($C$1:$O$1,C2:O2)</f>
        <v/>
      </c>
      <c r="R2" s="2">
        <f>SUMPRODUCT($C$1:$O$1,$C$1:$O$1,C2:O2)</f>
        <v/>
      </c>
    </row>
    <row r="3">
      <c r="A3" s="5" t="inlineStr">
        <is>
          <t>bm</t>
        </is>
      </c>
      <c r="B3" s="3" t="inlineStr">
        <is>
          <t>배달의민족</t>
        </is>
      </c>
      <c r="C3" s="8" t="n">
        <v>0</v>
      </c>
      <c r="D3" s="8" t="n">
        <v>138</v>
      </c>
      <c r="E3" s="8" t="n">
        <v>52</v>
      </c>
      <c r="F3" s="8" t="n">
        <v>139</v>
      </c>
      <c r="G3" s="8" t="n">
        <v>18</v>
      </c>
      <c r="H3" s="8" t="n">
        <v>6</v>
      </c>
      <c r="I3" s="8" t="n">
        <v>2</v>
      </c>
      <c r="J3" s="8" t="n">
        <v>2</v>
      </c>
      <c r="K3" s="8" t="n">
        <v>3</v>
      </c>
      <c r="L3" s="8" t="n">
        <v>3</v>
      </c>
      <c r="M3" s="8" t="n">
        <v>2</v>
      </c>
      <c r="N3" s="8" t="n">
        <v>0</v>
      </c>
      <c r="O3" s="8" t="n">
        <v>0</v>
      </c>
      <c r="P3" s="18">
        <f>SUM(C3:O3)</f>
        <v/>
      </c>
      <c r="Q3" s="2">
        <f>SUMPRODUCT($C$1:$O$1,C3:O3)</f>
        <v/>
      </c>
      <c r="R3" s="2">
        <f>SUMPRODUCT($C$1:$O$1,$C$1:$O$1,C3:O3)</f>
        <v/>
      </c>
    </row>
    <row r="4">
      <c r="A4" s="5" t="inlineStr">
        <is>
          <t>cpe</t>
        </is>
      </c>
      <c r="B4" s="3" t="inlineStr">
        <is>
          <t>쿠팡이츠</t>
        </is>
      </c>
      <c r="C4" s="8" t="n">
        <v>0</v>
      </c>
      <c r="D4" s="8" t="n">
        <v>0</v>
      </c>
      <c r="E4" s="8" t="n">
        <v>89</v>
      </c>
      <c r="F4" s="8" t="n">
        <v>48</v>
      </c>
      <c r="G4" s="8" t="n">
        <v>177</v>
      </c>
      <c r="H4" s="8" t="n">
        <v>24</v>
      </c>
      <c r="I4" s="8" t="n">
        <v>8</v>
      </c>
      <c r="J4" s="8" t="n">
        <v>4</v>
      </c>
      <c r="K4" s="8" t="n">
        <v>4</v>
      </c>
      <c r="L4" s="8" t="n">
        <v>4</v>
      </c>
      <c r="M4" s="8" t="n">
        <v>3</v>
      </c>
      <c r="N4" s="8" t="n">
        <v>4</v>
      </c>
      <c r="O4" s="8" t="n">
        <v>0</v>
      </c>
      <c r="P4" s="18">
        <f>SUM(C4:O4)</f>
        <v/>
      </c>
      <c r="Q4" s="2">
        <f>SUMPRODUCT($C$1:$O$1,C4:O4)</f>
        <v/>
      </c>
      <c r="R4" s="2">
        <f>SUMPRODUCT($C$1:$O$1,$C$1:$O$1,C4:O4)</f>
        <v/>
      </c>
    </row>
    <row r="5">
      <c r="A5" s="5" t="inlineStr">
        <is>
          <t>yo</t>
        </is>
      </c>
      <c r="B5" s="3" t="inlineStr">
        <is>
          <t>요기요</t>
        </is>
      </c>
      <c r="C5" s="8" t="n">
        <v>0</v>
      </c>
      <c r="D5" s="8" t="n">
        <v>0</v>
      </c>
      <c r="E5" s="8" t="n">
        <v>0</v>
      </c>
      <c r="F5" s="8" t="n">
        <v>43</v>
      </c>
      <c r="G5" s="8" t="n">
        <v>43</v>
      </c>
      <c r="H5" s="8" t="n">
        <v>211</v>
      </c>
      <c r="I5" s="8" t="n">
        <v>27</v>
      </c>
      <c r="J5" s="8" t="n">
        <v>13</v>
      </c>
      <c r="K5" s="8" t="n">
        <v>7</v>
      </c>
      <c r="L5" s="8" t="n">
        <v>7</v>
      </c>
      <c r="M5" s="8" t="n">
        <v>3</v>
      </c>
      <c r="N5" s="8" t="n">
        <v>5</v>
      </c>
      <c r="O5" s="8" t="n">
        <v>6</v>
      </c>
      <c r="P5" s="18">
        <f>SUM(C5:O5)</f>
        <v/>
      </c>
      <c r="Q5" s="2">
        <f>SUMPRODUCT($C$1:$O$1,C5:O5)</f>
        <v/>
      </c>
      <c r="R5" s="2">
        <f>SUMPRODUCT($C$1:$O$1,$C$1:$O$1,C5:O5)</f>
        <v/>
      </c>
    </row>
    <row r="6">
      <c r="B6" s="3" t="inlineStr">
        <is>
          <t>합계</t>
        </is>
      </c>
      <c r="P6" s="18">
        <f>SUM(P2:P5)</f>
        <v/>
      </c>
    </row>
    <row r="8" ht="30" customHeight="1">
      <c r="A8" s="11" t="inlineStr">
        <is>
          <t>코드</t>
        </is>
      </c>
      <c r="B8" s="11" t="inlineStr">
        <is>
          <t>플랫폼</t>
        </is>
      </c>
      <c r="C8" s="11" t="inlineStr">
        <is>
          <t>구성비</t>
        </is>
      </c>
      <c r="D8" s="11" t="inlineStr">
        <is>
          <t>평균 금융일수 E[d]</t>
        </is>
      </c>
      <c r="E8" s="11" t="inlineStr">
        <is>
          <t>E[d²]</t>
        </is>
      </c>
      <c r="F8" s="11" t="inlineStr">
        <is>
          <t>E[d²]/E[d]</t>
        </is>
      </c>
      <c r="G8" s="11" t="inlineStr">
        <is>
          <t>미지급률</t>
        </is>
      </c>
      <c r="H8" s="11" t="inlineStr">
        <is>
          <t>과지급률</t>
        </is>
      </c>
      <c r="I8" s="11" t="inlineStr">
        <is>
          <t>미지급-과지급</t>
        </is>
      </c>
      <c r="J8" s="11" t="inlineStr">
        <is>
          <t>대표 엑셀 평균</t>
        </is>
      </c>
      <c r="K8" s="11" t="inlineStr">
        <is>
          <t>차</t>
        </is>
      </c>
    </row>
    <row r="9">
      <c r="A9" s="5" t="inlineStr">
        <is>
          <t>card</t>
        </is>
      </c>
      <c r="B9" s="3" t="inlineStr">
        <is>
          <t>카드사</t>
        </is>
      </c>
      <c r="C9" s="17">
        <f>INDEX(구성비범위,1)</f>
        <v/>
      </c>
      <c r="D9" s="17">
        <f>Q2/P2</f>
        <v/>
      </c>
      <c r="E9" s="17">
        <f>R2/P2</f>
        <v/>
      </c>
      <c r="F9" s="10">
        <f>E9/D9</f>
        <v/>
      </c>
      <c r="G9" s="10">
        <f>INDEX(미지급률범위,1)</f>
        <v/>
      </c>
      <c r="H9" s="10">
        <f>INDEX(과지급률범위,1)</f>
        <v/>
      </c>
      <c r="I9" s="10">
        <f>G9-H9</f>
        <v/>
      </c>
      <c r="J9" s="17" t="n">
        <v>2.016438356164384</v>
      </c>
      <c r="K9" s="21">
        <f>D9-J9</f>
        <v/>
      </c>
    </row>
    <row r="10">
      <c r="A10" s="5" t="inlineStr">
        <is>
          <t>bm</t>
        </is>
      </c>
      <c r="B10" s="3" t="inlineStr">
        <is>
          <t>배달의민족</t>
        </is>
      </c>
      <c r="C10" s="17">
        <f>INDEX(구성비범위,2)</f>
        <v/>
      </c>
      <c r="D10" s="17">
        <f>Q3/P3</f>
        <v/>
      </c>
      <c r="E10" s="17">
        <f>R3/P3</f>
        <v/>
      </c>
      <c r="F10" s="10">
        <f>E10/D10</f>
        <v/>
      </c>
      <c r="G10" s="10">
        <f>INDEX(미지급률범위,2)</f>
        <v/>
      </c>
      <c r="H10" s="10">
        <f>INDEX(과지급률범위,2)</f>
        <v/>
      </c>
      <c r="I10" s="10">
        <f>G10-H10</f>
        <v/>
      </c>
      <c r="J10" s="17" t="n">
        <v>3.350684931506849</v>
      </c>
      <c r="K10" s="21">
        <f>D10-J10</f>
        <v/>
      </c>
    </row>
    <row r="11">
      <c r="A11" s="5" t="inlineStr">
        <is>
          <t>cpe</t>
        </is>
      </c>
      <c r="B11" s="3" t="inlineStr">
        <is>
          <t>쿠팡이츠</t>
        </is>
      </c>
      <c r="C11" s="17">
        <f>INDEX(구성비범위,3)</f>
        <v/>
      </c>
      <c r="D11" s="17">
        <f>Q4/P4</f>
        <v/>
      </c>
      <c r="E11" s="17">
        <f>R4/P4</f>
        <v/>
      </c>
      <c r="F11" s="10">
        <f>E11/D11</f>
        <v/>
      </c>
      <c r="G11" s="10">
        <f>INDEX(미지급률범위,3)</f>
        <v/>
      </c>
      <c r="H11" s="10">
        <f>INDEX(과지급률범위,3)</f>
        <v/>
      </c>
      <c r="I11" s="10">
        <f>G11-H11</f>
        <v/>
      </c>
      <c r="J11" s="17" t="n">
        <v>4.747945205479452</v>
      </c>
      <c r="K11" s="21">
        <f>D11-J11</f>
        <v/>
      </c>
    </row>
    <row r="12">
      <c r="A12" s="5" t="inlineStr">
        <is>
          <t>yo</t>
        </is>
      </c>
      <c r="B12" s="3" t="inlineStr">
        <is>
          <t>요기요</t>
        </is>
      </c>
      <c r="C12" s="17">
        <f>INDEX(구성비범위,4)</f>
        <v/>
      </c>
      <c r="D12" s="17">
        <f>Q5/P5</f>
        <v/>
      </c>
      <c r="E12" s="17">
        <f>R5/P5</f>
        <v/>
      </c>
      <c r="F12" s="10">
        <f>E12/D12</f>
        <v/>
      </c>
      <c r="G12" s="10">
        <f>INDEX(미지급률범위,4)</f>
        <v/>
      </c>
      <c r="H12" s="10">
        <f>INDEX(과지급률범위,4)</f>
        <v/>
      </c>
      <c r="I12" s="10">
        <f>G12-H12</f>
        <v/>
      </c>
      <c r="J12" s="17" t="n">
        <v>6.164383561643835</v>
      </c>
      <c r="K12" s="21">
        <f>D12-J12</f>
        <v/>
      </c>
    </row>
    <row r="13">
      <c r="B13" s="3" t="inlineStr">
        <is>
          <t>가중</t>
        </is>
      </c>
      <c r="C13" s="19">
        <f>SUM(C9:C12)</f>
        <v/>
      </c>
      <c r="D13" s="19">
        <f>SUMPRODUCT(C9:C12,D9:D12)</f>
        <v/>
      </c>
      <c r="E13" s="19">
        <f>SUMPRODUCT(C9:C12,E9:E12)</f>
        <v/>
      </c>
      <c r="F13" s="22">
        <f>E13/D13</f>
        <v/>
      </c>
    </row>
    <row r="15" ht="30" customHeight="1">
      <c r="A15" s="11" t="inlineStr">
        <is>
          <t>항목</t>
        </is>
      </c>
      <c r="B15" s="11" t="inlineStr">
        <is>
          <t>값</t>
        </is>
      </c>
      <c r="C15" s="11" t="inlineStr">
        <is>
          <t>산식</t>
        </is>
      </c>
    </row>
    <row r="16">
      <c r="A16" s="3" t="inlineStr">
        <is>
          <t>구성비 합</t>
        </is>
      </c>
      <c r="B16" s="14">
        <f>SUM(구성비범위)</f>
        <v/>
      </c>
      <c r="C16" s="5" t="inlineStr">
        <is>
          <t>SUM(구성비)</t>
        </is>
      </c>
    </row>
    <row r="17">
      <c r="A17" s="3" t="inlineStr">
        <is>
          <t>W금융일수 (구성비 x 평균 금융일수)</t>
        </is>
      </c>
      <c r="B17" s="14">
        <f>ROUND(SUMPRODUCT(구성비범위,평균금융일수범위),6)</f>
        <v/>
      </c>
      <c r="C17" s="5" t="inlineStr">
        <is>
          <t>ROUND(Σ 구성비 x 평균 금융일수, 6)</t>
        </is>
      </c>
    </row>
    <row r="18">
      <c r="A18" s="3" t="inlineStr">
        <is>
          <t>대표 엑셀 MAU 시장 평균 참고값 H41</t>
        </is>
      </c>
      <c r="B18" s="14" t="n">
        <v>2.750406854861073</v>
      </c>
      <c r="C18" s="5" t="inlineStr">
        <is>
          <t>정산주기.xlsx 정산주기 H41</t>
        </is>
      </c>
    </row>
    <row r="19">
      <c r="A19" s="3" t="inlineStr">
        <is>
          <t>차</t>
        </is>
      </c>
      <c r="B19" s="21">
        <f>B17-B18</f>
        <v/>
      </c>
      <c r="C19" s="5" t="inlineStr">
        <is>
          <t>B17 - B18</t>
        </is>
      </c>
    </row>
    <row r="20">
      <c r="A20" s="3" t="inlineStr">
        <is>
          <t>가중 E[d²]</t>
        </is>
      </c>
      <c r="B20" s="14">
        <f>SUMPRODUCT(구성비범위,Ed2범위)</f>
        <v/>
      </c>
      <c r="C20" s="5" t="inlineStr">
        <is>
          <t>Σ 구성비 x E[d²]</t>
        </is>
      </c>
    </row>
    <row r="21">
      <c r="A21" s="3" t="inlineStr">
        <is>
          <t>미회수 이론 W</t>
        </is>
      </c>
      <c r="B21" s="9">
        <f>ROUND(B20/B17,6)</f>
        <v/>
      </c>
      <c r="C21" s="5" t="inlineStr">
        <is>
          <t>ROUND(가중 E[d²] / W, 6)</t>
        </is>
      </c>
    </row>
    <row r="22">
      <c r="A22" s="3" t="inlineStr">
        <is>
          <t>Ty수익율(%) — 구성비 W 기준</t>
        </is>
      </c>
      <c r="B22" s="6">
        <f>ROUND(할인율퍼센트*연일수/ROUND(B17,SW_자릿수),6)</f>
        <v/>
      </c>
      <c r="C22" s="5" t="inlineStr">
        <is>
          <t>할인율 x 365 / 표기 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7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4" customWidth="1" min="17" max="17"/>
    <col width="14" customWidth="1" min="18" max="18"/>
    <col width="10" customWidth="1" min="19" max="19"/>
    <col width="9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14" customWidth="1" min="26" max="26"/>
    <col width="12" customWidth="1" min="27" max="27"/>
    <col width="10" customWidth="1" min="28" max="28"/>
    <col width="13" customWidth="1" min="29" max="29"/>
    <col width="11" customWidth="1" min="30" max="30"/>
  </cols>
  <sheetData>
    <row r="1" ht="30" customHeight="1">
      <c r="A1" s="1" t="inlineStr">
        <is>
          <t>순번</t>
        </is>
      </c>
      <c r="B1" s="1" t="inlineStr">
        <is>
          <t>사업자ID</t>
        </is>
      </c>
      <c r="C1" s="1" t="inlineStr">
        <is>
          <t>상호</t>
        </is>
      </c>
      <c r="D1" s="1" t="inlineStr">
        <is>
          <t>업종</t>
        </is>
      </c>
      <c r="E1" s="1" t="inlineStr">
        <is>
          <t>품목</t>
        </is>
      </c>
      <c r="F1" s="1" t="inlineStr">
        <is>
          <t>계약일</t>
        </is>
      </c>
      <c r="G1" s="1" t="inlineStr">
        <is>
          <t>사용</t>
        </is>
      </c>
      <c r="H1" s="1" t="inlineStr">
        <is>
          <t>flow 하루 선정산액</t>
        </is>
      </c>
      <c r="I1" s="1" t="inlineStr">
        <is>
          <t>배달 의존도 b</t>
        </is>
      </c>
      <c r="J1" s="1" t="inlineStr">
        <is>
          <t>카드</t>
        </is>
      </c>
      <c r="K1" s="1" t="inlineStr">
        <is>
          <t>배민</t>
        </is>
      </c>
      <c r="L1" s="1" t="inlineStr">
        <is>
          <t>쿠팡이츠</t>
        </is>
      </c>
      <c r="M1" s="1" t="inlineStr">
        <is>
          <t>요기요</t>
        </is>
      </c>
      <c r="N1" s="1" t="inlineStr">
        <is>
          <t>구성비 합</t>
        </is>
      </c>
      <c r="O1" s="1" t="inlineStr">
        <is>
          <t>가맹점 w금융일수</t>
        </is>
      </c>
      <c r="P1" s="1" t="inlineStr">
        <is>
          <t>하루 선정산액</t>
        </is>
      </c>
      <c r="Q1" s="1" t="inlineStr">
        <is>
          <t>하루 Ai</t>
        </is>
      </c>
      <c r="R1" s="1" t="inlineStr">
        <is>
          <t>투자실행액</t>
        </is>
      </c>
      <c r="S1" s="1" t="inlineStr">
        <is>
          <t>비중 raw</t>
        </is>
      </c>
      <c r="T1" s="1" t="inlineStr">
        <is>
          <t>표기 W</t>
        </is>
      </c>
      <c r="U1" s="1" t="inlineStr">
        <is>
          <t>가중 미지급률</t>
        </is>
      </c>
      <c r="V1" s="1" t="inlineStr">
        <is>
          <t>가중 과지급률</t>
        </is>
      </c>
      <c r="W1" s="1" t="inlineStr">
        <is>
          <t>S입금부족율(%)</t>
        </is>
      </c>
      <c r="X1" s="1" t="inlineStr">
        <is>
          <t>Ty수익율(%)</t>
        </is>
      </c>
      <c r="Y1" s="1" t="inlineStr">
        <is>
          <t>구간</t>
        </is>
      </c>
      <c r="Z1" s="1" t="inlineStr">
        <is>
          <t>비중 내림(pp)</t>
        </is>
      </c>
      <c r="AA1" s="1" t="inlineStr">
        <is>
          <t>잔차(pp)</t>
        </is>
      </c>
      <c r="AB1" s="1" t="inlineStr">
        <is>
          <t>잔차 순위</t>
        </is>
      </c>
      <c r="AC1" s="1" t="inlineStr">
        <is>
          <t>비중 표기(%)</t>
        </is>
      </c>
      <c r="AD1" s="1" t="inlineStr">
        <is>
          <t>계약 상태</t>
        </is>
      </c>
    </row>
    <row r="2">
      <c r="A2" s="5">
        <f>입력!A50</f>
        <v/>
      </c>
      <c r="B2" s="5">
        <f>입력!B50</f>
        <v/>
      </c>
      <c r="C2" s="3">
        <f>입력!C50</f>
        <v/>
      </c>
      <c r="D2" s="5">
        <f>입력!D50</f>
        <v/>
      </c>
      <c r="E2" s="5">
        <f>입력!E50</f>
        <v/>
      </c>
      <c r="F2" s="20">
        <f>입력!F50</f>
        <v/>
      </c>
      <c r="G2" s="5">
        <f>IF(A2&lt;=SW_가맹점수,1,0)</f>
        <v/>
      </c>
      <c r="H2" s="2">
        <f>입력!G50</f>
        <v/>
      </c>
      <c r="I2" s="17">
        <f>입력!H50</f>
        <v/>
      </c>
      <c r="J2" s="10">
        <f>G2*(1-I2)</f>
        <v/>
      </c>
      <c r="K2" s="10">
        <f>G2*I2*INDEX(배달배분범위,1)</f>
        <v/>
      </c>
      <c r="L2" s="10">
        <f>G2*I2*INDEX(배달배분범위,2)</f>
        <v/>
      </c>
      <c r="M2" s="10">
        <f>G2*I2*INDEX(배달배분범위,3)</f>
        <v/>
      </c>
      <c r="N2" s="10">
        <f>SUM(J2:M2)</f>
        <v/>
      </c>
      <c r="O2" s="10">
        <f>J2*INDEX(평균금융일수범위,1)+K2*INDEX(평균금융일수범위,2)+L2*INDEX(평균금융일수범위,3)+M2*INDEX(평균금융일수범위,4)</f>
        <v/>
      </c>
      <c r="P2" s="2">
        <f>IF(SW_방향="A",G2*H2*$B$15,G2*입력!I50)</f>
        <v/>
      </c>
      <c r="Q2" s="2">
        <f>P2*(1-할인율)</f>
        <v/>
      </c>
      <c r="R2" s="2">
        <f>P2*(1-할인율)*O2</f>
        <v/>
      </c>
      <c r="S2" s="23">
        <f>IF($R$10=0,0,R2/$R$10)</f>
        <v/>
      </c>
      <c r="T2" s="5">
        <f>IF(G2=0,"",ROUND(ROUND(O2,6),SW_자릿수))</f>
        <v/>
      </c>
      <c r="U2" s="17">
        <f>J2*INDEX(미지급률범위,1)+K2*INDEX(미지급률범위,2)+L2*INDEX(미지급률범위,3)+M2*INDEX(미지급률범위,4)</f>
        <v/>
      </c>
      <c r="V2" s="17">
        <f>J2*INDEX(과지급률범위,1)+K2*INDEX(과지급률범위,2)+L2*INDEX(과지급률범위,3)+M2*INDEX(과지급률범위,4)</f>
        <v/>
      </c>
      <c r="W2" s="7">
        <f>IF(G2=0,"",ROUND((U2-V2)/(1-할인율)*100,6))</f>
        <v/>
      </c>
      <c r="X2" s="7">
        <f>IF(G2=0,"",ROUND(할인율퍼센트*연일수/ROUND(O2,6),6))</f>
        <v/>
      </c>
      <c r="Y2" s="5">
        <f>IF(G2=0,"",IF(P2&gt;=5000000,"고액",IF(P2&gt;=2000000,"평범","소액")))</f>
        <v/>
      </c>
      <c r="Z2" s="24">
        <f>IF(G2=0,"",ROUNDDOWN(S2*1000,0)/10)</f>
        <v/>
      </c>
      <c r="AA2" s="10">
        <f>IF(G2=0,"",S2*100-Z2)</f>
        <v/>
      </c>
      <c r="AB2" s="2">
        <f>IF(G2=0,"",RANK(AA2,$AA$2:$AA$9,0)+COUNTIF($AA$2:AA2,AA2)-1)</f>
        <v/>
      </c>
      <c r="AC2" s="25">
        <f>IF(G2=0,"",Z2+IF(AB2&lt;=$B$11,0.1,0))</f>
        <v/>
      </c>
      <c r="AD2" s="5">
        <f>입력!J50</f>
        <v/>
      </c>
    </row>
    <row r="3">
      <c r="A3" s="5">
        <f>입력!A51</f>
        <v/>
      </c>
      <c r="B3" s="5">
        <f>입력!B51</f>
        <v/>
      </c>
      <c r="C3" s="3">
        <f>입력!C51</f>
        <v/>
      </c>
      <c r="D3" s="5">
        <f>입력!D51</f>
        <v/>
      </c>
      <c r="E3" s="5">
        <f>입력!E51</f>
        <v/>
      </c>
      <c r="F3" s="20">
        <f>입력!F51</f>
        <v/>
      </c>
      <c r="G3" s="5">
        <f>IF(A3&lt;=SW_가맹점수,1,0)</f>
        <v/>
      </c>
      <c r="H3" s="2">
        <f>입력!G51</f>
        <v/>
      </c>
      <c r="I3" s="17">
        <f>입력!H51</f>
        <v/>
      </c>
      <c r="J3" s="10">
        <f>G3*(1-I3)</f>
        <v/>
      </c>
      <c r="K3" s="10">
        <f>G3*I3*INDEX(배달배분범위,1)</f>
        <v/>
      </c>
      <c r="L3" s="10">
        <f>G3*I3*INDEX(배달배분범위,2)</f>
        <v/>
      </c>
      <c r="M3" s="10">
        <f>G3*I3*INDEX(배달배분범위,3)</f>
        <v/>
      </c>
      <c r="N3" s="10">
        <f>SUM(J3:M3)</f>
        <v/>
      </c>
      <c r="O3" s="10">
        <f>J3*INDEX(평균금융일수범위,1)+K3*INDEX(평균금융일수범위,2)+L3*INDEX(평균금융일수범위,3)+M3*INDEX(평균금융일수범위,4)</f>
        <v/>
      </c>
      <c r="P3" s="2">
        <f>IF(SW_방향="A",G3*H3*$B$15,G3*입력!I51)</f>
        <v/>
      </c>
      <c r="Q3" s="2">
        <f>P3*(1-할인율)</f>
        <v/>
      </c>
      <c r="R3" s="2">
        <f>P3*(1-할인율)*O3</f>
        <v/>
      </c>
      <c r="S3" s="23">
        <f>IF($R$10=0,0,R3/$R$10)</f>
        <v/>
      </c>
      <c r="T3" s="5">
        <f>IF(G3=0,"",ROUND(ROUND(O3,6),SW_자릿수))</f>
        <v/>
      </c>
      <c r="U3" s="17">
        <f>J3*INDEX(미지급률범위,1)+K3*INDEX(미지급률범위,2)+L3*INDEX(미지급률범위,3)+M3*INDEX(미지급률범위,4)</f>
        <v/>
      </c>
      <c r="V3" s="17">
        <f>J3*INDEX(과지급률범위,1)+K3*INDEX(과지급률범위,2)+L3*INDEX(과지급률범위,3)+M3*INDEX(과지급률범위,4)</f>
        <v/>
      </c>
      <c r="W3" s="7">
        <f>IF(G3=0,"",ROUND((U3-V3)/(1-할인율)*100,6))</f>
        <v/>
      </c>
      <c r="X3" s="7">
        <f>IF(G3=0,"",ROUND(할인율퍼센트*연일수/ROUND(O3,6),6))</f>
        <v/>
      </c>
      <c r="Y3" s="5">
        <f>IF(G3=0,"",IF(P3&gt;=5000000,"고액",IF(P3&gt;=2000000,"평범","소액")))</f>
        <v/>
      </c>
      <c r="Z3" s="24">
        <f>IF(G3=0,"",ROUNDDOWN(S3*1000,0)/10)</f>
        <v/>
      </c>
      <c r="AA3" s="10">
        <f>IF(G3=0,"",S3*100-Z3)</f>
        <v/>
      </c>
      <c r="AB3" s="2">
        <f>IF(G3=0,"",RANK(AA3,$AA$2:$AA$9,0)+COUNTIF($AA$2:AA3,AA3)-1)</f>
        <v/>
      </c>
      <c r="AC3" s="25">
        <f>IF(G3=0,"",Z3+IF(AB3&lt;=$B$11,0.1,0))</f>
        <v/>
      </c>
      <c r="AD3" s="5">
        <f>입력!J51</f>
        <v/>
      </c>
    </row>
    <row r="4">
      <c r="A4" s="5">
        <f>입력!A52</f>
        <v/>
      </c>
      <c r="B4" s="5">
        <f>입력!B52</f>
        <v/>
      </c>
      <c r="C4" s="3">
        <f>입력!C52</f>
        <v/>
      </c>
      <c r="D4" s="5">
        <f>입력!D52</f>
        <v/>
      </c>
      <c r="E4" s="5">
        <f>입력!E52</f>
        <v/>
      </c>
      <c r="F4" s="20">
        <f>입력!F52</f>
        <v/>
      </c>
      <c r="G4" s="5">
        <f>IF(A4&lt;=SW_가맹점수,1,0)</f>
        <v/>
      </c>
      <c r="H4" s="2">
        <f>입력!G52</f>
        <v/>
      </c>
      <c r="I4" s="17">
        <f>입력!H52</f>
        <v/>
      </c>
      <c r="J4" s="10">
        <f>G4*(1-I4)</f>
        <v/>
      </c>
      <c r="K4" s="10">
        <f>G4*I4*INDEX(배달배분범위,1)</f>
        <v/>
      </c>
      <c r="L4" s="10">
        <f>G4*I4*INDEX(배달배분범위,2)</f>
        <v/>
      </c>
      <c r="M4" s="10">
        <f>G4*I4*INDEX(배달배분범위,3)</f>
        <v/>
      </c>
      <c r="N4" s="10">
        <f>SUM(J4:M4)</f>
        <v/>
      </c>
      <c r="O4" s="10">
        <f>J4*INDEX(평균금융일수범위,1)+K4*INDEX(평균금융일수범위,2)+L4*INDEX(평균금융일수범위,3)+M4*INDEX(평균금융일수범위,4)</f>
        <v/>
      </c>
      <c r="P4" s="2">
        <f>IF(SW_방향="A",G4*H4*$B$15,G4*입력!I52)</f>
        <v/>
      </c>
      <c r="Q4" s="2">
        <f>P4*(1-할인율)</f>
        <v/>
      </c>
      <c r="R4" s="2">
        <f>P4*(1-할인율)*O4</f>
        <v/>
      </c>
      <c r="S4" s="23">
        <f>IF($R$10=0,0,R4/$R$10)</f>
        <v/>
      </c>
      <c r="T4" s="5">
        <f>IF(G4=0,"",ROUND(ROUND(O4,6),SW_자릿수))</f>
        <v/>
      </c>
      <c r="U4" s="17">
        <f>J4*INDEX(미지급률범위,1)+K4*INDEX(미지급률범위,2)+L4*INDEX(미지급률범위,3)+M4*INDEX(미지급률범위,4)</f>
        <v/>
      </c>
      <c r="V4" s="17">
        <f>J4*INDEX(과지급률범위,1)+K4*INDEX(과지급률범위,2)+L4*INDEX(과지급률범위,3)+M4*INDEX(과지급률범위,4)</f>
        <v/>
      </c>
      <c r="W4" s="7">
        <f>IF(G4=0,"",ROUND((U4-V4)/(1-할인율)*100,6))</f>
        <v/>
      </c>
      <c r="X4" s="7">
        <f>IF(G4=0,"",ROUND(할인율퍼센트*연일수/ROUND(O4,6),6))</f>
        <v/>
      </c>
      <c r="Y4" s="5">
        <f>IF(G4=0,"",IF(P4&gt;=5000000,"고액",IF(P4&gt;=2000000,"평범","소액")))</f>
        <v/>
      </c>
      <c r="Z4" s="24">
        <f>IF(G4=0,"",ROUNDDOWN(S4*1000,0)/10)</f>
        <v/>
      </c>
      <c r="AA4" s="10">
        <f>IF(G4=0,"",S4*100-Z4)</f>
        <v/>
      </c>
      <c r="AB4" s="2">
        <f>IF(G4=0,"",RANK(AA4,$AA$2:$AA$9,0)+COUNTIF($AA$2:AA4,AA4)-1)</f>
        <v/>
      </c>
      <c r="AC4" s="25">
        <f>IF(G4=0,"",Z4+IF(AB4&lt;=$B$11,0.1,0))</f>
        <v/>
      </c>
      <c r="AD4" s="5">
        <f>입력!J52</f>
        <v/>
      </c>
    </row>
    <row r="5">
      <c r="A5" s="5">
        <f>입력!A53</f>
        <v/>
      </c>
      <c r="B5" s="5">
        <f>입력!B53</f>
        <v/>
      </c>
      <c r="C5" s="3">
        <f>입력!C53</f>
        <v/>
      </c>
      <c r="D5" s="5">
        <f>입력!D53</f>
        <v/>
      </c>
      <c r="E5" s="5">
        <f>입력!E53</f>
        <v/>
      </c>
      <c r="F5" s="20">
        <f>입력!F53</f>
        <v/>
      </c>
      <c r="G5" s="5">
        <f>IF(A5&lt;=SW_가맹점수,1,0)</f>
        <v/>
      </c>
      <c r="H5" s="2">
        <f>입력!G53</f>
        <v/>
      </c>
      <c r="I5" s="17">
        <f>입력!H53</f>
        <v/>
      </c>
      <c r="J5" s="10">
        <f>G5*(1-I5)</f>
        <v/>
      </c>
      <c r="K5" s="10">
        <f>G5*I5*INDEX(배달배분범위,1)</f>
        <v/>
      </c>
      <c r="L5" s="10">
        <f>G5*I5*INDEX(배달배분범위,2)</f>
        <v/>
      </c>
      <c r="M5" s="10">
        <f>G5*I5*INDEX(배달배분범위,3)</f>
        <v/>
      </c>
      <c r="N5" s="10">
        <f>SUM(J5:M5)</f>
        <v/>
      </c>
      <c r="O5" s="10">
        <f>J5*INDEX(평균금융일수범위,1)+K5*INDEX(평균금융일수범위,2)+L5*INDEX(평균금융일수범위,3)+M5*INDEX(평균금융일수범위,4)</f>
        <v/>
      </c>
      <c r="P5" s="2">
        <f>IF(SW_방향="A",G5*H5*$B$15,G5*입력!I53)</f>
        <v/>
      </c>
      <c r="Q5" s="2">
        <f>P5*(1-할인율)</f>
        <v/>
      </c>
      <c r="R5" s="2">
        <f>P5*(1-할인율)*O5</f>
        <v/>
      </c>
      <c r="S5" s="23">
        <f>IF($R$10=0,0,R5/$R$10)</f>
        <v/>
      </c>
      <c r="T5" s="5">
        <f>IF(G5=0,"",ROUND(ROUND(O5,6),SW_자릿수))</f>
        <v/>
      </c>
      <c r="U5" s="17">
        <f>J5*INDEX(미지급률범위,1)+K5*INDEX(미지급률범위,2)+L5*INDEX(미지급률범위,3)+M5*INDEX(미지급률범위,4)</f>
        <v/>
      </c>
      <c r="V5" s="17">
        <f>J5*INDEX(과지급률범위,1)+K5*INDEX(과지급률범위,2)+L5*INDEX(과지급률범위,3)+M5*INDEX(과지급률범위,4)</f>
        <v/>
      </c>
      <c r="W5" s="7">
        <f>IF(G5=0,"",ROUND((U5-V5)/(1-할인율)*100,6))</f>
        <v/>
      </c>
      <c r="X5" s="7">
        <f>IF(G5=0,"",ROUND(할인율퍼센트*연일수/ROUND(O5,6),6))</f>
        <v/>
      </c>
      <c r="Y5" s="5">
        <f>IF(G5=0,"",IF(P5&gt;=5000000,"고액",IF(P5&gt;=2000000,"평범","소액")))</f>
        <v/>
      </c>
      <c r="Z5" s="24">
        <f>IF(G5=0,"",ROUNDDOWN(S5*1000,0)/10)</f>
        <v/>
      </c>
      <c r="AA5" s="10">
        <f>IF(G5=0,"",S5*100-Z5)</f>
        <v/>
      </c>
      <c r="AB5" s="2">
        <f>IF(G5=0,"",RANK(AA5,$AA$2:$AA$9,0)+COUNTIF($AA$2:AA5,AA5)-1)</f>
        <v/>
      </c>
      <c r="AC5" s="25">
        <f>IF(G5=0,"",Z5+IF(AB5&lt;=$B$11,0.1,0))</f>
        <v/>
      </c>
      <c r="AD5" s="5">
        <f>입력!J53</f>
        <v/>
      </c>
    </row>
    <row r="6">
      <c r="A6" s="5">
        <f>입력!A54</f>
        <v/>
      </c>
      <c r="B6" s="5">
        <f>입력!B54</f>
        <v/>
      </c>
      <c r="C6" s="3">
        <f>입력!C54</f>
        <v/>
      </c>
      <c r="D6" s="5">
        <f>입력!D54</f>
        <v/>
      </c>
      <c r="E6" s="5">
        <f>입력!E54</f>
        <v/>
      </c>
      <c r="F6" s="20">
        <f>입력!F54</f>
        <v/>
      </c>
      <c r="G6" s="5">
        <f>IF(A6&lt;=SW_가맹점수,1,0)</f>
        <v/>
      </c>
      <c r="H6" s="2">
        <f>입력!G54</f>
        <v/>
      </c>
      <c r="I6" s="17">
        <f>입력!H54</f>
        <v/>
      </c>
      <c r="J6" s="10">
        <f>G6*(1-I6)</f>
        <v/>
      </c>
      <c r="K6" s="10">
        <f>G6*I6*INDEX(배달배분범위,1)</f>
        <v/>
      </c>
      <c r="L6" s="10">
        <f>G6*I6*INDEX(배달배분범위,2)</f>
        <v/>
      </c>
      <c r="M6" s="10">
        <f>G6*I6*INDEX(배달배분범위,3)</f>
        <v/>
      </c>
      <c r="N6" s="10">
        <f>SUM(J6:M6)</f>
        <v/>
      </c>
      <c r="O6" s="10">
        <f>J6*INDEX(평균금융일수범위,1)+K6*INDEX(평균금융일수범위,2)+L6*INDEX(평균금융일수범위,3)+M6*INDEX(평균금융일수범위,4)</f>
        <v/>
      </c>
      <c r="P6" s="2">
        <f>IF(SW_방향="A",G6*H6*$B$15,G6*입력!I54)</f>
        <v/>
      </c>
      <c r="Q6" s="2">
        <f>P6*(1-할인율)</f>
        <v/>
      </c>
      <c r="R6" s="2">
        <f>P6*(1-할인율)*O6</f>
        <v/>
      </c>
      <c r="S6" s="23">
        <f>IF($R$10=0,0,R6/$R$10)</f>
        <v/>
      </c>
      <c r="T6" s="5">
        <f>IF(G6=0,"",ROUND(ROUND(O6,6),SW_자릿수))</f>
        <v/>
      </c>
      <c r="U6" s="17">
        <f>J6*INDEX(미지급률범위,1)+K6*INDEX(미지급률범위,2)+L6*INDEX(미지급률범위,3)+M6*INDEX(미지급률범위,4)</f>
        <v/>
      </c>
      <c r="V6" s="17">
        <f>J6*INDEX(과지급률범위,1)+K6*INDEX(과지급률범위,2)+L6*INDEX(과지급률범위,3)+M6*INDEX(과지급률범위,4)</f>
        <v/>
      </c>
      <c r="W6" s="7">
        <f>IF(G6=0,"",ROUND((U6-V6)/(1-할인율)*100,6))</f>
        <v/>
      </c>
      <c r="X6" s="7">
        <f>IF(G6=0,"",ROUND(할인율퍼센트*연일수/ROUND(O6,6),6))</f>
        <v/>
      </c>
      <c r="Y6" s="5">
        <f>IF(G6=0,"",IF(P6&gt;=5000000,"고액",IF(P6&gt;=2000000,"평범","소액")))</f>
        <v/>
      </c>
      <c r="Z6" s="24">
        <f>IF(G6=0,"",ROUNDDOWN(S6*1000,0)/10)</f>
        <v/>
      </c>
      <c r="AA6" s="10">
        <f>IF(G6=0,"",S6*100-Z6)</f>
        <v/>
      </c>
      <c r="AB6" s="2">
        <f>IF(G6=0,"",RANK(AA6,$AA$2:$AA$9,0)+COUNTIF($AA$2:AA6,AA6)-1)</f>
        <v/>
      </c>
      <c r="AC6" s="25">
        <f>IF(G6=0,"",Z6+IF(AB6&lt;=$B$11,0.1,0))</f>
        <v/>
      </c>
      <c r="AD6" s="5">
        <f>입력!J54</f>
        <v/>
      </c>
    </row>
    <row r="7">
      <c r="A7" s="5">
        <f>입력!A55</f>
        <v/>
      </c>
      <c r="B7" s="5">
        <f>입력!B55</f>
        <v/>
      </c>
      <c r="C7" s="3">
        <f>입력!C55</f>
        <v/>
      </c>
      <c r="D7" s="5">
        <f>입력!D55</f>
        <v/>
      </c>
      <c r="E7" s="5">
        <f>입력!E55</f>
        <v/>
      </c>
      <c r="F7" s="20">
        <f>입력!F55</f>
        <v/>
      </c>
      <c r="G7" s="5">
        <f>IF(A7&lt;=SW_가맹점수,1,0)</f>
        <v/>
      </c>
      <c r="H7" s="2">
        <f>입력!G55</f>
        <v/>
      </c>
      <c r="I7" s="17">
        <f>입력!H55</f>
        <v/>
      </c>
      <c r="J7" s="10">
        <f>G7*(1-I7)</f>
        <v/>
      </c>
      <c r="K7" s="10">
        <f>G7*I7*INDEX(배달배분범위,1)</f>
        <v/>
      </c>
      <c r="L7" s="10">
        <f>G7*I7*INDEX(배달배분범위,2)</f>
        <v/>
      </c>
      <c r="M7" s="10">
        <f>G7*I7*INDEX(배달배분범위,3)</f>
        <v/>
      </c>
      <c r="N7" s="10">
        <f>SUM(J7:M7)</f>
        <v/>
      </c>
      <c r="O7" s="10">
        <f>J7*INDEX(평균금융일수범위,1)+K7*INDEX(평균금융일수범위,2)+L7*INDEX(평균금융일수범위,3)+M7*INDEX(평균금융일수범위,4)</f>
        <v/>
      </c>
      <c r="P7" s="2">
        <f>IF(SW_방향="A",G7*H7*$B$15,G7*입력!I55)</f>
        <v/>
      </c>
      <c r="Q7" s="2">
        <f>P7*(1-할인율)</f>
        <v/>
      </c>
      <c r="R7" s="2">
        <f>P7*(1-할인율)*O7</f>
        <v/>
      </c>
      <c r="S7" s="23">
        <f>IF($R$10=0,0,R7/$R$10)</f>
        <v/>
      </c>
      <c r="T7" s="5">
        <f>IF(G7=0,"",ROUND(ROUND(O7,6),SW_자릿수))</f>
        <v/>
      </c>
      <c r="U7" s="17">
        <f>J7*INDEX(미지급률범위,1)+K7*INDEX(미지급률범위,2)+L7*INDEX(미지급률범위,3)+M7*INDEX(미지급률범위,4)</f>
        <v/>
      </c>
      <c r="V7" s="17">
        <f>J7*INDEX(과지급률범위,1)+K7*INDEX(과지급률범위,2)+L7*INDEX(과지급률범위,3)+M7*INDEX(과지급률범위,4)</f>
        <v/>
      </c>
      <c r="W7" s="7">
        <f>IF(G7=0,"",ROUND((U7-V7)/(1-할인율)*100,6))</f>
        <v/>
      </c>
      <c r="X7" s="7">
        <f>IF(G7=0,"",ROUND(할인율퍼센트*연일수/ROUND(O7,6),6))</f>
        <v/>
      </c>
      <c r="Y7" s="5">
        <f>IF(G7=0,"",IF(P7&gt;=5000000,"고액",IF(P7&gt;=2000000,"평범","소액")))</f>
        <v/>
      </c>
      <c r="Z7" s="24">
        <f>IF(G7=0,"",ROUNDDOWN(S7*1000,0)/10)</f>
        <v/>
      </c>
      <c r="AA7" s="10">
        <f>IF(G7=0,"",S7*100-Z7)</f>
        <v/>
      </c>
      <c r="AB7" s="2">
        <f>IF(G7=0,"",RANK(AA7,$AA$2:$AA$9,0)+COUNTIF($AA$2:AA7,AA7)-1)</f>
        <v/>
      </c>
      <c r="AC7" s="25">
        <f>IF(G7=0,"",Z7+IF(AB7&lt;=$B$11,0.1,0))</f>
        <v/>
      </c>
      <c r="AD7" s="5">
        <f>입력!J55</f>
        <v/>
      </c>
    </row>
    <row r="8">
      <c r="A8" s="5">
        <f>입력!A56</f>
        <v/>
      </c>
      <c r="B8" s="5">
        <f>입력!B56</f>
        <v/>
      </c>
      <c r="C8" s="3">
        <f>입력!C56</f>
        <v/>
      </c>
      <c r="D8" s="5">
        <f>입력!D56</f>
        <v/>
      </c>
      <c r="E8" s="5">
        <f>입력!E56</f>
        <v/>
      </c>
      <c r="F8" s="20">
        <f>입력!F56</f>
        <v/>
      </c>
      <c r="G8" s="5">
        <f>IF(A8&lt;=SW_가맹점수,1,0)</f>
        <v/>
      </c>
      <c r="H8" s="2">
        <f>입력!G56</f>
        <v/>
      </c>
      <c r="I8" s="17">
        <f>입력!H56</f>
        <v/>
      </c>
      <c r="J8" s="10">
        <f>G8*(1-I8)</f>
        <v/>
      </c>
      <c r="K8" s="10">
        <f>G8*I8*INDEX(배달배분범위,1)</f>
        <v/>
      </c>
      <c r="L8" s="10">
        <f>G8*I8*INDEX(배달배분범위,2)</f>
        <v/>
      </c>
      <c r="M8" s="10">
        <f>G8*I8*INDEX(배달배분범위,3)</f>
        <v/>
      </c>
      <c r="N8" s="10">
        <f>SUM(J8:M8)</f>
        <v/>
      </c>
      <c r="O8" s="10">
        <f>J8*INDEX(평균금융일수범위,1)+K8*INDEX(평균금융일수범위,2)+L8*INDEX(평균금융일수범위,3)+M8*INDEX(평균금융일수범위,4)</f>
        <v/>
      </c>
      <c r="P8" s="2">
        <f>IF(SW_방향="A",G8*H8*$B$15,G8*입력!I56)</f>
        <v/>
      </c>
      <c r="Q8" s="2">
        <f>P8*(1-할인율)</f>
        <v/>
      </c>
      <c r="R8" s="2">
        <f>P8*(1-할인율)*O8</f>
        <v/>
      </c>
      <c r="S8" s="23">
        <f>IF($R$10=0,0,R8/$R$10)</f>
        <v/>
      </c>
      <c r="T8" s="5">
        <f>IF(G8=0,"",ROUND(ROUND(O8,6),SW_자릿수))</f>
        <v/>
      </c>
      <c r="U8" s="17">
        <f>J8*INDEX(미지급률범위,1)+K8*INDEX(미지급률범위,2)+L8*INDEX(미지급률범위,3)+M8*INDEX(미지급률범위,4)</f>
        <v/>
      </c>
      <c r="V8" s="17">
        <f>J8*INDEX(과지급률범위,1)+K8*INDEX(과지급률범위,2)+L8*INDEX(과지급률범위,3)+M8*INDEX(과지급률범위,4)</f>
        <v/>
      </c>
      <c r="W8" s="7">
        <f>IF(G8=0,"",ROUND((U8-V8)/(1-할인율)*100,6))</f>
        <v/>
      </c>
      <c r="X8" s="7">
        <f>IF(G8=0,"",ROUND(할인율퍼센트*연일수/ROUND(O8,6),6))</f>
        <v/>
      </c>
      <c r="Y8" s="5">
        <f>IF(G8=0,"",IF(P8&gt;=5000000,"고액",IF(P8&gt;=2000000,"평범","소액")))</f>
        <v/>
      </c>
      <c r="Z8" s="24">
        <f>IF(G8=0,"",ROUNDDOWN(S8*1000,0)/10)</f>
        <v/>
      </c>
      <c r="AA8" s="10">
        <f>IF(G8=0,"",S8*100-Z8)</f>
        <v/>
      </c>
      <c r="AB8" s="2">
        <f>IF(G8=0,"",RANK(AA8,$AA$2:$AA$9,0)+COUNTIF($AA$2:AA8,AA8)-1)</f>
        <v/>
      </c>
      <c r="AC8" s="25">
        <f>IF(G8=0,"",Z8+IF(AB8&lt;=$B$11,0.1,0))</f>
        <v/>
      </c>
      <c r="AD8" s="5">
        <f>입력!J56</f>
        <v/>
      </c>
    </row>
    <row r="9">
      <c r="A9" s="5">
        <f>입력!A57</f>
        <v/>
      </c>
      <c r="B9" s="5">
        <f>입력!B57</f>
        <v/>
      </c>
      <c r="C9" s="3">
        <f>입력!C57</f>
        <v/>
      </c>
      <c r="D9" s="5">
        <f>입력!D57</f>
        <v/>
      </c>
      <c r="E9" s="5">
        <f>입력!E57</f>
        <v/>
      </c>
      <c r="F9" s="20">
        <f>입력!F57</f>
        <v/>
      </c>
      <c r="G9" s="5">
        <f>IF(A9&lt;=SW_가맹점수,1,0)</f>
        <v/>
      </c>
      <c r="H9" s="2">
        <f>입력!G57</f>
        <v/>
      </c>
      <c r="I9" s="17">
        <f>입력!H57</f>
        <v/>
      </c>
      <c r="J9" s="10">
        <f>G9*(1-I9)</f>
        <v/>
      </c>
      <c r="K9" s="10">
        <f>G9*I9*INDEX(배달배분범위,1)</f>
        <v/>
      </c>
      <c r="L9" s="10">
        <f>G9*I9*INDEX(배달배분범위,2)</f>
        <v/>
      </c>
      <c r="M9" s="10">
        <f>G9*I9*INDEX(배달배분범위,3)</f>
        <v/>
      </c>
      <c r="N9" s="10">
        <f>SUM(J9:M9)</f>
        <v/>
      </c>
      <c r="O9" s="10">
        <f>J9*INDEX(평균금융일수범위,1)+K9*INDEX(평균금융일수범위,2)+L9*INDEX(평균금융일수범위,3)+M9*INDEX(평균금융일수범위,4)</f>
        <v/>
      </c>
      <c r="P9" s="2">
        <f>IF(SW_방향="A",G9*H9*$B$15,G9*입력!I57)</f>
        <v/>
      </c>
      <c r="Q9" s="2">
        <f>P9*(1-할인율)</f>
        <v/>
      </c>
      <c r="R9" s="2">
        <f>P9*(1-할인율)*O9</f>
        <v/>
      </c>
      <c r="S9" s="23">
        <f>IF($R$10=0,0,R9/$R$10)</f>
        <v/>
      </c>
      <c r="T9" s="5">
        <f>IF(G9=0,"",ROUND(ROUND(O9,6),SW_자릿수))</f>
        <v/>
      </c>
      <c r="U9" s="17">
        <f>J9*INDEX(미지급률범위,1)+K9*INDEX(미지급률범위,2)+L9*INDEX(미지급률범위,3)+M9*INDEX(미지급률범위,4)</f>
        <v/>
      </c>
      <c r="V9" s="17">
        <f>J9*INDEX(과지급률범위,1)+K9*INDEX(과지급률범위,2)+L9*INDEX(과지급률범위,3)+M9*INDEX(과지급률범위,4)</f>
        <v/>
      </c>
      <c r="W9" s="7">
        <f>IF(G9=0,"",ROUND((U9-V9)/(1-할인율)*100,6))</f>
        <v/>
      </c>
      <c r="X9" s="7">
        <f>IF(G9=0,"",ROUND(할인율퍼센트*연일수/ROUND(O9,6),6))</f>
        <v/>
      </c>
      <c r="Y9" s="5">
        <f>IF(G9=0,"",IF(P9&gt;=5000000,"고액",IF(P9&gt;=2000000,"평범","소액")))</f>
        <v/>
      </c>
      <c r="Z9" s="24">
        <f>IF(G9=0,"",ROUNDDOWN(S9*1000,0)/10)</f>
        <v/>
      </c>
      <c r="AA9" s="10">
        <f>IF(G9=0,"",S9*100-Z9)</f>
        <v/>
      </c>
      <c r="AB9" s="2">
        <f>IF(G9=0,"",RANK(AA9,$AA$2:$AA$9,0)+COUNTIF($AA$2:AA9,AA9)-1)</f>
        <v/>
      </c>
      <c r="AC9" s="25">
        <f>IF(G9=0,"",Z9+IF(AB9&lt;=$B$11,0.1,0))</f>
        <v/>
      </c>
      <c r="AD9" s="5">
        <f>입력!J57</f>
        <v/>
      </c>
    </row>
    <row r="10">
      <c r="C10" s="3" t="inlineStr">
        <is>
          <t>합계</t>
        </is>
      </c>
      <c r="G10" s="18">
        <f>SUM(G2:G9)</f>
        <v/>
      </c>
      <c r="H10" s="18">
        <f>SUM(H2:H9)</f>
        <v/>
      </c>
      <c r="O10" s="19">
        <f>IF(P10=0,0,SUMPRODUCT(P2:P9,O2:O9)/P10)</f>
        <v/>
      </c>
      <c r="P10" s="18">
        <f>SUM(P2:P9)</f>
        <v/>
      </c>
      <c r="Q10" s="18">
        <f>SUM(Q2:Q9)</f>
        <v/>
      </c>
      <c r="R10" s="18">
        <f>SUM(R2:R9)</f>
        <v/>
      </c>
      <c r="S10" s="26">
        <f>SUM(S2:S9)</f>
        <v/>
      </c>
      <c r="T10" s="3">
        <f>ROUND(ROUND(O10,6),SW_자릿수)</f>
        <v/>
      </c>
      <c r="Z10" s="27">
        <f>SUM(Z2:Z9)</f>
        <v/>
      </c>
      <c r="AC10" s="28">
        <f>SUM(AC2:AC9)</f>
        <v/>
      </c>
      <c r="AD10" s="3">
        <f>COUNTIF(AD2:AD9,"서명 대기")&amp;"건 대기"</f>
        <v/>
      </c>
    </row>
    <row r="11">
      <c r="A11" s="3" t="inlineStr">
        <is>
          <t>나눠 줄 눈금 수 k (0.1pp)</t>
        </is>
      </c>
      <c r="B11" s="8">
        <f>ROUND((100-Z10)/0.1,0)</f>
        <v/>
      </c>
      <c r="C11" s="5" t="inlineStr">
        <is>
          <t>(100 - Σ 비중 내림) / 0.1</t>
        </is>
      </c>
    </row>
    <row r="12" ht="30" customHeight="1">
      <c r="A12" s="11" t="inlineStr">
        <is>
          <t>항목</t>
        </is>
      </c>
      <c r="B12" s="11" t="inlineStr">
        <is>
          <t>값</t>
        </is>
      </c>
      <c r="C12" s="11" t="inlineStr">
        <is>
          <t>산식</t>
        </is>
      </c>
    </row>
    <row r="13">
      <c r="A13" s="3" t="inlineStr">
        <is>
          <t>flow 가중 w금융일수 W_flow</t>
        </is>
      </c>
      <c r="B13" s="14">
        <f>IF(SUMPRODUCT(G2:G9,H2:H9)=0,0,SUMPRODUCT(G2:G9,H2:H9,O2:O9)/SUMPRODUCT(G2:G9,H2:H9))</f>
        <v/>
      </c>
      <c r="C13" s="5" t="inlineStr">
        <is>
          <t>Σ(사용 x flow x w금융일수) / Σ(사용 x flow)</t>
        </is>
      </c>
    </row>
    <row r="14">
      <c r="A14" s="3" t="inlineStr">
        <is>
          <t>하루 선정산액 합계 (방향 A)</t>
        </is>
      </c>
      <c r="B14" s="29">
        <f>IF(B13=0,0,투자실행액목표/((1-할인율)*B13))</f>
        <v/>
      </c>
      <c r="C14" s="5" t="inlineStr">
        <is>
          <t>투자실행액 / (1-r) / W_flow</t>
        </is>
      </c>
    </row>
    <row r="15">
      <c r="A15" s="3" t="inlineStr">
        <is>
          <t>배율 (방향 A)</t>
        </is>
      </c>
      <c r="B15" s="14">
        <f>IF(SUMPRODUCT(G2:G9,H2:H9)=0,0,B14/SUMPRODUCT(G2:G9,H2:H9))</f>
        <v/>
      </c>
      <c r="C15" s="5" t="inlineStr">
        <is>
          <t>하루 선정산액 합계 / Σ(사용 x flow)</t>
        </is>
      </c>
    </row>
    <row r="16">
      <c r="A16" s="3" t="inlineStr">
        <is>
          <t>하루 선정산액 합계 (적용)</t>
        </is>
      </c>
      <c r="B16" s="29">
        <f>P10</f>
        <v/>
      </c>
      <c r="C16" s="5" t="inlineStr">
        <is>
          <t>Σ 하루 선정산액</t>
        </is>
      </c>
    </row>
    <row r="17">
      <c r="A17" s="3" t="inlineStr">
        <is>
          <t>금액가중 W금융일수</t>
        </is>
      </c>
      <c r="B17" s="14">
        <f>O10</f>
        <v/>
      </c>
      <c r="C17" s="5" t="inlineStr">
        <is>
          <t>Σ(하루선정산액 x w금융일수) / Σ 하루선정산액</t>
        </is>
      </c>
    </row>
    <row r="18">
      <c r="A18" s="3" t="inlineStr">
        <is>
          <t>투자실행액 (모집단 산식)</t>
        </is>
      </c>
      <c r="B18" s="29">
        <f>B16*(1-할인율)*B17</f>
        <v/>
      </c>
      <c r="C18" s="5" t="inlineStr">
        <is>
          <t>합계 x (1-r) x W</t>
        </is>
      </c>
    </row>
    <row r="19">
      <c r="A19" s="3" t="inlineStr">
        <is>
          <t>가맹점 수 (적용)</t>
        </is>
      </c>
      <c r="B19" s="8">
        <f>SUM(G2:G9)</f>
        <v/>
      </c>
      <c r="C19" s="5" t="inlineStr">
        <is>
          <t>Σ 사용</t>
        </is>
      </c>
    </row>
    <row r="20">
      <c r="A20" s="3" t="inlineStr">
        <is>
          <t>가맹점 수 (방향 A 산출)</t>
        </is>
      </c>
      <c r="B20" s="30">
        <f>IF(가맹점평균=0,0,B16/가맹점평균)</f>
        <v/>
      </c>
      <c r="C20" s="5" t="inlineStr">
        <is>
          <t>하루 선정산액 합계 / 가맹점 평균</t>
        </is>
      </c>
    </row>
    <row r="21">
      <c r="A21" s="3" t="inlineStr">
        <is>
          <t>곳당 평균 하루 선정산액</t>
        </is>
      </c>
      <c r="B21" s="29">
        <f>IF(B19=0,0,B16/B19)</f>
        <v/>
      </c>
      <c r="C21" s="5" t="inlineStr">
        <is>
          <t>합계 / 가맹점 수</t>
        </is>
      </c>
    </row>
    <row r="22">
      <c r="A22" s="3" t="inlineStr">
        <is>
          <t>순현금</t>
        </is>
      </c>
      <c r="B22" s="8">
        <f>순현금</f>
        <v/>
      </c>
      <c r="C22" s="5" t="inlineStr">
        <is>
          <t>입력</t>
        </is>
      </c>
    </row>
    <row r="23">
      <c r="A23" s="3" t="inlineStr">
        <is>
          <t>투자자산</t>
        </is>
      </c>
      <c r="B23" s="29">
        <f>B18+B22</f>
        <v/>
      </c>
      <c r="C23" s="5" t="inlineStr">
        <is>
          <t>투자실행액 + 순현금</t>
        </is>
      </c>
    </row>
    <row r="24">
      <c r="A24" s="3" t="inlineStr">
        <is>
          <t>투자실행액 비중</t>
        </is>
      </c>
      <c r="B24" s="12">
        <f>B18/B23</f>
        <v/>
      </c>
      <c r="C24" s="5" t="inlineStr">
        <is>
          <t>투자실행액 / 투자자산</t>
        </is>
      </c>
    </row>
    <row r="25">
      <c r="A25" s="3" t="inlineStr">
        <is>
          <t>순현금 비중</t>
        </is>
      </c>
      <c r="B25" s="12">
        <f>B22/B23</f>
        <v/>
      </c>
      <c r="C25" s="5" t="inlineStr">
        <is>
          <t>순현금 / 투자자산</t>
        </is>
      </c>
    </row>
    <row r="27" ht="30" customHeight="1">
      <c r="A27" s="11" t="inlineStr">
        <is>
          <t>플랫폼</t>
        </is>
      </c>
      <c r="B27" s="11" t="inlineStr">
        <is>
          <t>로스터 금액가중 구성비</t>
        </is>
      </c>
      <c r="C27" s="11" t="inlineStr">
        <is>
          <t>대표 구성비</t>
        </is>
      </c>
      <c r="D27" s="11" t="inlineStr">
        <is>
          <t>차</t>
        </is>
      </c>
    </row>
    <row r="28">
      <c r="A28" s="3" t="inlineStr">
        <is>
          <t>카드사</t>
        </is>
      </c>
      <c r="B28" s="17">
        <f>IF($P$10=0,0,SUMPRODUCT($P$2:$P$9,J2:J9)/$P$10)</f>
        <v/>
      </c>
      <c r="C28" s="17">
        <f>INDEX(구성비범위,1)</f>
        <v/>
      </c>
      <c r="D28" s="21">
        <f>B28-C28</f>
        <v/>
      </c>
    </row>
    <row r="29">
      <c r="A29" s="3" t="inlineStr">
        <is>
          <t>배달의민족</t>
        </is>
      </c>
      <c r="B29" s="17">
        <f>IF($P$10=0,0,SUMPRODUCT($P$2:$P$9,K2:K9)/$P$10)</f>
        <v/>
      </c>
      <c r="C29" s="17">
        <f>INDEX(구성비범위,2)</f>
        <v/>
      </c>
      <c r="D29" s="21">
        <f>B29-C29</f>
        <v/>
      </c>
    </row>
    <row r="30">
      <c r="A30" s="3" t="inlineStr">
        <is>
          <t>쿠팡이츠</t>
        </is>
      </c>
      <c r="B30" s="17">
        <f>IF($P$10=0,0,SUMPRODUCT($P$2:$P$9,L2:L9)/$P$10)</f>
        <v/>
      </c>
      <c r="C30" s="17">
        <f>INDEX(구성비범위,3)</f>
        <v/>
      </c>
      <c r="D30" s="21">
        <f>B30-C30</f>
        <v/>
      </c>
    </row>
    <row r="31">
      <c r="A31" s="3" t="inlineStr">
        <is>
          <t>요기요</t>
        </is>
      </c>
      <c r="B31" s="17">
        <f>IF($P$10=0,0,SUMPRODUCT($P$2:$P$9,M2:M9)/$P$10)</f>
        <v/>
      </c>
      <c r="C31" s="17">
        <f>INDEX(구성비범위,4)</f>
        <v/>
      </c>
      <c r="D31" s="21">
        <f>B31-C31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8" customWidth="1" min="17" max="17"/>
    <col width="9" customWidth="1" min="18" max="18"/>
    <col width="14" customWidth="1" min="19" max="19"/>
    <col width="8" customWidth="1" min="20" max="20"/>
    <col width="9" customWidth="1" min="21" max="21"/>
  </cols>
  <sheetData>
    <row r="1" ht="30" customHeight="1">
      <c r="A1" s="1" t="inlineStr">
        <is>
          <t>번호</t>
        </is>
      </c>
      <c r="B1" s="1" t="inlineStr">
        <is>
          <t>가맹점</t>
        </is>
      </c>
      <c r="C1" s="1" t="inlineStr">
        <is>
          <t>플랫폼</t>
        </is>
      </c>
      <c r="D1" s="1" t="inlineStr">
        <is>
          <t>가맹점#</t>
        </is>
      </c>
      <c r="E1" s="1" t="inlineStr">
        <is>
          <t>플랫폼#</t>
        </is>
      </c>
      <c r="F1" s="1" t="inlineStr">
        <is>
          <t>선정산일</t>
        </is>
      </c>
      <c r="G1" s="1" t="inlineStr">
        <is>
          <t>정산예정일</t>
        </is>
      </c>
      <c r="H1" s="1" t="inlineStr">
        <is>
          <t>금융일수 Di</t>
        </is>
      </c>
      <c r="I1" s="1" t="inlineStr">
        <is>
          <t>순지급액</t>
        </is>
      </c>
      <c r="J1" s="1" t="inlineStr">
        <is>
          <t>Ai</t>
        </is>
      </c>
      <c r="K1" s="1" t="inlineStr">
        <is>
          <t>채권매입수수료</t>
        </is>
      </c>
      <c r="L1" s="1" t="inlineStr">
        <is>
          <t>미지급액</t>
        </is>
      </c>
      <c r="M1" s="1" t="inlineStr">
        <is>
          <t>과지급액</t>
        </is>
      </c>
      <c r="N1" s="1" t="inlineStr">
        <is>
          <t>차감액</t>
        </is>
      </c>
      <c r="O1" s="1" t="inlineStr">
        <is>
          <t>투자수익 Mi</t>
        </is>
      </c>
      <c r="P1" s="1" t="inlineStr">
        <is>
          <t>상환액 Bi</t>
        </is>
      </c>
      <c r="Q1" s="1" t="inlineStr">
        <is>
          <t>미회수</t>
        </is>
      </c>
      <c r="R1" s="1" t="inlineStr">
        <is>
          <t>만기 도래</t>
        </is>
      </c>
      <c r="S1" s="1" t="inlineStr">
        <is>
          <t>Ai x Di</t>
        </is>
      </c>
      <c r="T1" s="1" t="inlineStr">
        <is>
          <t>S표본</t>
        </is>
      </c>
      <c r="U1" s="1" t="inlineStr">
        <is>
          <t>조회기간</t>
        </is>
      </c>
    </row>
    <row r="2">
      <c r="A2" s="2">
        <f>ROW()-1</f>
        <v/>
      </c>
      <c r="B2" s="5">
        <f>INDEX(상호범위,D2)</f>
        <v/>
      </c>
      <c r="C2" s="5">
        <f>INDEX(플랫폼명범위,E2)</f>
        <v/>
      </c>
      <c r="D2" s="2">
        <f>MOD(INT((A2-1)/4),8)+1</f>
        <v/>
      </c>
      <c r="E2" s="2">
        <f>MOD(A2-1,4)+1</f>
        <v/>
      </c>
      <c r="F2" s="20">
        <f>축시작+INT((A2-1)/32)</f>
        <v/>
      </c>
      <c r="G2" s="20">
        <f>F2+H2</f>
        <v/>
      </c>
      <c r="H2" s="5" t="n">
        <v>1</v>
      </c>
      <c r="I2" s="2">
        <f>ROUND(INDEX(가맹점!$P$2:$P$9,D2)*INDEX(가맹점!$J$2:$M$9,D2,E2),0)</f>
        <v/>
      </c>
      <c r="J2" s="2">
        <f>ROUND(I2*(1-할인율),0)</f>
        <v/>
      </c>
      <c r="K2" s="2">
        <f>ROUNDDOWN(I2*할인율,0)</f>
        <v/>
      </c>
      <c r="L2" s="2">
        <f>ROUND(I2*INDEX(미지급률범위,E2),0)</f>
        <v/>
      </c>
      <c r="M2" s="2">
        <f>ROUND(I2*INDEX(과지급률범위,E2),0)</f>
        <v/>
      </c>
      <c r="N2" s="2">
        <f>MAX(0,L2-M2)</f>
        <v/>
      </c>
      <c r="O2" s="2">
        <f>K2-N2</f>
        <v/>
      </c>
      <c r="P2" s="2">
        <f>I2-N2</f>
        <v/>
      </c>
      <c r="Q2" s="5">
        <f>IF(G2&gt;기준일,1,0)</f>
        <v/>
      </c>
      <c r="R2" s="5">
        <f>IF(G2&lt;=기준일,1,0)</f>
        <v/>
      </c>
      <c r="S2" s="2">
        <f>J2*H2</f>
        <v/>
      </c>
      <c r="T2" s="5">
        <f>IF(AND(F2&gt;=표본시작,F2&lt;=표본종료),1,0)</f>
        <v/>
      </c>
      <c r="U2" s="5">
        <f>IF(AND(G2&gt;=조회시작,G2&lt;=조회종료),1,0)</f>
        <v/>
      </c>
    </row>
    <row r="3">
      <c r="A3" s="2">
        <f>ROW()-1</f>
        <v/>
      </c>
      <c r="B3" s="5">
        <f>INDEX(상호범위,D3)</f>
        <v/>
      </c>
      <c r="C3" s="5">
        <f>INDEX(플랫폼명범위,E3)</f>
        <v/>
      </c>
      <c r="D3" s="2">
        <f>MOD(INT((A3-1)/4),8)+1</f>
        <v/>
      </c>
      <c r="E3" s="2">
        <f>MOD(A3-1,4)+1</f>
        <v/>
      </c>
      <c r="F3" s="20">
        <f>축시작+INT((A3-1)/32)</f>
        <v/>
      </c>
      <c r="G3" s="20">
        <f>F3+H3</f>
        <v/>
      </c>
      <c r="H3" s="5" t="n">
        <v>2</v>
      </c>
      <c r="I3" s="2">
        <f>ROUND(INDEX(가맹점!$P$2:$P$9,D3)*INDEX(가맹점!$J$2:$M$9,D3,E3),0)</f>
        <v/>
      </c>
      <c r="J3" s="2">
        <f>ROUND(I3*(1-할인율),0)</f>
        <v/>
      </c>
      <c r="K3" s="2">
        <f>ROUNDDOWN(I3*할인율,0)</f>
        <v/>
      </c>
      <c r="L3" s="2">
        <f>ROUND(I3*INDEX(미지급률범위,E3),0)</f>
        <v/>
      </c>
      <c r="M3" s="2">
        <f>ROUND(I3*INDEX(과지급률범위,E3),0)</f>
        <v/>
      </c>
      <c r="N3" s="2">
        <f>MAX(0,L3-M3)</f>
        <v/>
      </c>
      <c r="O3" s="2">
        <f>K3-N3</f>
        <v/>
      </c>
      <c r="P3" s="2">
        <f>I3-N3</f>
        <v/>
      </c>
      <c r="Q3" s="5">
        <f>IF(G3&gt;기준일,1,0)</f>
        <v/>
      </c>
      <c r="R3" s="5">
        <f>IF(G3&lt;=기준일,1,0)</f>
        <v/>
      </c>
      <c r="S3" s="2">
        <f>J3*H3</f>
        <v/>
      </c>
      <c r="T3" s="5">
        <f>IF(AND(F3&gt;=표본시작,F3&lt;=표본종료),1,0)</f>
        <v/>
      </c>
      <c r="U3" s="5">
        <f>IF(AND(G3&gt;=조회시작,G3&lt;=조회종료),1,0)</f>
        <v/>
      </c>
    </row>
    <row r="4">
      <c r="A4" s="2">
        <f>ROW()-1</f>
        <v/>
      </c>
      <c r="B4" s="5">
        <f>INDEX(상호범위,D4)</f>
        <v/>
      </c>
      <c r="C4" s="5">
        <f>INDEX(플랫폼명범위,E4)</f>
        <v/>
      </c>
      <c r="D4" s="2">
        <f>MOD(INT((A4-1)/4),8)+1</f>
        <v/>
      </c>
      <c r="E4" s="2">
        <f>MOD(A4-1,4)+1</f>
        <v/>
      </c>
      <c r="F4" s="20">
        <f>축시작+INT((A4-1)/32)</f>
        <v/>
      </c>
      <c r="G4" s="20">
        <f>F4+H4</f>
        <v/>
      </c>
      <c r="H4" s="5" t="n">
        <v>5</v>
      </c>
      <c r="I4" s="2">
        <f>ROUND(INDEX(가맹점!$P$2:$P$9,D4)*INDEX(가맹점!$J$2:$M$9,D4,E4),0)</f>
        <v/>
      </c>
      <c r="J4" s="2">
        <f>ROUND(I4*(1-할인율),0)</f>
        <v/>
      </c>
      <c r="K4" s="2">
        <f>ROUNDDOWN(I4*할인율,0)</f>
        <v/>
      </c>
      <c r="L4" s="2">
        <f>ROUND(I4*INDEX(미지급률범위,E4),0)</f>
        <v/>
      </c>
      <c r="M4" s="2">
        <f>ROUND(I4*INDEX(과지급률범위,E4),0)</f>
        <v/>
      </c>
      <c r="N4" s="2">
        <f>MAX(0,L4-M4)</f>
        <v/>
      </c>
      <c r="O4" s="2">
        <f>K4-N4</f>
        <v/>
      </c>
      <c r="P4" s="2">
        <f>I4-N4</f>
        <v/>
      </c>
      <c r="Q4" s="5">
        <f>IF(G4&gt;기준일,1,0)</f>
        <v/>
      </c>
      <c r="R4" s="5">
        <f>IF(G4&lt;=기준일,1,0)</f>
        <v/>
      </c>
      <c r="S4" s="2">
        <f>J4*H4</f>
        <v/>
      </c>
      <c r="T4" s="5">
        <f>IF(AND(F4&gt;=표본시작,F4&lt;=표본종료),1,0)</f>
        <v/>
      </c>
      <c r="U4" s="5">
        <f>IF(AND(G4&gt;=조회시작,G4&lt;=조회종료),1,0)</f>
        <v/>
      </c>
    </row>
    <row r="5">
      <c r="A5" s="2">
        <f>ROW()-1</f>
        <v/>
      </c>
      <c r="B5" s="5">
        <f>INDEX(상호범위,D5)</f>
        <v/>
      </c>
      <c r="C5" s="5">
        <f>INDEX(플랫폼명범위,E5)</f>
        <v/>
      </c>
      <c r="D5" s="2">
        <f>MOD(INT((A5-1)/4),8)+1</f>
        <v/>
      </c>
      <c r="E5" s="2">
        <f>MOD(A5-1,4)+1</f>
        <v/>
      </c>
      <c r="F5" s="20">
        <f>축시작+INT((A5-1)/32)</f>
        <v/>
      </c>
      <c r="G5" s="20">
        <f>F5+H5</f>
        <v/>
      </c>
      <c r="H5" s="5" t="n">
        <v>12</v>
      </c>
      <c r="I5" s="2">
        <f>ROUND(INDEX(가맹점!$P$2:$P$9,D5)*INDEX(가맹점!$J$2:$M$9,D5,E5),0)</f>
        <v/>
      </c>
      <c r="J5" s="2">
        <f>ROUND(I5*(1-할인율),0)</f>
        <v/>
      </c>
      <c r="K5" s="2">
        <f>ROUNDDOWN(I5*할인율,0)</f>
        <v/>
      </c>
      <c r="L5" s="2">
        <f>ROUND(I5*INDEX(미지급률범위,E5),0)</f>
        <v/>
      </c>
      <c r="M5" s="2">
        <f>ROUND(I5*INDEX(과지급률범위,E5),0)</f>
        <v/>
      </c>
      <c r="N5" s="2">
        <f>MAX(0,L5-M5)</f>
        <v/>
      </c>
      <c r="O5" s="2">
        <f>K5-N5</f>
        <v/>
      </c>
      <c r="P5" s="2">
        <f>I5-N5</f>
        <v/>
      </c>
      <c r="Q5" s="5">
        <f>IF(G5&gt;기준일,1,0)</f>
        <v/>
      </c>
      <c r="R5" s="5">
        <f>IF(G5&lt;=기준일,1,0)</f>
        <v/>
      </c>
      <c r="S5" s="2">
        <f>J5*H5</f>
        <v/>
      </c>
      <c r="T5" s="5">
        <f>IF(AND(F5&gt;=표본시작,F5&lt;=표본종료),1,0)</f>
        <v/>
      </c>
      <c r="U5" s="5">
        <f>IF(AND(G5&gt;=조회시작,G5&lt;=조회종료),1,0)</f>
        <v/>
      </c>
    </row>
    <row r="6">
      <c r="A6" s="2">
        <f>ROW()-1</f>
        <v/>
      </c>
      <c r="B6" s="5">
        <f>INDEX(상호범위,D6)</f>
        <v/>
      </c>
      <c r="C6" s="5">
        <f>INDEX(플랫폼명범위,E6)</f>
        <v/>
      </c>
      <c r="D6" s="2">
        <f>MOD(INT((A6-1)/4),8)+1</f>
        <v/>
      </c>
      <c r="E6" s="2">
        <f>MOD(A6-1,4)+1</f>
        <v/>
      </c>
      <c r="F6" s="20">
        <f>축시작+INT((A6-1)/32)</f>
        <v/>
      </c>
      <c r="G6" s="20">
        <f>F6+H6</f>
        <v/>
      </c>
      <c r="H6" s="5" t="n">
        <v>1</v>
      </c>
      <c r="I6" s="2">
        <f>ROUND(INDEX(가맹점!$P$2:$P$9,D6)*INDEX(가맹점!$J$2:$M$9,D6,E6),0)</f>
        <v/>
      </c>
      <c r="J6" s="2">
        <f>ROUND(I6*(1-할인율),0)</f>
        <v/>
      </c>
      <c r="K6" s="2">
        <f>ROUNDDOWN(I6*할인율,0)</f>
        <v/>
      </c>
      <c r="L6" s="2">
        <f>ROUND(I6*INDEX(미지급률범위,E6),0)</f>
        <v/>
      </c>
      <c r="M6" s="2">
        <f>ROUND(I6*INDEX(과지급률범위,E6),0)</f>
        <v/>
      </c>
      <c r="N6" s="2">
        <f>MAX(0,L6-M6)</f>
        <v/>
      </c>
      <c r="O6" s="2">
        <f>K6-N6</f>
        <v/>
      </c>
      <c r="P6" s="2">
        <f>I6-N6</f>
        <v/>
      </c>
      <c r="Q6" s="5">
        <f>IF(G6&gt;기준일,1,0)</f>
        <v/>
      </c>
      <c r="R6" s="5">
        <f>IF(G6&lt;=기준일,1,0)</f>
        <v/>
      </c>
      <c r="S6" s="2">
        <f>J6*H6</f>
        <v/>
      </c>
      <c r="T6" s="5">
        <f>IF(AND(F6&gt;=표본시작,F6&lt;=표본종료),1,0)</f>
        <v/>
      </c>
      <c r="U6" s="5">
        <f>IF(AND(G6&gt;=조회시작,G6&lt;=조회종료),1,0)</f>
        <v/>
      </c>
    </row>
    <row r="7">
      <c r="A7" s="2">
        <f>ROW()-1</f>
        <v/>
      </c>
      <c r="B7" s="5">
        <f>INDEX(상호범위,D7)</f>
        <v/>
      </c>
      <c r="C7" s="5">
        <f>INDEX(플랫폼명범위,E7)</f>
        <v/>
      </c>
      <c r="D7" s="2">
        <f>MOD(INT((A7-1)/4),8)+1</f>
        <v/>
      </c>
      <c r="E7" s="2">
        <f>MOD(A7-1,4)+1</f>
        <v/>
      </c>
      <c r="F7" s="20">
        <f>축시작+INT((A7-1)/32)</f>
        <v/>
      </c>
      <c r="G7" s="20">
        <f>F7+H7</f>
        <v/>
      </c>
      <c r="H7" s="5" t="n">
        <v>2</v>
      </c>
      <c r="I7" s="2">
        <f>ROUND(INDEX(가맹점!$P$2:$P$9,D7)*INDEX(가맹점!$J$2:$M$9,D7,E7),0)</f>
        <v/>
      </c>
      <c r="J7" s="2">
        <f>ROUND(I7*(1-할인율),0)</f>
        <v/>
      </c>
      <c r="K7" s="2">
        <f>ROUNDDOWN(I7*할인율,0)</f>
        <v/>
      </c>
      <c r="L7" s="2">
        <f>ROUND(I7*INDEX(미지급률범위,E7),0)</f>
        <v/>
      </c>
      <c r="M7" s="2">
        <f>ROUND(I7*INDEX(과지급률범위,E7),0)</f>
        <v/>
      </c>
      <c r="N7" s="2">
        <f>MAX(0,L7-M7)</f>
        <v/>
      </c>
      <c r="O7" s="2">
        <f>K7-N7</f>
        <v/>
      </c>
      <c r="P7" s="2">
        <f>I7-N7</f>
        <v/>
      </c>
      <c r="Q7" s="5">
        <f>IF(G7&gt;기준일,1,0)</f>
        <v/>
      </c>
      <c r="R7" s="5">
        <f>IF(G7&lt;=기준일,1,0)</f>
        <v/>
      </c>
      <c r="S7" s="2">
        <f>J7*H7</f>
        <v/>
      </c>
      <c r="T7" s="5">
        <f>IF(AND(F7&gt;=표본시작,F7&lt;=표본종료),1,0)</f>
        <v/>
      </c>
      <c r="U7" s="5">
        <f>IF(AND(G7&gt;=조회시작,G7&lt;=조회종료),1,0)</f>
        <v/>
      </c>
    </row>
    <row r="8">
      <c r="A8" s="2">
        <f>ROW()-1</f>
        <v/>
      </c>
      <c r="B8" s="5">
        <f>INDEX(상호범위,D8)</f>
        <v/>
      </c>
      <c r="C8" s="5">
        <f>INDEX(플랫폼명범위,E8)</f>
        <v/>
      </c>
      <c r="D8" s="2">
        <f>MOD(INT((A8-1)/4),8)+1</f>
        <v/>
      </c>
      <c r="E8" s="2">
        <f>MOD(A8-1,4)+1</f>
        <v/>
      </c>
      <c r="F8" s="20">
        <f>축시작+INT((A8-1)/32)</f>
        <v/>
      </c>
      <c r="G8" s="20">
        <f>F8+H8</f>
        <v/>
      </c>
      <c r="H8" s="5" t="n">
        <v>5</v>
      </c>
      <c r="I8" s="2">
        <f>ROUND(INDEX(가맹점!$P$2:$P$9,D8)*INDEX(가맹점!$J$2:$M$9,D8,E8),0)</f>
        <v/>
      </c>
      <c r="J8" s="2">
        <f>ROUND(I8*(1-할인율),0)</f>
        <v/>
      </c>
      <c r="K8" s="2">
        <f>ROUNDDOWN(I8*할인율,0)</f>
        <v/>
      </c>
      <c r="L8" s="2">
        <f>ROUND(I8*INDEX(미지급률범위,E8),0)</f>
        <v/>
      </c>
      <c r="M8" s="2">
        <f>ROUND(I8*INDEX(과지급률범위,E8),0)</f>
        <v/>
      </c>
      <c r="N8" s="2">
        <f>MAX(0,L8-M8)</f>
        <v/>
      </c>
      <c r="O8" s="2">
        <f>K8-N8</f>
        <v/>
      </c>
      <c r="P8" s="2">
        <f>I8-N8</f>
        <v/>
      </c>
      <c r="Q8" s="5">
        <f>IF(G8&gt;기준일,1,0)</f>
        <v/>
      </c>
      <c r="R8" s="5">
        <f>IF(G8&lt;=기준일,1,0)</f>
        <v/>
      </c>
      <c r="S8" s="2">
        <f>J8*H8</f>
        <v/>
      </c>
      <c r="T8" s="5">
        <f>IF(AND(F8&gt;=표본시작,F8&lt;=표본종료),1,0)</f>
        <v/>
      </c>
      <c r="U8" s="5">
        <f>IF(AND(G8&gt;=조회시작,G8&lt;=조회종료),1,0)</f>
        <v/>
      </c>
    </row>
    <row r="9">
      <c r="A9" s="2">
        <f>ROW()-1</f>
        <v/>
      </c>
      <c r="B9" s="5">
        <f>INDEX(상호범위,D9)</f>
        <v/>
      </c>
      <c r="C9" s="5">
        <f>INDEX(플랫폼명범위,E9)</f>
        <v/>
      </c>
      <c r="D9" s="2">
        <f>MOD(INT((A9-1)/4),8)+1</f>
        <v/>
      </c>
      <c r="E9" s="2">
        <f>MOD(A9-1,4)+1</f>
        <v/>
      </c>
      <c r="F9" s="20">
        <f>축시작+INT((A9-1)/32)</f>
        <v/>
      </c>
      <c r="G9" s="20">
        <f>F9+H9</f>
        <v/>
      </c>
      <c r="H9" s="5" t="n">
        <v>12</v>
      </c>
      <c r="I9" s="2">
        <f>ROUND(INDEX(가맹점!$P$2:$P$9,D9)*INDEX(가맹점!$J$2:$M$9,D9,E9),0)</f>
        <v/>
      </c>
      <c r="J9" s="2">
        <f>ROUND(I9*(1-할인율),0)</f>
        <v/>
      </c>
      <c r="K9" s="2">
        <f>ROUNDDOWN(I9*할인율,0)</f>
        <v/>
      </c>
      <c r="L9" s="2">
        <f>ROUND(I9*INDEX(미지급률범위,E9),0)</f>
        <v/>
      </c>
      <c r="M9" s="2">
        <f>ROUND(I9*INDEX(과지급률범위,E9),0)</f>
        <v/>
      </c>
      <c r="N9" s="2">
        <f>MAX(0,L9-M9)</f>
        <v/>
      </c>
      <c r="O9" s="2">
        <f>K9-N9</f>
        <v/>
      </c>
      <c r="P9" s="2">
        <f>I9-N9</f>
        <v/>
      </c>
      <c r="Q9" s="5">
        <f>IF(G9&gt;기준일,1,0)</f>
        <v/>
      </c>
      <c r="R9" s="5">
        <f>IF(G9&lt;=기준일,1,0)</f>
        <v/>
      </c>
      <c r="S9" s="2">
        <f>J9*H9</f>
        <v/>
      </c>
      <c r="T9" s="5">
        <f>IF(AND(F9&gt;=표본시작,F9&lt;=표본종료),1,0)</f>
        <v/>
      </c>
      <c r="U9" s="5">
        <f>IF(AND(G9&gt;=조회시작,G9&lt;=조회종료),1,0)</f>
        <v/>
      </c>
    </row>
    <row r="10">
      <c r="A10" s="2">
        <f>ROW()-1</f>
        <v/>
      </c>
      <c r="B10" s="5">
        <f>INDEX(상호범위,D10)</f>
        <v/>
      </c>
      <c r="C10" s="5">
        <f>INDEX(플랫폼명범위,E10)</f>
        <v/>
      </c>
      <c r="D10" s="2">
        <f>MOD(INT((A10-1)/4),8)+1</f>
        <v/>
      </c>
      <c r="E10" s="2">
        <f>MOD(A10-1,4)+1</f>
        <v/>
      </c>
      <c r="F10" s="20">
        <f>축시작+INT((A10-1)/32)</f>
        <v/>
      </c>
      <c r="G10" s="20">
        <f>F10+H10</f>
        <v/>
      </c>
      <c r="H10" s="5" t="n">
        <v>3</v>
      </c>
      <c r="I10" s="2">
        <f>ROUND(INDEX(가맹점!$P$2:$P$9,D10)*INDEX(가맹점!$J$2:$M$9,D10,E10),0)</f>
        <v/>
      </c>
      <c r="J10" s="2">
        <f>ROUND(I10*(1-할인율),0)</f>
        <v/>
      </c>
      <c r="K10" s="2">
        <f>ROUNDDOWN(I10*할인율,0)</f>
        <v/>
      </c>
      <c r="L10" s="2">
        <f>ROUND(I10*INDEX(미지급률범위,E10),0)</f>
        <v/>
      </c>
      <c r="M10" s="2">
        <f>ROUND(I10*INDEX(과지급률범위,E10),0)</f>
        <v/>
      </c>
      <c r="N10" s="2">
        <f>MAX(0,L10-M10)</f>
        <v/>
      </c>
      <c r="O10" s="2">
        <f>K10-N10</f>
        <v/>
      </c>
      <c r="P10" s="2">
        <f>I10-N10</f>
        <v/>
      </c>
      <c r="Q10" s="5">
        <f>IF(G10&gt;기준일,1,0)</f>
        <v/>
      </c>
      <c r="R10" s="5">
        <f>IF(G10&lt;=기준일,1,0)</f>
        <v/>
      </c>
      <c r="S10" s="2">
        <f>J10*H10</f>
        <v/>
      </c>
      <c r="T10" s="5">
        <f>IF(AND(F10&gt;=표본시작,F10&lt;=표본종료),1,0)</f>
        <v/>
      </c>
      <c r="U10" s="5">
        <f>IF(AND(G10&gt;=조회시작,G10&lt;=조회종료),1,0)</f>
        <v/>
      </c>
    </row>
    <row r="11">
      <c r="A11" s="2">
        <f>ROW()-1</f>
        <v/>
      </c>
      <c r="B11" s="5">
        <f>INDEX(상호범위,D11)</f>
        <v/>
      </c>
      <c r="C11" s="5">
        <f>INDEX(플랫폼명범위,E11)</f>
        <v/>
      </c>
      <c r="D11" s="2">
        <f>MOD(INT((A11-1)/4),8)+1</f>
        <v/>
      </c>
      <c r="E11" s="2">
        <f>MOD(A11-1,4)+1</f>
        <v/>
      </c>
      <c r="F11" s="20">
        <f>축시작+INT((A11-1)/32)</f>
        <v/>
      </c>
      <c r="G11" s="20">
        <f>F11+H11</f>
        <v/>
      </c>
      <c r="H11" s="5" t="n">
        <v>2</v>
      </c>
      <c r="I11" s="2">
        <f>ROUND(INDEX(가맹점!$P$2:$P$9,D11)*INDEX(가맹점!$J$2:$M$9,D11,E11),0)</f>
        <v/>
      </c>
      <c r="J11" s="2">
        <f>ROUND(I11*(1-할인율),0)</f>
        <v/>
      </c>
      <c r="K11" s="2">
        <f>ROUNDDOWN(I11*할인율,0)</f>
        <v/>
      </c>
      <c r="L11" s="2">
        <f>ROUND(I11*INDEX(미지급률범위,E11),0)</f>
        <v/>
      </c>
      <c r="M11" s="2">
        <f>ROUND(I11*INDEX(과지급률범위,E11),0)</f>
        <v/>
      </c>
      <c r="N11" s="2">
        <f>MAX(0,L11-M11)</f>
        <v/>
      </c>
      <c r="O11" s="2">
        <f>K11-N11</f>
        <v/>
      </c>
      <c r="P11" s="2">
        <f>I11-N11</f>
        <v/>
      </c>
      <c r="Q11" s="5">
        <f>IF(G11&gt;기준일,1,0)</f>
        <v/>
      </c>
      <c r="R11" s="5">
        <f>IF(G11&lt;=기준일,1,0)</f>
        <v/>
      </c>
      <c r="S11" s="2">
        <f>J11*H11</f>
        <v/>
      </c>
      <c r="T11" s="5">
        <f>IF(AND(F11&gt;=표본시작,F11&lt;=표본종료),1,0)</f>
        <v/>
      </c>
      <c r="U11" s="5">
        <f>IF(AND(G11&gt;=조회시작,G11&lt;=조회종료),1,0)</f>
        <v/>
      </c>
    </row>
    <row r="12">
      <c r="A12" s="2">
        <f>ROW()-1</f>
        <v/>
      </c>
      <c r="B12" s="5">
        <f>INDEX(상호범위,D12)</f>
        <v/>
      </c>
      <c r="C12" s="5">
        <f>INDEX(플랫폼명범위,E12)</f>
        <v/>
      </c>
      <c r="D12" s="2">
        <f>MOD(INT((A12-1)/4),8)+1</f>
        <v/>
      </c>
      <c r="E12" s="2">
        <f>MOD(A12-1,4)+1</f>
        <v/>
      </c>
      <c r="F12" s="20">
        <f>축시작+INT((A12-1)/32)</f>
        <v/>
      </c>
      <c r="G12" s="20">
        <f>F12+H12</f>
        <v/>
      </c>
      <c r="H12" s="5" t="n">
        <v>5</v>
      </c>
      <c r="I12" s="2">
        <f>ROUND(INDEX(가맹점!$P$2:$P$9,D12)*INDEX(가맹점!$J$2:$M$9,D12,E12),0)</f>
        <v/>
      </c>
      <c r="J12" s="2">
        <f>ROUND(I12*(1-할인율),0)</f>
        <v/>
      </c>
      <c r="K12" s="2">
        <f>ROUNDDOWN(I12*할인율,0)</f>
        <v/>
      </c>
      <c r="L12" s="2">
        <f>ROUND(I12*INDEX(미지급률범위,E12),0)</f>
        <v/>
      </c>
      <c r="M12" s="2">
        <f>ROUND(I12*INDEX(과지급률범위,E12),0)</f>
        <v/>
      </c>
      <c r="N12" s="2">
        <f>MAX(0,L12-M12)</f>
        <v/>
      </c>
      <c r="O12" s="2">
        <f>K12-N12</f>
        <v/>
      </c>
      <c r="P12" s="2">
        <f>I12-N12</f>
        <v/>
      </c>
      <c r="Q12" s="5">
        <f>IF(G12&gt;기준일,1,0)</f>
        <v/>
      </c>
      <c r="R12" s="5">
        <f>IF(G12&lt;=기준일,1,0)</f>
        <v/>
      </c>
      <c r="S12" s="2">
        <f>J12*H12</f>
        <v/>
      </c>
      <c r="T12" s="5">
        <f>IF(AND(F12&gt;=표본시작,F12&lt;=표본종료),1,0)</f>
        <v/>
      </c>
      <c r="U12" s="5">
        <f>IF(AND(G12&gt;=조회시작,G12&lt;=조회종료),1,0)</f>
        <v/>
      </c>
    </row>
    <row r="13">
      <c r="A13" s="2">
        <f>ROW()-1</f>
        <v/>
      </c>
      <c r="B13" s="5">
        <f>INDEX(상호범위,D13)</f>
        <v/>
      </c>
      <c r="C13" s="5">
        <f>INDEX(플랫폼명범위,E13)</f>
        <v/>
      </c>
      <c r="D13" s="2">
        <f>MOD(INT((A13-1)/4),8)+1</f>
        <v/>
      </c>
      <c r="E13" s="2">
        <f>MOD(A13-1,4)+1</f>
        <v/>
      </c>
      <c r="F13" s="20">
        <f>축시작+INT((A13-1)/32)</f>
        <v/>
      </c>
      <c r="G13" s="20">
        <f>F13+H13</f>
        <v/>
      </c>
      <c r="H13" s="5" t="n">
        <v>9</v>
      </c>
      <c r="I13" s="2">
        <f>ROUND(INDEX(가맹점!$P$2:$P$9,D13)*INDEX(가맹점!$J$2:$M$9,D13,E13),0)</f>
        <v/>
      </c>
      <c r="J13" s="2">
        <f>ROUND(I13*(1-할인율),0)</f>
        <v/>
      </c>
      <c r="K13" s="2">
        <f>ROUNDDOWN(I13*할인율,0)</f>
        <v/>
      </c>
      <c r="L13" s="2">
        <f>ROUND(I13*INDEX(미지급률범위,E13),0)</f>
        <v/>
      </c>
      <c r="M13" s="2">
        <f>ROUND(I13*INDEX(과지급률범위,E13),0)</f>
        <v/>
      </c>
      <c r="N13" s="2">
        <f>MAX(0,L13-M13)</f>
        <v/>
      </c>
      <c r="O13" s="2">
        <f>K13-N13</f>
        <v/>
      </c>
      <c r="P13" s="2">
        <f>I13-N13</f>
        <v/>
      </c>
      <c r="Q13" s="5">
        <f>IF(G13&gt;기준일,1,0)</f>
        <v/>
      </c>
      <c r="R13" s="5">
        <f>IF(G13&lt;=기준일,1,0)</f>
        <v/>
      </c>
      <c r="S13" s="2">
        <f>J13*H13</f>
        <v/>
      </c>
      <c r="T13" s="5">
        <f>IF(AND(F13&gt;=표본시작,F13&lt;=표본종료),1,0)</f>
        <v/>
      </c>
      <c r="U13" s="5">
        <f>IF(AND(G13&gt;=조회시작,G13&lt;=조회종료),1,0)</f>
        <v/>
      </c>
    </row>
    <row r="14">
      <c r="A14" s="2">
        <f>ROW()-1</f>
        <v/>
      </c>
      <c r="B14" s="5">
        <f>INDEX(상호범위,D14)</f>
        <v/>
      </c>
      <c r="C14" s="5">
        <f>INDEX(플랫폼명범위,E14)</f>
        <v/>
      </c>
      <c r="D14" s="2">
        <f>MOD(INT((A14-1)/4),8)+1</f>
        <v/>
      </c>
      <c r="E14" s="2">
        <f>MOD(A14-1,4)+1</f>
        <v/>
      </c>
      <c r="F14" s="20">
        <f>축시작+INT((A14-1)/32)</f>
        <v/>
      </c>
      <c r="G14" s="20">
        <f>F14+H14</f>
        <v/>
      </c>
      <c r="H14" s="5" t="n">
        <v>1</v>
      </c>
      <c r="I14" s="2">
        <f>ROUND(INDEX(가맹점!$P$2:$P$9,D14)*INDEX(가맹점!$J$2:$M$9,D14,E14),0)</f>
        <v/>
      </c>
      <c r="J14" s="2">
        <f>ROUND(I14*(1-할인율),0)</f>
        <v/>
      </c>
      <c r="K14" s="2">
        <f>ROUNDDOWN(I14*할인율,0)</f>
        <v/>
      </c>
      <c r="L14" s="2">
        <f>ROUND(I14*INDEX(미지급률범위,E14),0)</f>
        <v/>
      </c>
      <c r="M14" s="2">
        <f>ROUND(I14*INDEX(과지급률범위,E14),0)</f>
        <v/>
      </c>
      <c r="N14" s="2">
        <f>MAX(0,L14-M14)</f>
        <v/>
      </c>
      <c r="O14" s="2">
        <f>K14-N14</f>
        <v/>
      </c>
      <c r="P14" s="2">
        <f>I14-N14</f>
        <v/>
      </c>
      <c r="Q14" s="5">
        <f>IF(G14&gt;기준일,1,0)</f>
        <v/>
      </c>
      <c r="R14" s="5">
        <f>IF(G14&lt;=기준일,1,0)</f>
        <v/>
      </c>
      <c r="S14" s="2">
        <f>J14*H14</f>
        <v/>
      </c>
      <c r="T14" s="5">
        <f>IF(AND(F14&gt;=표본시작,F14&lt;=표본종료),1,0)</f>
        <v/>
      </c>
      <c r="U14" s="5">
        <f>IF(AND(G14&gt;=조회시작,G14&lt;=조회종료),1,0)</f>
        <v/>
      </c>
    </row>
    <row r="15">
      <c r="A15" s="2">
        <f>ROW()-1</f>
        <v/>
      </c>
      <c r="B15" s="5">
        <f>INDEX(상호범위,D15)</f>
        <v/>
      </c>
      <c r="C15" s="5">
        <f>INDEX(플랫폼명범위,E15)</f>
        <v/>
      </c>
      <c r="D15" s="2">
        <f>MOD(INT((A15-1)/4),8)+1</f>
        <v/>
      </c>
      <c r="E15" s="2">
        <f>MOD(A15-1,4)+1</f>
        <v/>
      </c>
      <c r="F15" s="20">
        <f>축시작+INT((A15-1)/32)</f>
        <v/>
      </c>
      <c r="G15" s="20">
        <f>F15+H15</f>
        <v/>
      </c>
      <c r="H15" s="5" t="n">
        <v>5</v>
      </c>
      <c r="I15" s="2">
        <f>ROUND(INDEX(가맹점!$P$2:$P$9,D15)*INDEX(가맹점!$J$2:$M$9,D15,E15),0)</f>
        <v/>
      </c>
      <c r="J15" s="2">
        <f>ROUND(I15*(1-할인율),0)</f>
        <v/>
      </c>
      <c r="K15" s="2">
        <f>ROUNDDOWN(I15*할인율,0)</f>
        <v/>
      </c>
      <c r="L15" s="2">
        <f>ROUND(I15*INDEX(미지급률범위,E15),0)</f>
        <v/>
      </c>
      <c r="M15" s="2">
        <f>ROUND(I15*INDEX(과지급률범위,E15),0)</f>
        <v/>
      </c>
      <c r="N15" s="2">
        <f>MAX(0,L15-M15)</f>
        <v/>
      </c>
      <c r="O15" s="2">
        <f>K15-N15</f>
        <v/>
      </c>
      <c r="P15" s="2">
        <f>I15-N15</f>
        <v/>
      </c>
      <c r="Q15" s="5">
        <f>IF(G15&gt;기준일,1,0)</f>
        <v/>
      </c>
      <c r="R15" s="5">
        <f>IF(G15&lt;=기준일,1,0)</f>
        <v/>
      </c>
      <c r="S15" s="2">
        <f>J15*H15</f>
        <v/>
      </c>
      <c r="T15" s="5">
        <f>IF(AND(F15&gt;=표본시작,F15&lt;=표본종료),1,0)</f>
        <v/>
      </c>
      <c r="U15" s="5">
        <f>IF(AND(G15&gt;=조회시작,G15&lt;=조회종료),1,0)</f>
        <v/>
      </c>
    </row>
    <row r="16">
      <c r="A16" s="2">
        <f>ROW()-1</f>
        <v/>
      </c>
      <c r="B16" s="5">
        <f>INDEX(상호범위,D16)</f>
        <v/>
      </c>
      <c r="C16" s="5">
        <f>INDEX(플랫폼명범위,E16)</f>
        <v/>
      </c>
      <c r="D16" s="2">
        <f>MOD(INT((A16-1)/4),8)+1</f>
        <v/>
      </c>
      <c r="E16" s="2">
        <f>MOD(A16-1,4)+1</f>
        <v/>
      </c>
      <c r="F16" s="20">
        <f>축시작+INT((A16-1)/32)</f>
        <v/>
      </c>
      <c r="G16" s="20">
        <f>F16+H16</f>
        <v/>
      </c>
      <c r="H16" s="5" t="n">
        <v>9</v>
      </c>
      <c r="I16" s="2">
        <f>ROUND(INDEX(가맹점!$P$2:$P$9,D16)*INDEX(가맹점!$J$2:$M$9,D16,E16),0)</f>
        <v/>
      </c>
      <c r="J16" s="2">
        <f>ROUND(I16*(1-할인율),0)</f>
        <v/>
      </c>
      <c r="K16" s="2">
        <f>ROUNDDOWN(I16*할인율,0)</f>
        <v/>
      </c>
      <c r="L16" s="2">
        <f>ROUND(I16*INDEX(미지급률범위,E16),0)</f>
        <v/>
      </c>
      <c r="M16" s="2">
        <f>ROUND(I16*INDEX(과지급률범위,E16),0)</f>
        <v/>
      </c>
      <c r="N16" s="2">
        <f>MAX(0,L16-M16)</f>
        <v/>
      </c>
      <c r="O16" s="2">
        <f>K16-N16</f>
        <v/>
      </c>
      <c r="P16" s="2">
        <f>I16-N16</f>
        <v/>
      </c>
      <c r="Q16" s="5">
        <f>IF(G16&gt;기준일,1,0)</f>
        <v/>
      </c>
      <c r="R16" s="5">
        <f>IF(G16&lt;=기준일,1,0)</f>
        <v/>
      </c>
      <c r="S16" s="2">
        <f>J16*H16</f>
        <v/>
      </c>
      <c r="T16" s="5">
        <f>IF(AND(F16&gt;=표본시작,F16&lt;=표본종료),1,0)</f>
        <v/>
      </c>
      <c r="U16" s="5">
        <f>IF(AND(G16&gt;=조회시작,G16&lt;=조회종료),1,0)</f>
        <v/>
      </c>
    </row>
    <row r="17">
      <c r="A17" s="2">
        <f>ROW()-1</f>
        <v/>
      </c>
      <c r="B17" s="5">
        <f>INDEX(상호범위,D17)</f>
        <v/>
      </c>
      <c r="C17" s="5">
        <f>INDEX(플랫폼명범위,E17)</f>
        <v/>
      </c>
      <c r="D17" s="2">
        <f>MOD(INT((A17-1)/4),8)+1</f>
        <v/>
      </c>
      <c r="E17" s="2">
        <f>MOD(A17-1,4)+1</f>
        <v/>
      </c>
      <c r="F17" s="20">
        <f>축시작+INT((A17-1)/32)</f>
        <v/>
      </c>
      <c r="G17" s="20">
        <f>F17+H17</f>
        <v/>
      </c>
      <c r="H17" s="5" t="n">
        <v>10</v>
      </c>
      <c r="I17" s="2">
        <f>ROUND(INDEX(가맹점!$P$2:$P$9,D17)*INDEX(가맹점!$J$2:$M$9,D17,E17),0)</f>
        <v/>
      </c>
      <c r="J17" s="2">
        <f>ROUND(I17*(1-할인율),0)</f>
        <v/>
      </c>
      <c r="K17" s="2">
        <f>ROUNDDOWN(I17*할인율,0)</f>
        <v/>
      </c>
      <c r="L17" s="2">
        <f>ROUND(I17*INDEX(미지급률범위,E17),0)</f>
        <v/>
      </c>
      <c r="M17" s="2">
        <f>ROUND(I17*INDEX(과지급률범위,E17),0)</f>
        <v/>
      </c>
      <c r="N17" s="2">
        <f>MAX(0,L17-M17)</f>
        <v/>
      </c>
      <c r="O17" s="2">
        <f>K17-N17</f>
        <v/>
      </c>
      <c r="P17" s="2">
        <f>I17-N17</f>
        <v/>
      </c>
      <c r="Q17" s="5">
        <f>IF(G17&gt;기준일,1,0)</f>
        <v/>
      </c>
      <c r="R17" s="5">
        <f>IF(G17&lt;=기준일,1,0)</f>
        <v/>
      </c>
      <c r="S17" s="2">
        <f>J17*H17</f>
        <v/>
      </c>
      <c r="T17" s="5">
        <f>IF(AND(F17&gt;=표본시작,F17&lt;=표본종료),1,0)</f>
        <v/>
      </c>
      <c r="U17" s="5">
        <f>IF(AND(G17&gt;=조회시작,G17&lt;=조회종료),1,0)</f>
        <v/>
      </c>
    </row>
    <row r="18">
      <c r="A18" s="2">
        <f>ROW()-1</f>
        <v/>
      </c>
      <c r="B18" s="5">
        <f>INDEX(상호범위,D18)</f>
        <v/>
      </c>
      <c r="C18" s="5">
        <f>INDEX(플랫폼명범위,E18)</f>
        <v/>
      </c>
      <c r="D18" s="2">
        <f>MOD(INT((A18-1)/4),8)+1</f>
        <v/>
      </c>
      <c r="E18" s="2">
        <f>MOD(A18-1,4)+1</f>
        <v/>
      </c>
      <c r="F18" s="20">
        <f>축시작+INT((A18-1)/32)</f>
        <v/>
      </c>
      <c r="G18" s="20">
        <f>F18+H18</f>
        <v/>
      </c>
      <c r="H18" s="5" t="n">
        <v>5</v>
      </c>
      <c r="I18" s="2">
        <f>ROUND(INDEX(가맹점!$P$2:$P$9,D18)*INDEX(가맹점!$J$2:$M$9,D18,E18),0)</f>
        <v/>
      </c>
      <c r="J18" s="2">
        <f>ROUND(I18*(1-할인율),0)</f>
        <v/>
      </c>
      <c r="K18" s="2">
        <f>ROUNDDOWN(I18*할인율,0)</f>
        <v/>
      </c>
      <c r="L18" s="2">
        <f>ROUND(I18*INDEX(미지급률범위,E18),0)</f>
        <v/>
      </c>
      <c r="M18" s="2">
        <f>ROUND(I18*INDEX(과지급률범위,E18),0)</f>
        <v/>
      </c>
      <c r="N18" s="2">
        <f>MAX(0,L18-M18)</f>
        <v/>
      </c>
      <c r="O18" s="2">
        <f>K18-N18</f>
        <v/>
      </c>
      <c r="P18" s="2">
        <f>I18-N18</f>
        <v/>
      </c>
      <c r="Q18" s="5">
        <f>IF(G18&gt;기준일,1,0)</f>
        <v/>
      </c>
      <c r="R18" s="5">
        <f>IF(G18&lt;=기준일,1,0)</f>
        <v/>
      </c>
      <c r="S18" s="2">
        <f>J18*H18</f>
        <v/>
      </c>
      <c r="T18" s="5">
        <f>IF(AND(F18&gt;=표본시작,F18&lt;=표본종료),1,0)</f>
        <v/>
      </c>
      <c r="U18" s="5">
        <f>IF(AND(G18&gt;=조회시작,G18&lt;=조회종료),1,0)</f>
        <v/>
      </c>
    </row>
    <row r="19">
      <c r="A19" s="2">
        <f>ROW()-1</f>
        <v/>
      </c>
      <c r="B19" s="5">
        <f>INDEX(상호범위,D19)</f>
        <v/>
      </c>
      <c r="C19" s="5">
        <f>INDEX(플랫폼명범위,E19)</f>
        <v/>
      </c>
      <c r="D19" s="2">
        <f>MOD(INT((A19-1)/4),8)+1</f>
        <v/>
      </c>
      <c r="E19" s="2">
        <f>MOD(A19-1,4)+1</f>
        <v/>
      </c>
      <c r="F19" s="20">
        <f>축시작+INT((A19-1)/32)</f>
        <v/>
      </c>
      <c r="G19" s="20">
        <f>F19+H19</f>
        <v/>
      </c>
      <c r="H19" s="5" t="n">
        <v>9</v>
      </c>
      <c r="I19" s="2">
        <f>ROUND(INDEX(가맹점!$P$2:$P$9,D19)*INDEX(가맹점!$J$2:$M$9,D19,E19),0)</f>
        <v/>
      </c>
      <c r="J19" s="2">
        <f>ROUND(I19*(1-할인율),0)</f>
        <v/>
      </c>
      <c r="K19" s="2">
        <f>ROUNDDOWN(I19*할인율,0)</f>
        <v/>
      </c>
      <c r="L19" s="2">
        <f>ROUND(I19*INDEX(미지급률범위,E19),0)</f>
        <v/>
      </c>
      <c r="M19" s="2">
        <f>ROUND(I19*INDEX(과지급률범위,E19),0)</f>
        <v/>
      </c>
      <c r="N19" s="2">
        <f>MAX(0,L19-M19)</f>
        <v/>
      </c>
      <c r="O19" s="2">
        <f>K19-N19</f>
        <v/>
      </c>
      <c r="P19" s="2">
        <f>I19-N19</f>
        <v/>
      </c>
      <c r="Q19" s="5">
        <f>IF(G19&gt;기준일,1,0)</f>
        <v/>
      </c>
      <c r="R19" s="5">
        <f>IF(G19&lt;=기준일,1,0)</f>
        <v/>
      </c>
      <c r="S19" s="2">
        <f>J19*H19</f>
        <v/>
      </c>
      <c r="T19" s="5">
        <f>IF(AND(F19&gt;=표본시작,F19&lt;=표본종료),1,0)</f>
        <v/>
      </c>
      <c r="U19" s="5">
        <f>IF(AND(G19&gt;=조회시작,G19&lt;=조회종료),1,0)</f>
        <v/>
      </c>
    </row>
    <row r="20">
      <c r="A20" s="2">
        <f>ROW()-1</f>
        <v/>
      </c>
      <c r="B20" s="5">
        <f>INDEX(상호범위,D20)</f>
        <v/>
      </c>
      <c r="C20" s="5">
        <f>INDEX(플랫폼명범위,E20)</f>
        <v/>
      </c>
      <c r="D20" s="2">
        <f>MOD(INT((A20-1)/4),8)+1</f>
        <v/>
      </c>
      <c r="E20" s="2">
        <f>MOD(A20-1,4)+1</f>
        <v/>
      </c>
      <c r="F20" s="20">
        <f>축시작+INT((A20-1)/32)</f>
        <v/>
      </c>
      <c r="G20" s="20">
        <f>F20+H20</f>
        <v/>
      </c>
      <c r="H20" s="5" t="n">
        <v>5</v>
      </c>
      <c r="I20" s="2">
        <f>ROUND(INDEX(가맹점!$P$2:$P$9,D20)*INDEX(가맹점!$J$2:$M$9,D20,E20),0)</f>
        <v/>
      </c>
      <c r="J20" s="2">
        <f>ROUND(I20*(1-할인율),0)</f>
        <v/>
      </c>
      <c r="K20" s="2">
        <f>ROUNDDOWN(I20*할인율,0)</f>
        <v/>
      </c>
      <c r="L20" s="2">
        <f>ROUND(I20*INDEX(미지급률범위,E20),0)</f>
        <v/>
      </c>
      <c r="M20" s="2">
        <f>ROUND(I20*INDEX(과지급률범위,E20),0)</f>
        <v/>
      </c>
      <c r="N20" s="2">
        <f>MAX(0,L20-M20)</f>
        <v/>
      </c>
      <c r="O20" s="2">
        <f>K20-N20</f>
        <v/>
      </c>
      <c r="P20" s="2">
        <f>I20-N20</f>
        <v/>
      </c>
      <c r="Q20" s="5">
        <f>IF(G20&gt;기준일,1,0)</f>
        <v/>
      </c>
      <c r="R20" s="5">
        <f>IF(G20&lt;=기준일,1,0)</f>
        <v/>
      </c>
      <c r="S20" s="2">
        <f>J20*H20</f>
        <v/>
      </c>
      <c r="T20" s="5">
        <f>IF(AND(F20&gt;=표본시작,F20&lt;=표본종료),1,0)</f>
        <v/>
      </c>
      <c r="U20" s="5">
        <f>IF(AND(G20&gt;=조회시작,G20&lt;=조회종료),1,0)</f>
        <v/>
      </c>
    </row>
    <row r="21">
      <c r="A21" s="2">
        <f>ROW()-1</f>
        <v/>
      </c>
      <c r="B21" s="5">
        <f>INDEX(상호범위,D21)</f>
        <v/>
      </c>
      <c r="C21" s="5">
        <f>INDEX(플랫폼명범위,E21)</f>
        <v/>
      </c>
      <c r="D21" s="2">
        <f>MOD(INT((A21-1)/4),8)+1</f>
        <v/>
      </c>
      <c r="E21" s="2">
        <f>MOD(A21-1,4)+1</f>
        <v/>
      </c>
      <c r="F21" s="20">
        <f>축시작+INT((A21-1)/32)</f>
        <v/>
      </c>
      <c r="G21" s="20">
        <f>F21+H21</f>
        <v/>
      </c>
      <c r="H21" s="5" t="n">
        <v>10</v>
      </c>
      <c r="I21" s="2">
        <f>ROUND(INDEX(가맹점!$P$2:$P$9,D21)*INDEX(가맹점!$J$2:$M$9,D21,E21),0)</f>
        <v/>
      </c>
      <c r="J21" s="2">
        <f>ROUND(I21*(1-할인율),0)</f>
        <v/>
      </c>
      <c r="K21" s="2">
        <f>ROUNDDOWN(I21*할인율,0)</f>
        <v/>
      </c>
      <c r="L21" s="2">
        <f>ROUND(I21*INDEX(미지급률범위,E21),0)</f>
        <v/>
      </c>
      <c r="M21" s="2">
        <f>ROUND(I21*INDEX(과지급률범위,E21),0)</f>
        <v/>
      </c>
      <c r="N21" s="2">
        <f>MAX(0,L21-M21)</f>
        <v/>
      </c>
      <c r="O21" s="2">
        <f>K21-N21</f>
        <v/>
      </c>
      <c r="P21" s="2">
        <f>I21-N21</f>
        <v/>
      </c>
      <c r="Q21" s="5">
        <f>IF(G21&gt;기준일,1,0)</f>
        <v/>
      </c>
      <c r="R21" s="5">
        <f>IF(G21&lt;=기준일,1,0)</f>
        <v/>
      </c>
      <c r="S21" s="2">
        <f>J21*H21</f>
        <v/>
      </c>
      <c r="T21" s="5">
        <f>IF(AND(F21&gt;=표본시작,F21&lt;=표본종료),1,0)</f>
        <v/>
      </c>
      <c r="U21" s="5">
        <f>IF(AND(G21&gt;=조회시작,G21&lt;=조회종료),1,0)</f>
        <v/>
      </c>
    </row>
    <row r="22">
      <c r="A22" s="2">
        <f>ROW()-1</f>
        <v/>
      </c>
      <c r="B22" s="5">
        <f>INDEX(상호범위,D22)</f>
        <v/>
      </c>
      <c r="C22" s="5">
        <f>INDEX(플랫폼명범위,E22)</f>
        <v/>
      </c>
      <c r="D22" s="2">
        <f>MOD(INT((A22-1)/4),8)+1</f>
        <v/>
      </c>
      <c r="E22" s="2">
        <f>MOD(A22-1,4)+1</f>
        <v/>
      </c>
      <c r="F22" s="20">
        <f>축시작+INT((A22-1)/32)</f>
        <v/>
      </c>
      <c r="G22" s="20">
        <f>F22+H22</f>
        <v/>
      </c>
      <c r="H22" s="5" t="n">
        <v>1</v>
      </c>
      <c r="I22" s="2">
        <f>ROUND(INDEX(가맹점!$P$2:$P$9,D22)*INDEX(가맹점!$J$2:$M$9,D22,E22),0)</f>
        <v/>
      </c>
      <c r="J22" s="2">
        <f>ROUND(I22*(1-할인율),0)</f>
        <v/>
      </c>
      <c r="K22" s="2">
        <f>ROUNDDOWN(I22*할인율,0)</f>
        <v/>
      </c>
      <c r="L22" s="2">
        <f>ROUND(I22*INDEX(미지급률범위,E22),0)</f>
        <v/>
      </c>
      <c r="M22" s="2">
        <f>ROUND(I22*INDEX(과지급률범위,E22),0)</f>
        <v/>
      </c>
      <c r="N22" s="2">
        <f>MAX(0,L22-M22)</f>
        <v/>
      </c>
      <c r="O22" s="2">
        <f>K22-N22</f>
        <v/>
      </c>
      <c r="P22" s="2">
        <f>I22-N22</f>
        <v/>
      </c>
      <c r="Q22" s="5">
        <f>IF(G22&gt;기준일,1,0)</f>
        <v/>
      </c>
      <c r="R22" s="5">
        <f>IF(G22&lt;=기준일,1,0)</f>
        <v/>
      </c>
      <c r="S22" s="2">
        <f>J22*H22</f>
        <v/>
      </c>
      <c r="T22" s="5">
        <f>IF(AND(F22&gt;=표본시작,F22&lt;=표본종료),1,0)</f>
        <v/>
      </c>
      <c r="U22" s="5">
        <f>IF(AND(G22&gt;=조회시작,G22&lt;=조회종료),1,0)</f>
        <v/>
      </c>
    </row>
    <row r="23">
      <c r="A23" s="2">
        <f>ROW()-1</f>
        <v/>
      </c>
      <c r="B23" s="5">
        <f>INDEX(상호범위,D23)</f>
        <v/>
      </c>
      <c r="C23" s="5">
        <f>INDEX(플랫폼명범위,E23)</f>
        <v/>
      </c>
      <c r="D23" s="2">
        <f>MOD(INT((A23-1)/4),8)+1</f>
        <v/>
      </c>
      <c r="E23" s="2">
        <f>MOD(A23-1,4)+1</f>
        <v/>
      </c>
      <c r="F23" s="20">
        <f>축시작+INT((A23-1)/32)</f>
        <v/>
      </c>
      <c r="G23" s="20">
        <f>F23+H23</f>
        <v/>
      </c>
      <c r="H23" s="5" t="n">
        <v>4</v>
      </c>
      <c r="I23" s="2">
        <f>ROUND(INDEX(가맹점!$P$2:$P$9,D23)*INDEX(가맹점!$J$2:$M$9,D23,E23),0)</f>
        <v/>
      </c>
      <c r="J23" s="2">
        <f>ROUND(I23*(1-할인율),0)</f>
        <v/>
      </c>
      <c r="K23" s="2">
        <f>ROUNDDOWN(I23*할인율,0)</f>
        <v/>
      </c>
      <c r="L23" s="2">
        <f>ROUND(I23*INDEX(미지급률범위,E23),0)</f>
        <v/>
      </c>
      <c r="M23" s="2">
        <f>ROUND(I23*INDEX(과지급률범위,E23),0)</f>
        <v/>
      </c>
      <c r="N23" s="2">
        <f>MAX(0,L23-M23)</f>
        <v/>
      </c>
      <c r="O23" s="2">
        <f>K23-N23</f>
        <v/>
      </c>
      <c r="P23" s="2">
        <f>I23-N23</f>
        <v/>
      </c>
      <c r="Q23" s="5">
        <f>IF(G23&gt;기준일,1,0)</f>
        <v/>
      </c>
      <c r="R23" s="5">
        <f>IF(G23&lt;=기준일,1,0)</f>
        <v/>
      </c>
      <c r="S23" s="2">
        <f>J23*H23</f>
        <v/>
      </c>
      <c r="T23" s="5">
        <f>IF(AND(F23&gt;=표본시작,F23&lt;=표본종료),1,0)</f>
        <v/>
      </c>
      <c r="U23" s="5">
        <f>IF(AND(G23&gt;=조회시작,G23&lt;=조회종료),1,0)</f>
        <v/>
      </c>
    </row>
    <row r="24">
      <c r="A24" s="2">
        <f>ROW()-1</f>
        <v/>
      </c>
      <c r="B24" s="5">
        <f>INDEX(상호범위,D24)</f>
        <v/>
      </c>
      <c r="C24" s="5">
        <f>INDEX(플랫폼명범위,E24)</f>
        <v/>
      </c>
      <c r="D24" s="2">
        <f>MOD(INT((A24-1)/4),8)+1</f>
        <v/>
      </c>
      <c r="E24" s="2">
        <f>MOD(A24-1,4)+1</f>
        <v/>
      </c>
      <c r="F24" s="20">
        <f>축시작+INT((A24-1)/32)</f>
        <v/>
      </c>
      <c r="G24" s="20">
        <f>F24+H24</f>
        <v/>
      </c>
      <c r="H24" s="5" t="n">
        <v>5</v>
      </c>
      <c r="I24" s="2">
        <f>ROUND(INDEX(가맹점!$P$2:$P$9,D24)*INDEX(가맹점!$J$2:$M$9,D24,E24),0)</f>
        <v/>
      </c>
      <c r="J24" s="2">
        <f>ROUND(I24*(1-할인율),0)</f>
        <v/>
      </c>
      <c r="K24" s="2">
        <f>ROUNDDOWN(I24*할인율,0)</f>
        <v/>
      </c>
      <c r="L24" s="2">
        <f>ROUND(I24*INDEX(미지급률범위,E24),0)</f>
        <v/>
      </c>
      <c r="M24" s="2">
        <f>ROUND(I24*INDEX(과지급률범위,E24),0)</f>
        <v/>
      </c>
      <c r="N24" s="2">
        <f>MAX(0,L24-M24)</f>
        <v/>
      </c>
      <c r="O24" s="2">
        <f>K24-N24</f>
        <v/>
      </c>
      <c r="P24" s="2">
        <f>I24-N24</f>
        <v/>
      </c>
      <c r="Q24" s="5">
        <f>IF(G24&gt;기준일,1,0)</f>
        <v/>
      </c>
      <c r="R24" s="5">
        <f>IF(G24&lt;=기준일,1,0)</f>
        <v/>
      </c>
      <c r="S24" s="2">
        <f>J24*H24</f>
        <v/>
      </c>
      <c r="T24" s="5">
        <f>IF(AND(F24&gt;=표본시작,F24&lt;=표본종료),1,0)</f>
        <v/>
      </c>
      <c r="U24" s="5">
        <f>IF(AND(G24&gt;=조회시작,G24&lt;=조회종료),1,0)</f>
        <v/>
      </c>
    </row>
    <row r="25">
      <c r="A25" s="2">
        <f>ROW()-1</f>
        <v/>
      </c>
      <c r="B25" s="5">
        <f>INDEX(상호범위,D25)</f>
        <v/>
      </c>
      <c r="C25" s="5">
        <f>INDEX(플랫폼명범위,E25)</f>
        <v/>
      </c>
      <c r="D25" s="2">
        <f>MOD(INT((A25-1)/4),8)+1</f>
        <v/>
      </c>
      <c r="E25" s="2">
        <f>MOD(A25-1,4)+1</f>
        <v/>
      </c>
      <c r="F25" s="20">
        <f>축시작+INT((A25-1)/32)</f>
        <v/>
      </c>
      <c r="G25" s="20">
        <f>F25+H25</f>
        <v/>
      </c>
      <c r="H25" s="5" t="n">
        <v>10</v>
      </c>
      <c r="I25" s="2">
        <f>ROUND(INDEX(가맹점!$P$2:$P$9,D25)*INDEX(가맹점!$J$2:$M$9,D25,E25),0)</f>
        <v/>
      </c>
      <c r="J25" s="2">
        <f>ROUND(I25*(1-할인율),0)</f>
        <v/>
      </c>
      <c r="K25" s="2">
        <f>ROUNDDOWN(I25*할인율,0)</f>
        <v/>
      </c>
      <c r="L25" s="2">
        <f>ROUND(I25*INDEX(미지급률범위,E25),0)</f>
        <v/>
      </c>
      <c r="M25" s="2">
        <f>ROUND(I25*INDEX(과지급률범위,E25),0)</f>
        <v/>
      </c>
      <c r="N25" s="2">
        <f>MAX(0,L25-M25)</f>
        <v/>
      </c>
      <c r="O25" s="2">
        <f>K25-N25</f>
        <v/>
      </c>
      <c r="P25" s="2">
        <f>I25-N25</f>
        <v/>
      </c>
      <c r="Q25" s="5">
        <f>IF(G25&gt;기준일,1,0)</f>
        <v/>
      </c>
      <c r="R25" s="5">
        <f>IF(G25&lt;=기준일,1,0)</f>
        <v/>
      </c>
      <c r="S25" s="2">
        <f>J25*H25</f>
        <v/>
      </c>
      <c r="T25" s="5">
        <f>IF(AND(F25&gt;=표본시작,F25&lt;=표본종료),1,0)</f>
        <v/>
      </c>
      <c r="U25" s="5">
        <f>IF(AND(G25&gt;=조회시작,G25&lt;=조회종료),1,0)</f>
        <v/>
      </c>
    </row>
    <row r="26">
      <c r="A26" s="2">
        <f>ROW()-1</f>
        <v/>
      </c>
      <c r="B26" s="5">
        <f>INDEX(상호범위,D26)</f>
        <v/>
      </c>
      <c r="C26" s="5">
        <f>INDEX(플랫폼명범위,E26)</f>
        <v/>
      </c>
      <c r="D26" s="2">
        <f>MOD(INT((A26-1)/4),8)+1</f>
        <v/>
      </c>
      <c r="E26" s="2">
        <f>MOD(A26-1,4)+1</f>
        <v/>
      </c>
      <c r="F26" s="20">
        <f>축시작+INT((A26-1)/32)</f>
        <v/>
      </c>
      <c r="G26" s="20">
        <f>F26+H26</f>
        <v/>
      </c>
      <c r="H26" s="5" t="n">
        <v>3</v>
      </c>
      <c r="I26" s="2">
        <f>ROUND(INDEX(가맹점!$P$2:$P$9,D26)*INDEX(가맹점!$J$2:$M$9,D26,E26),0)</f>
        <v/>
      </c>
      <c r="J26" s="2">
        <f>ROUND(I26*(1-할인율),0)</f>
        <v/>
      </c>
      <c r="K26" s="2">
        <f>ROUNDDOWN(I26*할인율,0)</f>
        <v/>
      </c>
      <c r="L26" s="2">
        <f>ROUND(I26*INDEX(미지급률범위,E26),0)</f>
        <v/>
      </c>
      <c r="M26" s="2">
        <f>ROUND(I26*INDEX(과지급률범위,E26),0)</f>
        <v/>
      </c>
      <c r="N26" s="2">
        <f>MAX(0,L26-M26)</f>
        <v/>
      </c>
      <c r="O26" s="2">
        <f>K26-N26</f>
        <v/>
      </c>
      <c r="P26" s="2">
        <f>I26-N26</f>
        <v/>
      </c>
      <c r="Q26" s="5">
        <f>IF(G26&gt;기준일,1,0)</f>
        <v/>
      </c>
      <c r="R26" s="5">
        <f>IF(G26&lt;=기준일,1,0)</f>
        <v/>
      </c>
      <c r="S26" s="2">
        <f>J26*H26</f>
        <v/>
      </c>
      <c r="T26" s="5">
        <f>IF(AND(F26&gt;=표본시작,F26&lt;=표본종료),1,0)</f>
        <v/>
      </c>
      <c r="U26" s="5">
        <f>IF(AND(G26&gt;=조회시작,G26&lt;=조회종료),1,0)</f>
        <v/>
      </c>
    </row>
    <row r="27">
      <c r="A27" s="2">
        <f>ROW()-1</f>
        <v/>
      </c>
      <c r="B27" s="5">
        <f>INDEX(상호범위,D27)</f>
        <v/>
      </c>
      <c r="C27" s="5">
        <f>INDEX(플랫폼명범위,E27)</f>
        <v/>
      </c>
      <c r="D27" s="2">
        <f>MOD(INT((A27-1)/4),8)+1</f>
        <v/>
      </c>
      <c r="E27" s="2">
        <f>MOD(A27-1,4)+1</f>
        <v/>
      </c>
      <c r="F27" s="20">
        <f>축시작+INT((A27-1)/32)</f>
        <v/>
      </c>
      <c r="G27" s="20">
        <f>F27+H27</f>
        <v/>
      </c>
      <c r="H27" s="5" t="n">
        <v>2</v>
      </c>
      <c r="I27" s="2">
        <f>ROUND(INDEX(가맹점!$P$2:$P$9,D27)*INDEX(가맹점!$J$2:$M$9,D27,E27),0)</f>
        <v/>
      </c>
      <c r="J27" s="2">
        <f>ROUND(I27*(1-할인율),0)</f>
        <v/>
      </c>
      <c r="K27" s="2">
        <f>ROUNDDOWN(I27*할인율,0)</f>
        <v/>
      </c>
      <c r="L27" s="2">
        <f>ROUND(I27*INDEX(미지급률범위,E27),0)</f>
        <v/>
      </c>
      <c r="M27" s="2">
        <f>ROUND(I27*INDEX(과지급률범위,E27),0)</f>
        <v/>
      </c>
      <c r="N27" s="2">
        <f>MAX(0,L27-M27)</f>
        <v/>
      </c>
      <c r="O27" s="2">
        <f>K27-N27</f>
        <v/>
      </c>
      <c r="P27" s="2">
        <f>I27-N27</f>
        <v/>
      </c>
      <c r="Q27" s="5">
        <f>IF(G27&gt;기준일,1,0)</f>
        <v/>
      </c>
      <c r="R27" s="5">
        <f>IF(G27&lt;=기준일,1,0)</f>
        <v/>
      </c>
      <c r="S27" s="2">
        <f>J27*H27</f>
        <v/>
      </c>
      <c r="T27" s="5">
        <f>IF(AND(F27&gt;=표본시작,F27&lt;=표본종료),1,0)</f>
        <v/>
      </c>
      <c r="U27" s="5">
        <f>IF(AND(G27&gt;=조회시작,G27&lt;=조회종료),1,0)</f>
        <v/>
      </c>
    </row>
    <row r="28">
      <c r="A28" s="2">
        <f>ROW()-1</f>
        <v/>
      </c>
      <c r="B28" s="5">
        <f>INDEX(상호범위,D28)</f>
        <v/>
      </c>
      <c r="C28" s="5">
        <f>INDEX(플랫폼명범위,E28)</f>
        <v/>
      </c>
      <c r="D28" s="2">
        <f>MOD(INT((A28-1)/4),8)+1</f>
        <v/>
      </c>
      <c r="E28" s="2">
        <f>MOD(A28-1,4)+1</f>
        <v/>
      </c>
      <c r="F28" s="20">
        <f>축시작+INT((A28-1)/32)</f>
        <v/>
      </c>
      <c r="G28" s="20">
        <f>F28+H28</f>
        <v/>
      </c>
      <c r="H28" s="5" t="n">
        <v>7</v>
      </c>
      <c r="I28" s="2">
        <f>ROUND(INDEX(가맹점!$P$2:$P$9,D28)*INDEX(가맹점!$J$2:$M$9,D28,E28),0)</f>
        <v/>
      </c>
      <c r="J28" s="2">
        <f>ROUND(I28*(1-할인율),0)</f>
        <v/>
      </c>
      <c r="K28" s="2">
        <f>ROUNDDOWN(I28*할인율,0)</f>
        <v/>
      </c>
      <c r="L28" s="2">
        <f>ROUND(I28*INDEX(미지급률범위,E28),0)</f>
        <v/>
      </c>
      <c r="M28" s="2">
        <f>ROUND(I28*INDEX(과지급률범위,E28),0)</f>
        <v/>
      </c>
      <c r="N28" s="2">
        <f>MAX(0,L28-M28)</f>
        <v/>
      </c>
      <c r="O28" s="2">
        <f>K28-N28</f>
        <v/>
      </c>
      <c r="P28" s="2">
        <f>I28-N28</f>
        <v/>
      </c>
      <c r="Q28" s="5">
        <f>IF(G28&gt;기준일,1,0)</f>
        <v/>
      </c>
      <c r="R28" s="5">
        <f>IF(G28&lt;=기준일,1,0)</f>
        <v/>
      </c>
      <c r="S28" s="2">
        <f>J28*H28</f>
        <v/>
      </c>
      <c r="T28" s="5">
        <f>IF(AND(F28&gt;=표본시작,F28&lt;=표본종료),1,0)</f>
        <v/>
      </c>
      <c r="U28" s="5">
        <f>IF(AND(G28&gt;=조회시작,G28&lt;=조회종료),1,0)</f>
        <v/>
      </c>
    </row>
    <row r="29">
      <c r="A29" s="2">
        <f>ROW()-1</f>
        <v/>
      </c>
      <c r="B29" s="5">
        <f>INDEX(상호범위,D29)</f>
        <v/>
      </c>
      <c r="C29" s="5">
        <f>INDEX(플랫폼명범위,E29)</f>
        <v/>
      </c>
      <c r="D29" s="2">
        <f>MOD(INT((A29-1)/4),8)+1</f>
        <v/>
      </c>
      <c r="E29" s="2">
        <f>MOD(A29-1,4)+1</f>
        <v/>
      </c>
      <c r="F29" s="20">
        <f>축시작+INT((A29-1)/32)</f>
        <v/>
      </c>
      <c r="G29" s="20">
        <f>F29+H29</f>
        <v/>
      </c>
      <c r="H29" s="5" t="n">
        <v>12</v>
      </c>
      <c r="I29" s="2">
        <f>ROUND(INDEX(가맹점!$P$2:$P$9,D29)*INDEX(가맹점!$J$2:$M$9,D29,E29),0)</f>
        <v/>
      </c>
      <c r="J29" s="2">
        <f>ROUND(I29*(1-할인율),0)</f>
        <v/>
      </c>
      <c r="K29" s="2">
        <f>ROUNDDOWN(I29*할인율,0)</f>
        <v/>
      </c>
      <c r="L29" s="2">
        <f>ROUND(I29*INDEX(미지급률범위,E29),0)</f>
        <v/>
      </c>
      <c r="M29" s="2">
        <f>ROUND(I29*INDEX(과지급률범위,E29),0)</f>
        <v/>
      </c>
      <c r="N29" s="2">
        <f>MAX(0,L29-M29)</f>
        <v/>
      </c>
      <c r="O29" s="2">
        <f>K29-N29</f>
        <v/>
      </c>
      <c r="P29" s="2">
        <f>I29-N29</f>
        <v/>
      </c>
      <c r="Q29" s="5">
        <f>IF(G29&gt;기준일,1,0)</f>
        <v/>
      </c>
      <c r="R29" s="5">
        <f>IF(G29&lt;=기준일,1,0)</f>
        <v/>
      </c>
      <c r="S29" s="2">
        <f>J29*H29</f>
        <v/>
      </c>
      <c r="T29" s="5">
        <f>IF(AND(F29&gt;=표본시작,F29&lt;=표본종료),1,0)</f>
        <v/>
      </c>
      <c r="U29" s="5">
        <f>IF(AND(G29&gt;=조회시작,G29&lt;=조회종료),1,0)</f>
        <v/>
      </c>
    </row>
    <row r="30">
      <c r="A30" s="2">
        <f>ROW()-1</f>
        <v/>
      </c>
      <c r="B30" s="5">
        <f>INDEX(상호범위,D30)</f>
        <v/>
      </c>
      <c r="C30" s="5">
        <f>INDEX(플랫폼명범위,E30)</f>
        <v/>
      </c>
      <c r="D30" s="2">
        <f>MOD(INT((A30-1)/4),8)+1</f>
        <v/>
      </c>
      <c r="E30" s="2">
        <f>MOD(A30-1,4)+1</f>
        <v/>
      </c>
      <c r="F30" s="20">
        <f>축시작+INT((A30-1)/32)</f>
        <v/>
      </c>
      <c r="G30" s="20">
        <f>F30+H30</f>
        <v/>
      </c>
      <c r="H30" s="5" t="n">
        <v>2</v>
      </c>
      <c r="I30" s="2">
        <f>ROUND(INDEX(가맹점!$P$2:$P$9,D30)*INDEX(가맹점!$J$2:$M$9,D30,E30),0)</f>
        <v/>
      </c>
      <c r="J30" s="2">
        <f>ROUND(I30*(1-할인율),0)</f>
        <v/>
      </c>
      <c r="K30" s="2">
        <f>ROUNDDOWN(I30*할인율,0)</f>
        <v/>
      </c>
      <c r="L30" s="2">
        <f>ROUND(I30*INDEX(미지급률범위,E30),0)</f>
        <v/>
      </c>
      <c r="M30" s="2">
        <f>ROUND(I30*INDEX(과지급률범위,E30),0)</f>
        <v/>
      </c>
      <c r="N30" s="2">
        <f>MAX(0,L30-M30)</f>
        <v/>
      </c>
      <c r="O30" s="2">
        <f>K30-N30</f>
        <v/>
      </c>
      <c r="P30" s="2">
        <f>I30-N30</f>
        <v/>
      </c>
      <c r="Q30" s="5">
        <f>IF(G30&gt;기준일,1,0)</f>
        <v/>
      </c>
      <c r="R30" s="5">
        <f>IF(G30&lt;=기준일,1,0)</f>
        <v/>
      </c>
      <c r="S30" s="2">
        <f>J30*H30</f>
        <v/>
      </c>
      <c r="T30" s="5">
        <f>IF(AND(F30&gt;=표본시작,F30&lt;=표본종료),1,0)</f>
        <v/>
      </c>
      <c r="U30" s="5">
        <f>IF(AND(G30&gt;=조회시작,G30&lt;=조회종료),1,0)</f>
        <v/>
      </c>
    </row>
    <row r="31">
      <c r="A31" s="2">
        <f>ROW()-1</f>
        <v/>
      </c>
      <c r="B31" s="5">
        <f>INDEX(상호범위,D31)</f>
        <v/>
      </c>
      <c r="C31" s="5">
        <f>INDEX(플랫폼명범위,E31)</f>
        <v/>
      </c>
      <c r="D31" s="2">
        <f>MOD(INT((A31-1)/4),8)+1</f>
        <v/>
      </c>
      <c r="E31" s="2">
        <f>MOD(A31-1,4)+1</f>
        <v/>
      </c>
      <c r="F31" s="20">
        <f>축시작+INT((A31-1)/32)</f>
        <v/>
      </c>
      <c r="G31" s="20">
        <f>F31+H31</f>
        <v/>
      </c>
      <c r="H31" s="5" t="n">
        <v>4</v>
      </c>
      <c r="I31" s="2">
        <f>ROUND(INDEX(가맹점!$P$2:$P$9,D31)*INDEX(가맹점!$J$2:$M$9,D31,E31),0)</f>
        <v/>
      </c>
      <c r="J31" s="2">
        <f>ROUND(I31*(1-할인율),0)</f>
        <v/>
      </c>
      <c r="K31" s="2">
        <f>ROUNDDOWN(I31*할인율,0)</f>
        <v/>
      </c>
      <c r="L31" s="2">
        <f>ROUND(I31*INDEX(미지급률범위,E31),0)</f>
        <v/>
      </c>
      <c r="M31" s="2">
        <f>ROUND(I31*INDEX(과지급률범위,E31),0)</f>
        <v/>
      </c>
      <c r="N31" s="2">
        <f>MAX(0,L31-M31)</f>
        <v/>
      </c>
      <c r="O31" s="2">
        <f>K31-N31</f>
        <v/>
      </c>
      <c r="P31" s="2">
        <f>I31-N31</f>
        <v/>
      </c>
      <c r="Q31" s="5">
        <f>IF(G31&gt;기준일,1,0)</f>
        <v/>
      </c>
      <c r="R31" s="5">
        <f>IF(G31&lt;=기준일,1,0)</f>
        <v/>
      </c>
      <c r="S31" s="2">
        <f>J31*H31</f>
        <v/>
      </c>
      <c r="T31" s="5">
        <f>IF(AND(F31&gt;=표본시작,F31&lt;=표본종료),1,0)</f>
        <v/>
      </c>
      <c r="U31" s="5">
        <f>IF(AND(G31&gt;=조회시작,G31&lt;=조회종료),1,0)</f>
        <v/>
      </c>
    </row>
    <row r="32">
      <c r="A32" s="2">
        <f>ROW()-1</f>
        <v/>
      </c>
      <c r="B32" s="5">
        <f>INDEX(상호범위,D32)</f>
        <v/>
      </c>
      <c r="C32" s="5">
        <f>INDEX(플랫폼명범위,E32)</f>
        <v/>
      </c>
      <c r="D32" s="2">
        <f>MOD(INT((A32-1)/4),8)+1</f>
        <v/>
      </c>
      <c r="E32" s="2">
        <f>MOD(A32-1,4)+1</f>
        <v/>
      </c>
      <c r="F32" s="20">
        <f>축시작+INT((A32-1)/32)</f>
        <v/>
      </c>
      <c r="G32" s="20">
        <f>F32+H32</f>
        <v/>
      </c>
      <c r="H32" s="5" t="n">
        <v>6</v>
      </c>
      <c r="I32" s="2">
        <f>ROUND(INDEX(가맹점!$P$2:$P$9,D32)*INDEX(가맹점!$J$2:$M$9,D32,E32),0)</f>
        <v/>
      </c>
      <c r="J32" s="2">
        <f>ROUND(I32*(1-할인율),0)</f>
        <v/>
      </c>
      <c r="K32" s="2">
        <f>ROUNDDOWN(I32*할인율,0)</f>
        <v/>
      </c>
      <c r="L32" s="2">
        <f>ROUND(I32*INDEX(미지급률범위,E32),0)</f>
        <v/>
      </c>
      <c r="M32" s="2">
        <f>ROUND(I32*INDEX(과지급률범위,E32),0)</f>
        <v/>
      </c>
      <c r="N32" s="2">
        <f>MAX(0,L32-M32)</f>
        <v/>
      </c>
      <c r="O32" s="2">
        <f>K32-N32</f>
        <v/>
      </c>
      <c r="P32" s="2">
        <f>I32-N32</f>
        <v/>
      </c>
      <c r="Q32" s="5">
        <f>IF(G32&gt;기준일,1,0)</f>
        <v/>
      </c>
      <c r="R32" s="5">
        <f>IF(G32&lt;=기준일,1,0)</f>
        <v/>
      </c>
      <c r="S32" s="2">
        <f>J32*H32</f>
        <v/>
      </c>
      <c r="T32" s="5">
        <f>IF(AND(F32&gt;=표본시작,F32&lt;=표본종료),1,0)</f>
        <v/>
      </c>
      <c r="U32" s="5">
        <f>IF(AND(G32&gt;=조회시작,G32&lt;=조회종료),1,0)</f>
        <v/>
      </c>
    </row>
    <row r="33">
      <c r="A33" s="2">
        <f>ROW()-1</f>
        <v/>
      </c>
      <c r="B33" s="5">
        <f>INDEX(상호범위,D33)</f>
        <v/>
      </c>
      <c r="C33" s="5">
        <f>INDEX(플랫폼명범위,E33)</f>
        <v/>
      </c>
      <c r="D33" s="2">
        <f>MOD(INT((A33-1)/4),8)+1</f>
        <v/>
      </c>
      <c r="E33" s="2">
        <f>MOD(A33-1,4)+1</f>
        <v/>
      </c>
      <c r="F33" s="20">
        <f>축시작+INT((A33-1)/32)</f>
        <v/>
      </c>
      <c r="G33" s="20">
        <f>F33+H33</f>
        <v/>
      </c>
      <c r="H33" s="5" t="n">
        <v>5</v>
      </c>
      <c r="I33" s="2">
        <f>ROUND(INDEX(가맹점!$P$2:$P$9,D33)*INDEX(가맹점!$J$2:$M$9,D33,E33),0)</f>
        <v/>
      </c>
      <c r="J33" s="2">
        <f>ROUND(I33*(1-할인율),0)</f>
        <v/>
      </c>
      <c r="K33" s="2">
        <f>ROUNDDOWN(I33*할인율,0)</f>
        <v/>
      </c>
      <c r="L33" s="2">
        <f>ROUND(I33*INDEX(미지급률범위,E33),0)</f>
        <v/>
      </c>
      <c r="M33" s="2">
        <f>ROUND(I33*INDEX(과지급률범위,E33),0)</f>
        <v/>
      </c>
      <c r="N33" s="2">
        <f>MAX(0,L33-M33)</f>
        <v/>
      </c>
      <c r="O33" s="2">
        <f>K33-N33</f>
        <v/>
      </c>
      <c r="P33" s="2">
        <f>I33-N33</f>
        <v/>
      </c>
      <c r="Q33" s="5">
        <f>IF(G33&gt;기준일,1,0)</f>
        <v/>
      </c>
      <c r="R33" s="5">
        <f>IF(G33&lt;=기준일,1,0)</f>
        <v/>
      </c>
      <c r="S33" s="2">
        <f>J33*H33</f>
        <v/>
      </c>
      <c r="T33" s="5">
        <f>IF(AND(F33&gt;=표본시작,F33&lt;=표본종료),1,0)</f>
        <v/>
      </c>
      <c r="U33" s="5">
        <f>IF(AND(G33&gt;=조회시작,G33&lt;=조회종료),1,0)</f>
        <v/>
      </c>
    </row>
    <row r="34">
      <c r="A34" s="2">
        <f>ROW()-1</f>
        <v/>
      </c>
      <c r="B34" s="5">
        <f>INDEX(상호범위,D34)</f>
        <v/>
      </c>
      <c r="C34" s="5">
        <f>INDEX(플랫폼명범위,E34)</f>
        <v/>
      </c>
      <c r="D34" s="2">
        <f>MOD(INT((A34-1)/4),8)+1</f>
        <v/>
      </c>
      <c r="E34" s="2">
        <f>MOD(A34-1,4)+1</f>
        <v/>
      </c>
      <c r="F34" s="20">
        <f>축시작+INT((A34-1)/32)</f>
        <v/>
      </c>
      <c r="G34" s="20">
        <f>F34+H34</f>
        <v/>
      </c>
      <c r="H34" s="5" t="n">
        <v>1</v>
      </c>
      <c r="I34" s="2">
        <f>ROUND(INDEX(가맹점!$P$2:$P$9,D34)*INDEX(가맹점!$J$2:$M$9,D34,E34),0)</f>
        <v/>
      </c>
      <c r="J34" s="2">
        <f>ROUND(I34*(1-할인율),0)</f>
        <v/>
      </c>
      <c r="K34" s="2">
        <f>ROUNDDOWN(I34*할인율,0)</f>
        <v/>
      </c>
      <c r="L34" s="2">
        <f>ROUND(I34*INDEX(미지급률범위,E34),0)</f>
        <v/>
      </c>
      <c r="M34" s="2">
        <f>ROUND(I34*INDEX(과지급률범위,E34),0)</f>
        <v/>
      </c>
      <c r="N34" s="2">
        <f>MAX(0,L34-M34)</f>
        <v/>
      </c>
      <c r="O34" s="2">
        <f>K34-N34</f>
        <v/>
      </c>
      <c r="P34" s="2">
        <f>I34-N34</f>
        <v/>
      </c>
      <c r="Q34" s="5">
        <f>IF(G34&gt;기준일,1,0)</f>
        <v/>
      </c>
      <c r="R34" s="5">
        <f>IF(G34&lt;=기준일,1,0)</f>
        <v/>
      </c>
      <c r="S34" s="2">
        <f>J34*H34</f>
        <v/>
      </c>
      <c r="T34" s="5">
        <f>IF(AND(F34&gt;=표본시작,F34&lt;=표본종료),1,0)</f>
        <v/>
      </c>
      <c r="U34" s="5">
        <f>IF(AND(G34&gt;=조회시작,G34&lt;=조회종료),1,0)</f>
        <v/>
      </c>
    </row>
    <row r="35">
      <c r="A35" s="2">
        <f>ROW()-1</f>
        <v/>
      </c>
      <c r="B35" s="5">
        <f>INDEX(상호범위,D35)</f>
        <v/>
      </c>
      <c r="C35" s="5">
        <f>INDEX(플랫폼명범위,E35)</f>
        <v/>
      </c>
      <c r="D35" s="2">
        <f>MOD(INT((A35-1)/4),8)+1</f>
        <v/>
      </c>
      <c r="E35" s="2">
        <f>MOD(A35-1,4)+1</f>
        <v/>
      </c>
      <c r="F35" s="20">
        <f>축시작+INT((A35-1)/32)</f>
        <v/>
      </c>
      <c r="G35" s="20">
        <f>F35+H35</f>
        <v/>
      </c>
      <c r="H35" s="5" t="n">
        <v>2</v>
      </c>
      <c r="I35" s="2">
        <f>ROUND(INDEX(가맹점!$P$2:$P$9,D35)*INDEX(가맹점!$J$2:$M$9,D35,E35),0)</f>
        <v/>
      </c>
      <c r="J35" s="2">
        <f>ROUND(I35*(1-할인율),0)</f>
        <v/>
      </c>
      <c r="K35" s="2">
        <f>ROUNDDOWN(I35*할인율,0)</f>
        <v/>
      </c>
      <c r="L35" s="2">
        <f>ROUND(I35*INDEX(미지급률범위,E35),0)</f>
        <v/>
      </c>
      <c r="M35" s="2">
        <f>ROUND(I35*INDEX(과지급률범위,E35),0)</f>
        <v/>
      </c>
      <c r="N35" s="2">
        <f>MAX(0,L35-M35)</f>
        <v/>
      </c>
      <c r="O35" s="2">
        <f>K35-N35</f>
        <v/>
      </c>
      <c r="P35" s="2">
        <f>I35-N35</f>
        <v/>
      </c>
      <c r="Q35" s="5">
        <f>IF(G35&gt;기준일,1,0)</f>
        <v/>
      </c>
      <c r="R35" s="5">
        <f>IF(G35&lt;=기준일,1,0)</f>
        <v/>
      </c>
      <c r="S35" s="2">
        <f>J35*H35</f>
        <v/>
      </c>
      <c r="T35" s="5">
        <f>IF(AND(F35&gt;=표본시작,F35&lt;=표본종료),1,0)</f>
        <v/>
      </c>
      <c r="U35" s="5">
        <f>IF(AND(G35&gt;=조회시작,G35&lt;=조회종료),1,0)</f>
        <v/>
      </c>
    </row>
    <row r="36">
      <c r="A36" s="2">
        <f>ROW()-1</f>
        <v/>
      </c>
      <c r="B36" s="5">
        <f>INDEX(상호범위,D36)</f>
        <v/>
      </c>
      <c r="C36" s="5">
        <f>INDEX(플랫폼명범위,E36)</f>
        <v/>
      </c>
      <c r="D36" s="2">
        <f>MOD(INT((A36-1)/4),8)+1</f>
        <v/>
      </c>
      <c r="E36" s="2">
        <f>MOD(A36-1,4)+1</f>
        <v/>
      </c>
      <c r="F36" s="20">
        <f>축시작+INT((A36-1)/32)</f>
        <v/>
      </c>
      <c r="G36" s="20">
        <f>F36+H36</f>
        <v/>
      </c>
      <c r="H36" s="5" t="n">
        <v>3</v>
      </c>
      <c r="I36" s="2">
        <f>ROUND(INDEX(가맹점!$P$2:$P$9,D36)*INDEX(가맹점!$J$2:$M$9,D36,E36),0)</f>
        <v/>
      </c>
      <c r="J36" s="2">
        <f>ROUND(I36*(1-할인율),0)</f>
        <v/>
      </c>
      <c r="K36" s="2">
        <f>ROUNDDOWN(I36*할인율,0)</f>
        <v/>
      </c>
      <c r="L36" s="2">
        <f>ROUND(I36*INDEX(미지급률범위,E36),0)</f>
        <v/>
      </c>
      <c r="M36" s="2">
        <f>ROUND(I36*INDEX(과지급률범위,E36),0)</f>
        <v/>
      </c>
      <c r="N36" s="2">
        <f>MAX(0,L36-M36)</f>
        <v/>
      </c>
      <c r="O36" s="2">
        <f>K36-N36</f>
        <v/>
      </c>
      <c r="P36" s="2">
        <f>I36-N36</f>
        <v/>
      </c>
      <c r="Q36" s="5">
        <f>IF(G36&gt;기준일,1,0)</f>
        <v/>
      </c>
      <c r="R36" s="5">
        <f>IF(G36&lt;=기준일,1,0)</f>
        <v/>
      </c>
      <c r="S36" s="2">
        <f>J36*H36</f>
        <v/>
      </c>
      <c r="T36" s="5">
        <f>IF(AND(F36&gt;=표본시작,F36&lt;=표본종료),1,0)</f>
        <v/>
      </c>
      <c r="U36" s="5">
        <f>IF(AND(G36&gt;=조회시작,G36&lt;=조회종료),1,0)</f>
        <v/>
      </c>
    </row>
    <row r="37">
      <c r="A37" s="2">
        <f>ROW()-1</f>
        <v/>
      </c>
      <c r="B37" s="5">
        <f>INDEX(상호범위,D37)</f>
        <v/>
      </c>
      <c r="C37" s="5">
        <f>INDEX(플랫폼명범위,E37)</f>
        <v/>
      </c>
      <c r="D37" s="2">
        <f>MOD(INT((A37-1)/4),8)+1</f>
        <v/>
      </c>
      <c r="E37" s="2">
        <f>MOD(A37-1,4)+1</f>
        <v/>
      </c>
      <c r="F37" s="20">
        <f>축시작+INT((A37-1)/32)</f>
        <v/>
      </c>
      <c r="G37" s="20">
        <f>F37+H37</f>
        <v/>
      </c>
      <c r="H37" s="5" t="n">
        <v>5</v>
      </c>
      <c r="I37" s="2">
        <f>ROUND(INDEX(가맹점!$P$2:$P$9,D37)*INDEX(가맹점!$J$2:$M$9,D37,E37),0)</f>
        <v/>
      </c>
      <c r="J37" s="2">
        <f>ROUND(I37*(1-할인율),0)</f>
        <v/>
      </c>
      <c r="K37" s="2">
        <f>ROUNDDOWN(I37*할인율,0)</f>
        <v/>
      </c>
      <c r="L37" s="2">
        <f>ROUND(I37*INDEX(미지급률범위,E37),0)</f>
        <v/>
      </c>
      <c r="M37" s="2">
        <f>ROUND(I37*INDEX(과지급률범위,E37),0)</f>
        <v/>
      </c>
      <c r="N37" s="2">
        <f>MAX(0,L37-M37)</f>
        <v/>
      </c>
      <c r="O37" s="2">
        <f>K37-N37</f>
        <v/>
      </c>
      <c r="P37" s="2">
        <f>I37-N37</f>
        <v/>
      </c>
      <c r="Q37" s="5">
        <f>IF(G37&gt;기준일,1,0)</f>
        <v/>
      </c>
      <c r="R37" s="5">
        <f>IF(G37&lt;=기준일,1,0)</f>
        <v/>
      </c>
      <c r="S37" s="2">
        <f>J37*H37</f>
        <v/>
      </c>
      <c r="T37" s="5">
        <f>IF(AND(F37&gt;=표본시작,F37&lt;=표본종료),1,0)</f>
        <v/>
      </c>
      <c r="U37" s="5">
        <f>IF(AND(G37&gt;=조회시작,G37&lt;=조회종료),1,0)</f>
        <v/>
      </c>
    </row>
    <row r="38">
      <c r="A38" s="2">
        <f>ROW()-1</f>
        <v/>
      </c>
      <c r="B38" s="5">
        <f>INDEX(상호범위,D38)</f>
        <v/>
      </c>
      <c r="C38" s="5">
        <f>INDEX(플랫폼명범위,E38)</f>
        <v/>
      </c>
      <c r="D38" s="2">
        <f>MOD(INT((A38-1)/4),8)+1</f>
        <v/>
      </c>
      <c r="E38" s="2">
        <f>MOD(A38-1,4)+1</f>
        <v/>
      </c>
      <c r="F38" s="20">
        <f>축시작+INT((A38-1)/32)</f>
        <v/>
      </c>
      <c r="G38" s="20">
        <f>F38+H38</f>
        <v/>
      </c>
      <c r="H38" s="5" t="n">
        <v>1</v>
      </c>
      <c r="I38" s="2">
        <f>ROUND(INDEX(가맹점!$P$2:$P$9,D38)*INDEX(가맹점!$J$2:$M$9,D38,E38),0)</f>
        <v/>
      </c>
      <c r="J38" s="2">
        <f>ROUND(I38*(1-할인율),0)</f>
        <v/>
      </c>
      <c r="K38" s="2">
        <f>ROUNDDOWN(I38*할인율,0)</f>
        <v/>
      </c>
      <c r="L38" s="2">
        <f>ROUND(I38*INDEX(미지급률범위,E38),0)</f>
        <v/>
      </c>
      <c r="M38" s="2">
        <f>ROUND(I38*INDEX(과지급률범위,E38),0)</f>
        <v/>
      </c>
      <c r="N38" s="2">
        <f>MAX(0,L38-M38)</f>
        <v/>
      </c>
      <c r="O38" s="2">
        <f>K38-N38</f>
        <v/>
      </c>
      <c r="P38" s="2">
        <f>I38-N38</f>
        <v/>
      </c>
      <c r="Q38" s="5">
        <f>IF(G38&gt;기준일,1,0)</f>
        <v/>
      </c>
      <c r="R38" s="5">
        <f>IF(G38&lt;=기준일,1,0)</f>
        <v/>
      </c>
      <c r="S38" s="2">
        <f>J38*H38</f>
        <v/>
      </c>
      <c r="T38" s="5">
        <f>IF(AND(F38&gt;=표본시작,F38&lt;=표본종료),1,0)</f>
        <v/>
      </c>
      <c r="U38" s="5">
        <f>IF(AND(G38&gt;=조회시작,G38&lt;=조회종료),1,0)</f>
        <v/>
      </c>
    </row>
    <row r="39">
      <c r="A39" s="2">
        <f>ROW()-1</f>
        <v/>
      </c>
      <c r="B39" s="5">
        <f>INDEX(상호범위,D39)</f>
        <v/>
      </c>
      <c r="C39" s="5">
        <f>INDEX(플랫폼명범위,E39)</f>
        <v/>
      </c>
      <c r="D39" s="2">
        <f>MOD(INT((A39-1)/4),8)+1</f>
        <v/>
      </c>
      <c r="E39" s="2">
        <f>MOD(A39-1,4)+1</f>
        <v/>
      </c>
      <c r="F39" s="20">
        <f>축시작+INT((A39-1)/32)</f>
        <v/>
      </c>
      <c r="G39" s="20">
        <f>F39+H39</f>
        <v/>
      </c>
      <c r="H39" s="5" t="n">
        <v>2</v>
      </c>
      <c r="I39" s="2">
        <f>ROUND(INDEX(가맹점!$P$2:$P$9,D39)*INDEX(가맹점!$J$2:$M$9,D39,E39),0)</f>
        <v/>
      </c>
      <c r="J39" s="2">
        <f>ROUND(I39*(1-할인율),0)</f>
        <v/>
      </c>
      <c r="K39" s="2">
        <f>ROUNDDOWN(I39*할인율,0)</f>
        <v/>
      </c>
      <c r="L39" s="2">
        <f>ROUND(I39*INDEX(미지급률범위,E39),0)</f>
        <v/>
      </c>
      <c r="M39" s="2">
        <f>ROUND(I39*INDEX(과지급률범위,E39),0)</f>
        <v/>
      </c>
      <c r="N39" s="2">
        <f>MAX(0,L39-M39)</f>
        <v/>
      </c>
      <c r="O39" s="2">
        <f>K39-N39</f>
        <v/>
      </c>
      <c r="P39" s="2">
        <f>I39-N39</f>
        <v/>
      </c>
      <c r="Q39" s="5">
        <f>IF(G39&gt;기준일,1,0)</f>
        <v/>
      </c>
      <c r="R39" s="5">
        <f>IF(G39&lt;=기준일,1,0)</f>
        <v/>
      </c>
      <c r="S39" s="2">
        <f>J39*H39</f>
        <v/>
      </c>
      <c r="T39" s="5">
        <f>IF(AND(F39&gt;=표본시작,F39&lt;=표본종료),1,0)</f>
        <v/>
      </c>
      <c r="U39" s="5">
        <f>IF(AND(G39&gt;=조회시작,G39&lt;=조회종료),1,0)</f>
        <v/>
      </c>
    </row>
    <row r="40">
      <c r="A40" s="2">
        <f>ROW()-1</f>
        <v/>
      </c>
      <c r="B40" s="5">
        <f>INDEX(상호범위,D40)</f>
        <v/>
      </c>
      <c r="C40" s="5">
        <f>INDEX(플랫폼명범위,E40)</f>
        <v/>
      </c>
      <c r="D40" s="2">
        <f>MOD(INT((A40-1)/4),8)+1</f>
        <v/>
      </c>
      <c r="E40" s="2">
        <f>MOD(A40-1,4)+1</f>
        <v/>
      </c>
      <c r="F40" s="20">
        <f>축시작+INT((A40-1)/32)</f>
        <v/>
      </c>
      <c r="G40" s="20">
        <f>F40+H40</f>
        <v/>
      </c>
      <c r="H40" s="5" t="n">
        <v>3</v>
      </c>
      <c r="I40" s="2">
        <f>ROUND(INDEX(가맹점!$P$2:$P$9,D40)*INDEX(가맹점!$J$2:$M$9,D40,E40),0)</f>
        <v/>
      </c>
      <c r="J40" s="2">
        <f>ROUND(I40*(1-할인율),0)</f>
        <v/>
      </c>
      <c r="K40" s="2">
        <f>ROUNDDOWN(I40*할인율,0)</f>
        <v/>
      </c>
      <c r="L40" s="2">
        <f>ROUND(I40*INDEX(미지급률범위,E40),0)</f>
        <v/>
      </c>
      <c r="M40" s="2">
        <f>ROUND(I40*INDEX(과지급률범위,E40),0)</f>
        <v/>
      </c>
      <c r="N40" s="2">
        <f>MAX(0,L40-M40)</f>
        <v/>
      </c>
      <c r="O40" s="2">
        <f>K40-N40</f>
        <v/>
      </c>
      <c r="P40" s="2">
        <f>I40-N40</f>
        <v/>
      </c>
      <c r="Q40" s="5">
        <f>IF(G40&gt;기준일,1,0)</f>
        <v/>
      </c>
      <c r="R40" s="5">
        <f>IF(G40&lt;=기준일,1,0)</f>
        <v/>
      </c>
      <c r="S40" s="2">
        <f>J40*H40</f>
        <v/>
      </c>
      <c r="T40" s="5">
        <f>IF(AND(F40&gt;=표본시작,F40&lt;=표본종료),1,0)</f>
        <v/>
      </c>
      <c r="U40" s="5">
        <f>IF(AND(G40&gt;=조회시작,G40&lt;=조회종료),1,0)</f>
        <v/>
      </c>
    </row>
    <row r="41">
      <c r="A41" s="2">
        <f>ROW()-1</f>
        <v/>
      </c>
      <c r="B41" s="5">
        <f>INDEX(상호범위,D41)</f>
        <v/>
      </c>
      <c r="C41" s="5">
        <f>INDEX(플랫폼명범위,E41)</f>
        <v/>
      </c>
      <c r="D41" s="2">
        <f>MOD(INT((A41-1)/4),8)+1</f>
        <v/>
      </c>
      <c r="E41" s="2">
        <f>MOD(A41-1,4)+1</f>
        <v/>
      </c>
      <c r="F41" s="20">
        <f>축시작+INT((A41-1)/32)</f>
        <v/>
      </c>
      <c r="G41" s="20">
        <f>F41+H41</f>
        <v/>
      </c>
      <c r="H41" s="5" t="n">
        <v>6</v>
      </c>
      <c r="I41" s="2">
        <f>ROUND(INDEX(가맹점!$P$2:$P$9,D41)*INDEX(가맹점!$J$2:$M$9,D41,E41),0)</f>
        <v/>
      </c>
      <c r="J41" s="2">
        <f>ROUND(I41*(1-할인율),0)</f>
        <v/>
      </c>
      <c r="K41" s="2">
        <f>ROUNDDOWN(I41*할인율,0)</f>
        <v/>
      </c>
      <c r="L41" s="2">
        <f>ROUND(I41*INDEX(미지급률범위,E41),0)</f>
        <v/>
      </c>
      <c r="M41" s="2">
        <f>ROUND(I41*INDEX(과지급률범위,E41),0)</f>
        <v/>
      </c>
      <c r="N41" s="2">
        <f>MAX(0,L41-M41)</f>
        <v/>
      </c>
      <c r="O41" s="2">
        <f>K41-N41</f>
        <v/>
      </c>
      <c r="P41" s="2">
        <f>I41-N41</f>
        <v/>
      </c>
      <c r="Q41" s="5">
        <f>IF(G41&gt;기준일,1,0)</f>
        <v/>
      </c>
      <c r="R41" s="5">
        <f>IF(G41&lt;=기준일,1,0)</f>
        <v/>
      </c>
      <c r="S41" s="2">
        <f>J41*H41</f>
        <v/>
      </c>
      <c r="T41" s="5">
        <f>IF(AND(F41&gt;=표본시작,F41&lt;=표본종료),1,0)</f>
        <v/>
      </c>
      <c r="U41" s="5">
        <f>IF(AND(G41&gt;=조회시작,G41&lt;=조회종료),1,0)</f>
        <v/>
      </c>
    </row>
    <row r="42">
      <c r="A42" s="2">
        <f>ROW()-1</f>
        <v/>
      </c>
      <c r="B42" s="5">
        <f>INDEX(상호범위,D42)</f>
        <v/>
      </c>
      <c r="C42" s="5">
        <f>INDEX(플랫폼명범위,E42)</f>
        <v/>
      </c>
      <c r="D42" s="2">
        <f>MOD(INT((A42-1)/4),8)+1</f>
        <v/>
      </c>
      <c r="E42" s="2">
        <f>MOD(A42-1,4)+1</f>
        <v/>
      </c>
      <c r="F42" s="20">
        <f>축시작+INT((A42-1)/32)</f>
        <v/>
      </c>
      <c r="G42" s="20">
        <f>F42+H42</f>
        <v/>
      </c>
      <c r="H42" s="5" t="n">
        <v>1</v>
      </c>
      <c r="I42" s="2">
        <f>ROUND(INDEX(가맹점!$P$2:$P$9,D42)*INDEX(가맹점!$J$2:$M$9,D42,E42),0)</f>
        <v/>
      </c>
      <c r="J42" s="2">
        <f>ROUND(I42*(1-할인율),0)</f>
        <v/>
      </c>
      <c r="K42" s="2">
        <f>ROUNDDOWN(I42*할인율,0)</f>
        <v/>
      </c>
      <c r="L42" s="2">
        <f>ROUND(I42*INDEX(미지급률범위,E42),0)</f>
        <v/>
      </c>
      <c r="M42" s="2">
        <f>ROUND(I42*INDEX(과지급률범위,E42),0)</f>
        <v/>
      </c>
      <c r="N42" s="2">
        <f>MAX(0,L42-M42)</f>
        <v/>
      </c>
      <c r="O42" s="2">
        <f>K42-N42</f>
        <v/>
      </c>
      <c r="P42" s="2">
        <f>I42-N42</f>
        <v/>
      </c>
      <c r="Q42" s="5">
        <f>IF(G42&gt;기준일,1,0)</f>
        <v/>
      </c>
      <c r="R42" s="5">
        <f>IF(G42&lt;=기준일,1,0)</f>
        <v/>
      </c>
      <c r="S42" s="2">
        <f>J42*H42</f>
        <v/>
      </c>
      <c r="T42" s="5">
        <f>IF(AND(F42&gt;=표본시작,F42&lt;=표본종료),1,0)</f>
        <v/>
      </c>
      <c r="U42" s="5">
        <f>IF(AND(G42&gt;=조회시작,G42&lt;=조회종료),1,0)</f>
        <v/>
      </c>
    </row>
    <row r="43">
      <c r="A43" s="2">
        <f>ROW()-1</f>
        <v/>
      </c>
      <c r="B43" s="5">
        <f>INDEX(상호범위,D43)</f>
        <v/>
      </c>
      <c r="C43" s="5">
        <f>INDEX(플랫폼명범위,E43)</f>
        <v/>
      </c>
      <c r="D43" s="2">
        <f>MOD(INT((A43-1)/4),8)+1</f>
        <v/>
      </c>
      <c r="E43" s="2">
        <f>MOD(A43-1,4)+1</f>
        <v/>
      </c>
      <c r="F43" s="20">
        <f>축시작+INT((A43-1)/32)</f>
        <v/>
      </c>
      <c r="G43" s="20">
        <f>F43+H43</f>
        <v/>
      </c>
      <c r="H43" s="5" t="n">
        <v>2</v>
      </c>
      <c r="I43" s="2">
        <f>ROUND(INDEX(가맹점!$P$2:$P$9,D43)*INDEX(가맹점!$J$2:$M$9,D43,E43),0)</f>
        <v/>
      </c>
      <c r="J43" s="2">
        <f>ROUND(I43*(1-할인율),0)</f>
        <v/>
      </c>
      <c r="K43" s="2">
        <f>ROUNDDOWN(I43*할인율,0)</f>
        <v/>
      </c>
      <c r="L43" s="2">
        <f>ROUND(I43*INDEX(미지급률범위,E43),0)</f>
        <v/>
      </c>
      <c r="M43" s="2">
        <f>ROUND(I43*INDEX(과지급률범위,E43),0)</f>
        <v/>
      </c>
      <c r="N43" s="2">
        <f>MAX(0,L43-M43)</f>
        <v/>
      </c>
      <c r="O43" s="2">
        <f>K43-N43</f>
        <v/>
      </c>
      <c r="P43" s="2">
        <f>I43-N43</f>
        <v/>
      </c>
      <c r="Q43" s="5">
        <f>IF(G43&gt;기준일,1,0)</f>
        <v/>
      </c>
      <c r="R43" s="5">
        <f>IF(G43&lt;=기준일,1,0)</f>
        <v/>
      </c>
      <c r="S43" s="2">
        <f>J43*H43</f>
        <v/>
      </c>
      <c r="T43" s="5">
        <f>IF(AND(F43&gt;=표본시작,F43&lt;=표본종료),1,0)</f>
        <v/>
      </c>
      <c r="U43" s="5">
        <f>IF(AND(G43&gt;=조회시작,G43&lt;=조회종료),1,0)</f>
        <v/>
      </c>
    </row>
    <row r="44">
      <c r="A44" s="2">
        <f>ROW()-1</f>
        <v/>
      </c>
      <c r="B44" s="5">
        <f>INDEX(상호범위,D44)</f>
        <v/>
      </c>
      <c r="C44" s="5">
        <f>INDEX(플랫폼명범위,E44)</f>
        <v/>
      </c>
      <c r="D44" s="2">
        <f>MOD(INT((A44-1)/4),8)+1</f>
        <v/>
      </c>
      <c r="E44" s="2">
        <f>MOD(A44-1,4)+1</f>
        <v/>
      </c>
      <c r="F44" s="20">
        <f>축시작+INT((A44-1)/32)</f>
        <v/>
      </c>
      <c r="G44" s="20">
        <f>F44+H44</f>
        <v/>
      </c>
      <c r="H44" s="5" t="n">
        <v>3</v>
      </c>
      <c r="I44" s="2">
        <f>ROUND(INDEX(가맹점!$P$2:$P$9,D44)*INDEX(가맹점!$J$2:$M$9,D44,E44),0)</f>
        <v/>
      </c>
      <c r="J44" s="2">
        <f>ROUND(I44*(1-할인율),0)</f>
        <v/>
      </c>
      <c r="K44" s="2">
        <f>ROUNDDOWN(I44*할인율,0)</f>
        <v/>
      </c>
      <c r="L44" s="2">
        <f>ROUND(I44*INDEX(미지급률범위,E44),0)</f>
        <v/>
      </c>
      <c r="M44" s="2">
        <f>ROUND(I44*INDEX(과지급률범위,E44),0)</f>
        <v/>
      </c>
      <c r="N44" s="2">
        <f>MAX(0,L44-M44)</f>
        <v/>
      </c>
      <c r="O44" s="2">
        <f>K44-N44</f>
        <v/>
      </c>
      <c r="P44" s="2">
        <f>I44-N44</f>
        <v/>
      </c>
      <c r="Q44" s="5">
        <f>IF(G44&gt;기준일,1,0)</f>
        <v/>
      </c>
      <c r="R44" s="5">
        <f>IF(G44&lt;=기준일,1,0)</f>
        <v/>
      </c>
      <c r="S44" s="2">
        <f>J44*H44</f>
        <v/>
      </c>
      <c r="T44" s="5">
        <f>IF(AND(F44&gt;=표본시작,F44&lt;=표본종료),1,0)</f>
        <v/>
      </c>
      <c r="U44" s="5">
        <f>IF(AND(G44&gt;=조회시작,G44&lt;=조회종료),1,0)</f>
        <v/>
      </c>
    </row>
    <row r="45">
      <c r="A45" s="2">
        <f>ROW()-1</f>
        <v/>
      </c>
      <c r="B45" s="5">
        <f>INDEX(상호범위,D45)</f>
        <v/>
      </c>
      <c r="C45" s="5">
        <f>INDEX(플랫폼명범위,E45)</f>
        <v/>
      </c>
      <c r="D45" s="2">
        <f>MOD(INT((A45-1)/4),8)+1</f>
        <v/>
      </c>
      <c r="E45" s="2">
        <f>MOD(A45-1,4)+1</f>
        <v/>
      </c>
      <c r="F45" s="20">
        <f>축시작+INT((A45-1)/32)</f>
        <v/>
      </c>
      <c r="G45" s="20">
        <f>F45+H45</f>
        <v/>
      </c>
      <c r="H45" s="5" t="n">
        <v>11</v>
      </c>
      <c r="I45" s="2">
        <f>ROUND(INDEX(가맹점!$P$2:$P$9,D45)*INDEX(가맹점!$J$2:$M$9,D45,E45),0)</f>
        <v/>
      </c>
      <c r="J45" s="2">
        <f>ROUND(I45*(1-할인율),0)</f>
        <v/>
      </c>
      <c r="K45" s="2">
        <f>ROUNDDOWN(I45*할인율,0)</f>
        <v/>
      </c>
      <c r="L45" s="2">
        <f>ROUND(I45*INDEX(미지급률범위,E45),0)</f>
        <v/>
      </c>
      <c r="M45" s="2">
        <f>ROUND(I45*INDEX(과지급률범위,E45),0)</f>
        <v/>
      </c>
      <c r="N45" s="2">
        <f>MAX(0,L45-M45)</f>
        <v/>
      </c>
      <c r="O45" s="2">
        <f>K45-N45</f>
        <v/>
      </c>
      <c r="P45" s="2">
        <f>I45-N45</f>
        <v/>
      </c>
      <c r="Q45" s="5">
        <f>IF(G45&gt;기준일,1,0)</f>
        <v/>
      </c>
      <c r="R45" s="5">
        <f>IF(G45&lt;=기준일,1,0)</f>
        <v/>
      </c>
      <c r="S45" s="2">
        <f>J45*H45</f>
        <v/>
      </c>
      <c r="T45" s="5">
        <f>IF(AND(F45&gt;=표본시작,F45&lt;=표본종료),1,0)</f>
        <v/>
      </c>
      <c r="U45" s="5">
        <f>IF(AND(G45&gt;=조회시작,G45&lt;=조회종료),1,0)</f>
        <v/>
      </c>
    </row>
    <row r="46">
      <c r="A46" s="2">
        <f>ROW()-1</f>
        <v/>
      </c>
      <c r="B46" s="5">
        <f>INDEX(상호범위,D46)</f>
        <v/>
      </c>
      <c r="C46" s="5">
        <f>INDEX(플랫폼명범위,E46)</f>
        <v/>
      </c>
      <c r="D46" s="2">
        <f>MOD(INT((A46-1)/4),8)+1</f>
        <v/>
      </c>
      <c r="E46" s="2">
        <f>MOD(A46-1,4)+1</f>
        <v/>
      </c>
      <c r="F46" s="20">
        <f>축시작+INT((A46-1)/32)</f>
        <v/>
      </c>
      <c r="G46" s="20">
        <f>F46+H46</f>
        <v/>
      </c>
      <c r="H46" s="5" t="n">
        <v>3</v>
      </c>
      <c r="I46" s="2">
        <f>ROUND(INDEX(가맹점!$P$2:$P$9,D46)*INDEX(가맹점!$J$2:$M$9,D46,E46),0)</f>
        <v/>
      </c>
      <c r="J46" s="2">
        <f>ROUND(I46*(1-할인율),0)</f>
        <v/>
      </c>
      <c r="K46" s="2">
        <f>ROUNDDOWN(I46*할인율,0)</f>
        <v/>
      </c>
      <c r="L46" s="2">
        <f>ROUND(I46*INDEX(미지급률범위,E46),0)</f>
        <v/>
      </c>
      <c r="M46" s="2">
        <f>ROUND(I46*INDEX(과지급률범위,E46),0)</f>
        <v/>
      </c>
      <c r="N46" s="2">
        <f>MAX(0,L46-M46)</f>
        <v/>
      </c>
      <c r="O46" s="2">
        <f>K46-N46</f>
        <v/>
      </c>
      <c r="P46" s="2">
        <f>I46-N46</f>
        <v/>
      </c>
      <c r="Q46" s="5">
        <f>IF(G46&gt;기준일,1,0)</f>
        <v/>
      </c>
      <c r="R46" s="5">
        <f>IF(G46&lt;=기준일,1,0)</f>
        <v/>
      </c>
      <c r="S46" s="2">
        <f>J46*H46</f>
        <v/>
      </c>
      <c r="T46" s="5">
        <f>IF(AND(F46&gt;=표본시작,F46&lt;=표본종료),1,0)</f>
        <v/>
      </c>
      <c r="U46" s="5">
        <f>IF(AND(G46&gt;=조회시작,G46&lt;=조회종료),1,0)</f>
        <v/>
      </c>
    </row>
    <row r="47">
      <c r="A47" s="2">
        <f>ROW()-1</f>
        <v/>
      </c>
      <c r="B47" s="5">
        <f>INDEX(상호범위,D47)</f>
        <v/>
      </c>
      <c r="C47" s="5">
        <f>INDEX(플랫폼명범위,E47)</f>
        <v/>
      </c>
      <c r="D47" s="2">
        <f>MOD(INT((A47-1)/4),8)+1</f>
        <v/>
      </c>
      <c r="E47" s="2">
        <f>MOD(A47-1,4)+1</f>
        <v/>
      </c>
      <c r="F47" s="20">
        <f>축시작+INT((A47-1)/32)</f>
        <v/>
      </c>
      <c r="G47" s="20">
        <f>F47+H47</f>
        <v/>
      </c>
      <c r="H47" s="5" t="n">
        <v>3</v>
      </c>
      <c r="I47" s="2">
        <f>ROUND(INDEX(가맹점!$P$2:$P$9,D47)*INDEX(가맹점!$J$2:$M$9,D47,E47),0)</f>
        <v/>
      </c>
      <c r="J47" s="2">
        <f>ROUND(I47*(1-할인율),0)</f>
        <v/>
      </c>
      <c r="K47" s="2">
        <f>ROUNDDOWN(I47*할인율,0)</f>
        <v/>
      </c>
      <c r="L47" s="2">
        <f>ROUND(I47*INDEX(미지급률범위,E47),0)</f>
        <v/>
      </c>
      <c r="M47" s="2">
        <f>ROUND(I47*INDEX(과지급률범위,E47),0)</f>
        <v/>
      </c>
      <c r="N47" s="2">
        <f>MAX(0,L47-M47)</f>
        <v/>
      </c>
      <c r="O47" s="2">
        <f>K47-N47</f>
        <v/>
      </c>
      <c r="P47" s="2">
        <f>I47-N47</f>
        <v/>
      </c>
      <c r="Q47" s="5">
        <f>IF(G47&gt;기준일,1,0)</f>
        <v/>
      </c>
      <c r="R47" s="5">
        <f>IF(G47&lt;=기준일,1,0)</f>
        <v/>
      </c>
      <c r="S47" s="2">
        <f>J47*H47</f>
        <v/>
      </c>
      <c r="T47" s="5">
        <f>IF(AND(F47&gt;=표본시작,F47&lt;=표본종료),1,0)</f>
        <v/>
      </c>
      <c r="U47" s="5">
        <f>IF(AND(G47&gt;=조회시작,G47&lt;=조회종료),1,0)</f>
        <v/>
      </c>
    </row>
    <row r="48">
      <c r="A48" s="2">
        <f>ROW()-1</f>
        <v/>
      </c>
      <c r="B48" s="5">
        <f>INDEX(상호범위,D48)</f>
        <v/>
      </c>
      <c r="C48" s="5">
        <f>INDEX(플랫폼명범위,E48)</f>
        <v/>
      </c>
      <c r="D48" s="2">
        <f>MOD(INT((A48-1)/4),8)+1</f>
        <v/>
      </c>
      <c r="E48" s="2">
        <f>MOD(A48-1,4)+1</f>
        <v/>
      </c>
      <c r="F48" s="20">
        <f>축시작+INT((A48-1)/32)</f>
        <v/>
      </c>
      <c r="G48" s="20">
        <f>F48+H48</f>
        <v/>
      </c>
      <c r="H48" s="5" t="n">
        <v>4</v>
      </c>
      <c r="I48" s="2">
        <f>ROUND(INDEX(가맹점!$P$2:$P$9,D48)*INDEX(가맹점!$J$2:$M$9,D48,E48),0)</f>
        <v/>
      </c>
      <c r="J48" s="2">
        <f>ROUND(I48*(1-할인율),0)</f>
        <v/>
      </c>
      <c r="K48" s="2">
        <f>ROUNDDOWN(I48*할인율,0)</f>
        <v/>
      </c>
      <c r="L48" s="2">
        <f>ROUND(I48*INDEX(미지급률범위,E48),0)</f>
        <v/>
      </c>
      <c r="M48" s="2">
        <f>ROUND(I48*INDEX(과지급률범위,E48),0)</f>
        <v/>
      </c>
      <c r="N48" s="2">
        <f>MAX(0,L48-M48)</f>
        <v/>
      </c>
      <c r="O48" s="2">
        <f>K48-N48</f>
        <v/>
      </c>
      <c r="P48" s="2">
        <f>I48-N48</f>
        <v/>
      </c>
      <c r="Q48" s="5">
        <f>IF(G48&gt;기준일,1,0)</f>
        <v/>
      </c>
      <c r="R48" s="5">
        <f>IF(G48&lt;=기준일,1,0)</f>
        <v/>
      </c>
      <c r="S48" s="2">
        <f>J48*H48</f>
        <v/>
      </c>
      <c r="T48" s="5">
        <f>IF(AND(F48&gt;=표본시작,F48&lt;=표본종료),1,0)</f>
        <v/>
      </c>
      <c r="U48" s="5">
        <f>IF(AND(G48&gt;=조회시작,G48&lt;=조회종료),1,0)</f>
        <v/>
      </c>
    </row>
    <row r="49">
      <c r="A49" s="2">
        <f>ROW()-1</f>
        <v/>
      </c>
      <c r="B49" s="5">
        <f>INDEX(상호범위,D49)</f>
        <v/>
      </c>
      <c r="C49" s="5">
        <f>INDEX(플랫폼명범위,E49)</f>
        <v/>
      </c>
      <c r="D49" s="2">
        <f>MOD(INT((A49-1)/4),8)+1</f>
        <v/>
      </c>
      <c r="E49" s="2">
        <f>MOD(A49-1,4)+1</f>
        <v/>
      </c>
      <c r="F49" s="20">
        <f>축시작+INT((A49-1)/32)</f>
        <v/>
      </c>
      <c r="G49" s="20">
        <f>F49+H49</f>
        <v/>
      </c>
      <c r="H49" s="5" t="n">
        <v>6</v>
      </c>
      <c r="I49" s="2">
        <f>ROUND(INDEX(가맹점!$P$2:$P$9,D49)*INDEX(가맹점!$J$2:$M$9,D49,E49),0)</f>
        <v/>
      </c>
      <c r="J49" s="2">
        <f>ROUND(I49*(1-할인율),0)</f>
        <v/>
      </c>
      <c r="K49" s="2">
        <f>ROUNDDOWN(I49*할인율,0)</f>
        <v/>
      </c>
      <c r="L49" s="2">
        <f>ROUND(I49*INDEX(미지급률범위,E49),0)</f>
        <v/>
      </c>
      <c r="M49" s="2">
        <f>ROUND(I49*INDEX(과지급률범위,E49),0)</f>
        <v/>
      </c>
      <c r="N49" s="2">
        <f>MAX(0,L49-M49)</f>
        <v/>
      </c>
      <c r="O49" s="2">
        <f>K49-N49</f>
        <v/>
      </c>
      <c r="P49" s="2">
        <f>I49-N49</f>
        <v/>
      </c>
      <c r="Q49" s="5">
        <f>IF(G49&gt;기준일,1,0)</f>
        <v/>
      </c>
      <c r="R49" s="5">
        <f>IF(G49&lt;=기준일,1,0)</f>
        <v/>
      </c>
      <c r="S49" s="2">
        <f>J49*H49</f>
        <v/>
      </c>
      <c r="T49" s="5">
        <f>IF(AND(F49&gt;=표본시작,F49&lt;=표본종료),1,0)</f>
        <v/>
      </c>
      <c r="U49" s="5">
        <f>IF(AND(G49&gt;=조회시작,G49&lt;=조회종료),1,0)</f>
        <v/>
      </c>
    </row>
    <row r="50">
      <c r="A50" s="2">
        <f>ROW()-1</f>
        <v/>
      </c>
      <c r="B50" s="5">
        <f>INDEX(상호범위,D50)</f>
        <v/>
      </c>
      <c r="C50" s="5">
        <f>INDEX(플랫폼명범위,E50)</f>
        <v/>
      </c>
      <c r="D50" s="2">
        <f>MOD(INT((A50-1)/4),8)+1</f>
        <v/>
      </c>
      <c r="E50" s="2">
        <f>MOD(A50-1,4)+1</f>
        <v/>
      </c>
      <c r="F50" s="20">
        <f>축시작+INT((A50-1)/32)</f>
        <v/>
      </c>
      <c r="G50" s="20">
        <f>F50+H50</f>
        <v/>
      </c>
      <c r="H50" s="5" t="n">
        <v>2</v>
      </c>
      <c r="I50" s="2">
        <f>ROUND(INDEX(가맹점!$P$2:$P$9,D50)*INDEX(가맹점!$J$2:$M$9,D50,E50),0)</f>
        <v/>
      </c>
      <c r="J50" s="2">
        <f>ROUND(I50*(1-할인율),0)</f>
        <v/>
      </c>
      <c r="K50" s="2">
        <f>ROUNDDOWN(I50*할인율,0)</f>
        <v/>
      </c>
      <c r="L50" s="2">
        <f>ROUND(I50*INDEX(미지급률범위,E50),0)</f>
        <v/>
      </c>
      <c r="M50" s="2">
        <f>ROUND(I50*INDEX(과지급률범위,E50),0)</f>
        <v/>
      </c>
      <c r="N50" s="2">
        <f>MAX(0,L50-M50)</f>
        <v/>
      </c>
      <c r="O50" s="2">
        <f>K50-N50</f>
        <v/>
      </c>
      <c r="P50" s="2">
        <f>I50-N50</f>
        <v/>
      </c>
      <c r="Q50" s="5">
        <f>IF(G50&gt;기준일,1,0)</f>
        <v/>
      </c>
      <c r="R50" s="5">
        <f>IF(G50&lt;=기준일,1,0)</f>
        <v/>
      </c>
      <c r="S50" s="2">
        <f>J50*H50</f>
        <v/>
      </c>
      <c r="T50" s="5">
        <f>IF(AND(F50&gt;=표본시작,F50&lt;=표본종료),1,0)</f>
        <v/>
      </c>
      <c r="U50" s="5">
        <f>IF(AND(G50&gt;=조회시작,G50&lt;=조회종료),1,0)</f>
        <v/>
      </c>
    </row>
    <row r="51">
      <c r="A51" s="2">
        <f>ROW()-1</f>
        <v/>
      </c>
      <c r="B51" s="5">
        <f>INDEX(상호범위,D51)</f>
        <v/>
      </c>
      <c r="C51" s="5">
        <f>INDEX(플랫폼명범위,E51)</f>
        <v/>
      </c>
      <c r="D51" s="2">
        <f>MOD(INT((A51-1)/4),8)+1</f>
        <v/>
      </c>
      <c r="E51" s="2">
        <f>MOD(A51-1,4)+1</f>
        <v/>
      </c>
      <c r="F51" s="20">
        <f>축시작+INT((A51-1)/32)</f>
        <v/>
      </c>
      <c r="G51" s="20">
        <f>F51+H51</f>
        <v/>
      </c>
      <c r="H51" s="5" t="n">
        <v>4</v>
      </c>
      <c r="I51" s="2">
        <f>ROUND(INDEX(가맹점!$P$2:$P$9,D51)*INDEX(가맹점!$J$2:$M$9,D51,E51),0)</f>
        <v/>
      </c>
      <c r="J51" s="2">
        <f>ROUND(I51*(1-할인율),0)</f>
        <v/>
      </c>
      <c r="K51" s="2">
        <f>ROUNDDOWN(I51*할인율,0)</f>
        <v/>
      </c>
      <c r="L51" s="2">
        <f>ROUND(I51*INDEX(미지급률범위,E51),0)</f>
        <v/>
      </c>
      <c r="M51" s="2">
        <f>ROUND(I51*INDEX(과지급률범위,E51),0)</f>
        <v/>
      </c>
      <c r="N51" s="2">
        <f>MAX(0,L51-M51)</f>
        <v/>
      </c>
      <c r="O51" s="2">
        <f>K51-N51</f>
        <v/>
      </c>
      <c r="P51" s="2">
        <f>I51-N51</f>
        <v/>
      </c>
      <c r="Q51" s="5">
        <f>IF(G51&gt;기준일,1,0)</f>
        <v/>
      </c>
      <c r="R51" s="5">
        <f>IF(G51&lt;=기준일,1,0)</f>
        <v/>
      </c>
      <c r="S51" s="2">
        <f>J51*H51</f>
        <v/>
      </c>
      <c r="T51" s="5">
        <f>IF(AND(F51&gt;=표본시작,F51&lt;=표본종료),1,0)</f>
        <v/>
      </c>
      <c r="U51" s="5">
        <f>IF(AND(G51&gt;=조회시작,G51&lt;=조회종료),1,0)</f>
        <v/>
      </c>
    </row>
    <row r="52">
      <c r="A52" s="2">
        <f>ROW()-1</f>
        <v/>
      </c>
      <c r="B52" s="5">
        <f>INDEX(상호범위,D52)</f>
        <v/>
      </c>
      <c r="C52" s="5">
        <f>INDEX(플랫폼명범위,E52)</f>
        <v/>
      </c>
      <c r="D52" s="2">
        <f>MOD(INT((A52-1)/4),8)+1</f>
        <v/>
      </c>
      <c r="E52" s="2">
        <f>MOD(A52-1,4)+1</f>
        <v/>
      </c>
      <c r="F52" s="20">
        <f>축시작+INT((A52-1)/32)</f>
        <v/>
      </c>
      <c r="G52" s="20">
        <f>F52+H52</f>
        <v/>
      </c>
      <c r="H52" s="5" t="n">
        <v>8</v>
      </c>
      <c r="I52" s="2">
        <f>ROUND(INDEX(가맹점!$P$2:$P$9,D52)*INDEX(가맹점!$J$2:$M$9,D52,E52),0)</f>
        <v/>
      </c>
      <c r="J52" s="2">
        <f>ROUND(I52*(1-할인율),0)</f>
        <v/>
      </c>
      <c r="K52" s="2">
        <f>ROUNDDOWN(I52*할인율,0)</f>
        <v/>
      </c>
      <c r="L52" s="2">
        <f>ROUND(I52*INDEX(미지급률범위,E52),0)</f>
        <v/>
      </c>
      <c r="M52" s="2">
        <f>ROUND(I52*INDEX(과지급률범위,E52),0)</f>
        <v/>
      </c>
      <c r="N52" s="2">
        <f>MAX(0,L52-M52)</f>
        <v/>
      </c>
      <c r="O52" s="2">
        <f>K52-N52</f>
        <v/>
      </c>
      <c r="P52" s="2">
        <f>I52-N52</f>
        <v/>
      </c>
      <c r="Q52" s="5">
        <f>IF(G52&gt;기준일,1,0)</f>
        <v/>
      </c>
      <c r="R52" s="5">
        <f>IF(G52&lt;=기준일,1,0)</f>
        <v/>
      </c>
      <c r="S52" s="2">
        <f>J52*H52</f>
        <v/>
      </c>
      <c r="T52" s="5">
        <f>IF(AND(F52&gt;=표본시작,F52&lt;=표본종료),1,0)</f>
        <v/>
      </c>
      <c r="U52" s="5">
        <f>IF(AND(G52&gt;=조회시작,G52&lt;=조회종료),1,0)</f>
        <v/>
      </c>
    </row>
    <row r="53">
      <c r="A53" s="2">
        <f>ROW()-1</f>
        <v/>
      </c>
      <c r="B53" s="5">
        <f>INDEX(상호범위,D53)</f>
        <v/>
      </c>
      <c r="C53" s="5">
        <f>INDEX(플랫폼명범위,E53)</f>
        <v/>
      </c>
      <c r="D53" s="2">
        <f>MOD(INT((A53-1)/4),8)+1</f>
        <v/>
      </c>
      <c r="E53" s="2">
        <f>MOD(A53-1,4)+1</f>
        <v/>
      </c>
      <c r="F53" s="20">
        <f>축시작+INT((A53-1)/32)</f>
        <v/>
      </c>
      <c r="G53" s="20">
        <f>F53+H53</f>
        <v/>
      </c>
      <c r="H53" s="5" t="n">
        <v>8</v>
      </c>
      <c r="I53" s="2">
        <f>ROUND(INDEX(가맹점!$P$2:$P$9,D53)*INDEX(가맹점!$J$2:$M$9,D53,E53),0)</f>
        <v/>
      </c>
      <c r="J53" s="2">
        <f>ROUND(I53*(1-할인율),0)</f>
        <v/>
      </c>
      <c r="K53" s="2">
        <f>ROUNDDOWN(I53*할인율,0)</f>
        <v/>
      </c>
      <c r="L53" s="2">
        <f>ROUND(I53*INDEX(미지급률범위,E53),0)</f>
        <v/>
      </c>
      <c r="M53" s="2">
        <f>ROUND(I53*INDEX(과지급률범위,E53),0)</f>
        <v/>
      </c>
      <c r="N53" s="2">
        <f>MAX(0,L53-M53)</f>
        <v/>
      </c>
      <c r="O53" s="2">
        <f>K53-N53</f>
        <v/>
      </c>
      <c r="P53" s="2">
        <f>I53-N53</f>
        <v/>
      </c>
      <c r="Q53" s="5">
        <f>IF(G53&gt;기준일,1,0)</f>
        <v/>
      </c>
      <c r="R53" s="5">
        <f>IF(G53&lt;=기준일,1,0)</f>
        <v/>
      </c>
      <c r="S53" s="2">
        <f>J53*H53</f>
        <v/>
      </c>
      <c r="T53" s="5">
        <f>IF(AND(F53&gt;=표본시작,F53&lt;=표본종료),1,0)</f>
        <v/>
      </c>
      <c r="U53" s="5">
        <f>IF(AND(G53&gt;=조회시작,G53&lt;=조회종료),1,0)</f>
        <v/>
      </c>
    </row>
    <row r="54">
      <c r="A54" s="2">
        <f>ROW()-1</f>
        <v/>
      </c>
      <c r="B54" s="5">
        <f>INDEX(상호범위,D54)</f>
        <v/>
      </c>
      <c r="C54" s="5">
        <f>INDEX(플랫폼명범위,E54)</f>
        <v/>
      </c>
      <c r="D54" s="2">
        <f>MOD(INT((A54-1)/4),8)+1</f>
        <v/>
      </c>
      <c r="E54" s="2">
        <f>MOD(A54-1,4)+1</f>
        <v/>
      </c>
      <c r="F54" s="20">
        <f>축시작+INT((A54-1)/32)</f>
        <v/>
      </c>
      <c r="G54" s="20">
        <f>F54+H54</f>
        <v/>
      </c>
      <c r="H54" s="5" t="n">
        <v>1</v>
      </c>
      <c r="I54" s="2">
        <f>ROUND(INDEX(가맹점!$P$2:$P$9,D54)*INDEX(가맹점!$J$2:$M$9,D54,E54),0)</f>
        <v/>
      </c>
      <c r="J54" s="2">
        <f>ROUND(I54*(1-할인율),0)</f>
        <v/>
      </c>
      <c r="K54" s="2">
        <f>ROUNDDOWN(I54*할인율,0)</f>
        <v/>
      </c>
      <c r="L54" s="2">
        <f>ROUND(I54*INDEX(미지급률범위,E54),0)</f>
        <v/>
      </c>
      <c r="M54" s="2">
        <f>ROUND(I54*INDEX(과지급률범위,E54),0)</f>
        <v/>
      </c>
      <c r="N54" s="2">
        <f>MAX(0,L54-M54)</f>
        <v/>
      </c>
      <c r="O54" s="2">
        <f>K54-N54</f>
        <v/>
      </c>
      <c r="P54" s="2">
        <f>I54-N54</f>
        <v/>
      </c>
      <c r="Q54" s="5">
        <f>IF(G54&gt;기준일,1,0)</f>
        <v/>
      </c>
      <c r="R54" s="5">
        <f>IF(G54&lt;=기준일,1,0)</f>
        <v/>
      </c>
      <c r="S54" s="2">
        <f>J54*H54</f>
        <v/>
      </c>
      <c r="T54" s="5">
        <f>IF(AND(F54&gt;=표본시작,F54&lt;=표본종료),1,0)</f>
        <v/>
      </c>
      <c r="U54" s="5">
        <f>IF(AND(G54&gt;=조회시작,G54&lt;=조회종료),1,0)</f>
        <v/>
      </c>
    </row>
    <row r="55">
      <c r="A55" s="2">
        <f>ROW()-1</f>
        <v/>
      </c>
      <c r="B55" s="5">
        <f>INDEX(상호범위,D55)</f>
        <v/>
      </c>
      <c r="C55" s="5">
        <f>INDEX(플랫폼명범위,E55)</f>
        <v/>
      </c>
      <c r="D55" s="2">
        <f>MOD(INT((A55-1)/4),8)+1</f>
        <v/>
      </c>
      <c r="E55" s="2">
        <f>MOD(A55-1,4)+1</f>
        <v/>
      </c>
      <c r="F55" s="20">
        <f>축시작+INT((A55-1)/32)</f>
        <v/>
      </c>
      <c r="G55" s="20">
        <f>F55+H55</f>
        <v/>
      </c>
      <c r="H55" s="5" t="n">
        <v>5</v>
      </c>
      <c r="I55" s="2">
        <f>ROUND(INDEX(가맹점!$P$2:$P$9,D55)*INDEX(가맹점!$J$2:$M$9,D55,E55),0)</f>
        <v/>
      </c>
      <c r="J55" s="2">
        <f>ROUND(I55*(1-할인율),0)</f>
        <v/>
      </c>
      <c r="K55" s="2">
        <f>ROUNDDOWN(I55*할인율,0)</f>
        <v/>
      </c>
      <c r="L55" s="2">
        <f>ROUND(I55*INDEX(미지급률범위,E55),0)</f>
        <v/>
      </c>
      <c r="M55" s="2">
        <f>ROUND(I55*INDEX(과지급률범위,E55),0)</f>
        <v/>
      </c>
      <c r="N55" s="2">
        <f>MAX(0,L55-M55)</f>
        <v/>
      </c>
      <c r="O55" s="2">
        <f>K55-N55</f>
        <v/>
      </c>
      <c r="P55" s="2">
        <f>I55-N55</f>
        <v/>
      </c>
      <c r="Q55" s="5">
        <f>IF(G55&gt;기준일,1,0)</f>
        <v/>
      </c>
      <c r="R55" s="5">
        <f>IF(G55&lt;=기준일,1,0)</f>
        <v/>
      </c>
      <c r="S55" s="2">
        <f>J55*H55</f>
        <v/>
      </c>
      <c r="T55" s="5">
        <f>IF(AND(F55&gt;=표본시작,F55&lt;=표본종료),1,0)</f>
        <v/>
      </c>
      <c r="U55" s="5">
        <f>IF(AND(G55&gt;=조회시작,G55&lt;=조회종료),1,0)</f>
        <v/>
      </c>
    </row>
    <row r="56">
      <c r="A56" s="2">
        <f>ROW()-1</f>
        <v/>
      </c>
      <c r="B56" s="5">
        <f>INDEX(상호범위,D56)</f>
        <v/>
      </c>
      <c r="C56" s="5">
        <f>INDEX(플랫폼명범위,E56)</f>
        <v/>
      </c>
      <c r="D56" s="2">
        <f>MOD(INT((A56-1)/4),8)+1</f>
        <v/>
      </c>
      <c r="E56" s="2">
        <f>MOD(A56-1,4)+1</f>
        <v/>
      </c>
      <c r="F56" s="20">
        <f>축시작+INT((A56-1)/32)</f>
        <v/>
      </c>
      <c r="G56" s="20">
        <f>F56+H56</f>
        <v/>
      </c>
      <c r="H56" s="5" t="n">
        <v>3</v>
      </c>
      <c r="I56" s="2">
        <f>ROUND(INDEX(가맹점!$P$2:$P$9,D56)*INDEX(가맹점!$J$2:$M$9,D56,E56),0)</f>
        <v/>
      </c>
      <c r="J56" s="2">
        <f>ROUND(I56*(1-할인율),0)</f>
        <v/>
      </c>
      <c r="K56" s="2">
        <f>ROUNDDOWN(I56*할인율,0)</f>
        <v/>
      </c>
      <c r="L56" s="2">
        <f>ROUND(I56*INDEX(미지급률범위,E56),0)</f>
        <v/>
      </c>
      <c r="M56" s="2">
        <f>ROUND(I56*INDEX(과지급률범위,E56),0)</f>
        <v/>
      </c>
      <c r="N56" s="2">
        <f>MAX(0,L56-M56)</f>
        <v/>
      </c>
      <c r="O56" s="2">
        <f>K56-N56</f>
        <v/>
      </c>
      <c r="P56" s="2">
        <f>I56-N56</f>
        <v/>
      </c>
      <c r="Q56" s="5">
        <f>IF(G56&gt;기준일,1,0)</f>
        <v/>
      </c>
      <c r="R56" s="5">
        <f>IF(G56&lt;=기준일,1,0)</f>
        <v/>
      </c>
      <c r="S56" s="2">
        <f>J56*H56</f>
        <v/>
      </c>
      <c r="T56" s="5">
        <f>IF(AND(F56&gt;=표본시작,F56&lt;=표본종료),1,0)</f>
        <v/>
      </c>
      <c r="U56" s="5">
        <f>IF(AND(G56&gt;=조회시작,G56&lt;=조회종료),1,0)</f>
        <v/>
      </c>
    </row>
    <row r="57">
      <c r="A57" s="2">
        <f>ROW()-1</f>
        <v/>
      </c>
      <c r="B57" s="5">
        <f>INDEX(상호범위,D57)</f>
        <v/>
      </c>
      <c r="C57" s="5">
        <f>INDEX(플랫폼명범위,E57)</f>
        <v/>
      </c>
      <c r="D57" s="2">
        <f>MOD(INT((A57-1)/4),8)+1</f>
        <v/>
      </c>
      <c r="E57" s="2">
        <f>MOD(A57-1,4)+1</f>
        <v/>
      </c>
      <c r="F57" s="20">
        <f>축시작+INT((A57-1)/32)</f>
        <v/>
      </c>
      <c r="G57" s="20">
        <f>F57+H57</f>
        <v/>
      </c>
      <c r="H57" s="5" t="n">
        <v>8</v>
      </c>
      <c r="I57" s="2">
        <f>ROUND(INDEX(가맹점!$P$2:$P$9,D57)*INDEX(가맹점!$J$2:$M$9,D57,E57),0)</f>
        <v/>
      </c>
      <c r="J57" s="2">
        <f>ROUND(I57*(1-할인율),0)</f>
        <v/>
      </c>
      <c r="K57" s="2">
        <f>ROUNDDOWN(I57*할인율,0)</f>
        <v/>
      </c>
      <c r="L57" s="2">
        <f>ROUND(I57*INDEX(미지급률범위,E57),0)</f>
        <v/>
      </c>
      <c r="M57" s="2">
        <f>ROUND(I57*INDEX(과지급률범위,E57),0)</f>
        <v/>
      </c>
      <c r="N57" s="2">
        <f>MAX(0,L57-M57)</f>
        <v/>
      </c>
      <c r="O57" s="2">
        <f>K57-N57</f>
        <v/>
      </c>
      <c r="P57" s="2">
        <f>I57-N57</f>
        <v/>
      </c>
      <c r="Q57" s="5">
        <f>IF(G57&gt;기준일,1,0)</f>
        <v/>
      </c>
      <c r="R57" s="5">
        <f>IF(G57&lt;=기준일,1,0)</f>
        <v/>
      </c>
      <c r="S57" s="2">
        <f>J57*H57</f>
        <v/>
      </c>
      <c r="T57" s="5">
        <f>IF(AND(F57&gt;=표본시작,F57&lt;=표본종료),1,0)</f>
        <v/>
      </c>
      <c r="U57" s="5">
        <f>IF(AND(G57&gt;=조회시작,G57&lt;=조회종료),1,0)</f>
        <v/>
      </c>
    </row>
    <row r="58">
      <c r="A58" s="2">
        <f>ROW()-1</f>
        <v/>
      </c>
      <c r="B58" s="5">
        <f>INDEX(상호범위,D58)</f>
        <v/>
      </c>
      <c r="C58" s="5">
        <f>INDEX(플랫폼명범위,E58)</f>
        <v/>
      </c>
      <c r="D58" s="2">
        <f>MOD(INT((A58-1)/4),8)+1</f>
        <v/>
      </c>
      <c r="E58" s="2">
        <f>MOD(A58-1,4)+1</f>
        <v/>
      </c>
      <c r="F58" s="20">
        <f>축시작+INT((A58-1)/32)</f>
        <v/>
      </c>
      <c r="G58" s="20">
        <f>F58+H58</f>
        <v/>
      </c>
      <c r="H58" s="5" t="n">
        <v>1</v>
      </c>
      <c r="I58" s="2">
        <f>ROUND(INDEX(가맹점!$P$2:$P$9,D58)*INDEX(가맹점!$J$2:$M$9,D58,E58),0)</f>
        <v/>
      </c>
      <c r="J58" s="2">
        <f>ROUND(I58*(1-할인율),0)</f>
        <v/>
      </c>
      <c r="K58" s="2">
        <f>ROUNDDOWN(I58*할인율,0)</f>
        <v/>
      </c>
      <c r="L58" s="2">
        <f>ROUND(I58*INDEX(미지급률범위,E58),0)</f>
        <v/>
      </c>
      <c r="M58" s="2">
        <f>ROUND(I58*INDEX(과지급률범위,E58),0)</f>
        <v/>
      </c>
      <c r="N58" s="2">
        <f>MAX(0,L58-M58)</f>
        <v/>
      </c>
      <c r="O58" s="2">
        <f>K58-N58</f>
        <v/>
      </c>
      <c r="P58" s="2">
        <f>I58-N58</f>
        <v/>
      </c>
      <c r="Q58" s="5">
        <f>IF(G58&gt;기준일,1,0)</f>
        <v/>
      </c>
      <c r="R58" s="5">
        <f>IF(G58&lt;=기준일,1,0)</f>
        <v/>
      </c>
      <c r="S58" s="2">
        <f>J58*H58</f>
        <v/>
      </c>
      <c r="T58" s="5">
        <f>IF(AND(F58&gt;=표본시작,F58&lt;=표본종료),1,0)</f>
        <v/>
      </c>
      <c r="U58" s="5">
        <f>IF(AND(G58&gt;=조회시작,G58&lt;=조회종료),1,0)</f>
        <v/>
      </c>
    </row>
    <row r="59">
      <c r="A59" s="2">
        <f>ROW()-1</f>
        <v/>
      </c>
      <c r="B59" s="5">
        <f>INDEX(상호범위,D59)</f>
        <v/>
      </c>
      <c r="C59" s="5">
        <f>INDEX(플랫폼명범위,E59)</f>
        <v/>
      </c>
      <c r="D59" s="2">
        <f>MOD(INT((A59-1)/4),8)+1</f>
        <v/>
      </c>
      <c r="E59" s="2">
        <f>MOD(A59-1,4)+1</f>
        <v/>
      </c>
      <c r="F59" s="20">
        <f>축시작+INT((A59-1)/32)</f>
        <v/>
      </c>
      <c r="G59" s="20">
        <f>F59+H59</f>
        <v/>
      </c>
      <c r="H59" s="5" t="n">
        <v>5</v>
      </c>
      <c r="I59" s="2">
        <f>ROUND(INDEX(가맹점!$P$2:$P$9,D59)*INDEX(가맹점!$J$2:$M$9,D59,E59),0)</f>
        <v/>
      </c>
      <c r="J59" s="2">
        <f>ROUND(I59*(1-할인율),0)</f>
        <v/>
      </c>
      <c r="K59" s="2">
        <f>ROUNDDOWN(I59*할인율,0)</f>
        <v/>
      </c>
      <c r="L59" s="2">
        <f>ROUND(I59*INDEX(미지급률범위,E59),0)</f>
        <v/>
      </c>
      <c r="M59" s="2">
        <f>ROUND(I59*INDEX(과지급률범위,E59),0)</f>
        <v/>
      </c>
      <c r="N59" s="2">
        <f>MAX(0,L59-M59)</f>
        <v/>
      </c>
      <c r="O59" s="2">
        <f>K59-N59</f>
        <v/>
      </c>
      <c r="P59" s="2">
        <f>I59-N59</f>
        <v/>
      </c>
      <c r="Q59" s="5">
        <f>IF(G59&gt;기준일,1,0)</f>
        <v/>
      </c>
      <c r="R59" s="5">
        <f>IF(G59&lt;=기준일,1,0)</f>
        <v/>
      </c>
      <c r="S59" s="2">
        <f>J59*H59</f>
        <v/>
      </c>
      <c r="T59" s="5">
        <f>IF(AND(F59&gt;=표본시작,F59&lt;=표본종료),1,0)</f>
        <v/>
      </c>
      <c r="U59" s="5">
        <f>IF(AND(G59&gt;=조회시작,G59&lt;=조회종료),1,0)</f>
        <v/>
      </c>
    </row>
    <row r="60">
      <c r="A60" s="2">
        <f>ROW()-1</f>
        <v/>
      </c>
      <c r="B60" s="5">
        <f>INDEX(상호범위,D60)</f>
        <v/>
      </c>
      <c r="C60" s="5">
        <f>INDEX(플랫폼명범위,E60)</f>
        <v/>
      </c>
      <c r="D60" s="2">
        <f>MOD(INT((A60-1)/4),8)+1</f>
        <v/>
      </c>
      <c r="E60" s="2">
        <f>MOD(A60-1,4)+1</f>
        <v/>
      </c>
      <c r="F60" s="20">
        <f>축시작+INT((A60-1)/32)</f>
        <v/>
      </c>
      <c r="G60" s="20">
        <f>F60+H60</f>
        <v/>
      </c>
      <c r="H60" s="5" t="n">
        <v>5</v>
      </c>
      <c r="I60" s="2">
        <f>ROUND(INDEX(가맹점!$P$2:$P$9,D60)*INDEX(가맹점!$J$2:$M$9,D60,E60),0)</f>
        <v/>
      </c>
      <c r="J60" s="2">
        <f>ROUND(I60*(1-할인율),0)</f>
        <v/>
      </c>
      <c r="K60" s="2">
        <f>ROUNDDOWN(I60*할인율,0)</f>
        <v/>
      </c>
      <c r="L60" s="2">
        <f>ROUND(I60*INDEX(미지급률범위,E60),0)</f>
        <v/>
      </c>
      <c r="M60" s="2">
        <f>ROUND(I60*INDEX(과지급률범위,E60),0)</f>
        <v/>
      </c>
      <c r="N60" s="2">
        <f>MAX(0,L60-M60)</f>
        <v/>
      </c>
      <c r="O60" s="2">
        <f>K60-N60</f>
        <v/>
      </c>
      <c r="P60" s="2">
        <f>I60-N60</f>
        <v/>
      </c>
      <c r="Q60" s="5">
        <f>IF(G60&gt;기준일,1,0)</f>
        <v/>
      </c>
      <c r="R60" s="5">
        <f>IF(G60&lt;=기준일,1,0)</f>
        <v/>
      </c>
      <c r="S60" s="2">
        <f>J60*H60</f>
        <v/>
      </c>
      <c r="T60" s="5">
        <f>IF(AND(F60&gt;=표본시작,F60&lt;=표본종료),1,0)</f>
        <v/>
      </c>
      <c r="U60" s="5">
        <f>IF(AND(G60&gt;=조회시작,G60&lt;=조회종료),1,0)</f>
        <v/>
      </c>
    </row>
    <row r="61">
      <c r="A61" s="2">
        <f>ROW()-1</f>
        <v/>
      </c>
      <c r="B61" s="5">
        <f>INDEX(상호범위,D61)</f>
        <v/>
      </c>
      <c r="C61" s="5">
        <f>INDEX(플랫폼명범위,E61)</f>
        <v/>
      </c>
      <c r="D61" s="2">
        <f>MOD(INT((A61-1)/4),8)+1</f>
        <v/>
      </c>
      <c r="E61" s="2">
        <f>MOD(A61-1,4)+1</f>
        <v/>
      </c>
      <c r="F61" s="20">
        <f>축시작+INT((A61-1)/32)</f>
        <v/>
      </c>
      <c r="G61" s="20">
        <f>F61+H61</f>
        <v/>
      </c>
      <c r="H61" s="5" t="n">
        <v>11</v>
      </c>
      <c r="I61" s="2">
        <f>ROUND(INDEX(가맹점!$P$2:$P$9,D61)*INDEX(가맹점!$J$2:$M$9,D61,E61),0)</f>
        <v/>
      </c>
      <c r="J61" s="2">
        <f>ROUND(I61*(1-할인율),0)</f>
        <v/>
      </c>
      <c r="K61" s="2">
        <f>ROUNDDOWN(I61*할인율,0)</f>
        <v/>
      </c>
      <c r="L61" s="2">
        <f>ROUND(I61*INDEX(미지급률범위,E61),0)</f>
        <v/>
      </c>
      <c r="M61" s="2">
        <f>ROUND(I61*INDEX(과지급률범위,E61),0)</f>
        <v/>
      </c>
      <c r="N61" s="2">
        <f>MAX(0,L61-M61)</f>
        <v/>
      </c>
      <c r="O61" s="2">
        <f>K61-N61</f>
        <v/>
      </c>
      <c r="P61" s="2">
        <f>I61-N61</f>
        <v/>
      </c>
      <c r="Q61" s="5">
        <f>IF(G61&gt;기준일,1,0)</f>
        <v/>
      </c>
      <c r="R61" s="5">
        <f>IF(G61&lt;=기준일,1,0)</f>
        <v/>
      </c>
      <c r="S61" s="2">
        <f>J61*H61</f>
        <v/>
      </c>
      <c r="T61" s="5">
        <f>IF(AND(F61&gt;=표본시작,F61&lt;=표본종료),1,0)</f>
        <v/>
      </c>
      <c r="U61" s="5">
        <f>IF(AND(G61&gt;=조회시작,G61&lt;=조회종료),1,0)</f>
        <v/>
      </c>
    </row>
    <row r="62">
      <c r="A62" s="2">
        <f>ROW()-1</f>
        <v/>
      </c>
      <c r="B62" s="5">
        <f>INDEX(상호범위,D62)</f>
        <v/>
      </c>
      <c r="C62" s="5">
        <f>INDEX(플랫폼명범위,E62)</f>
        <v/>
      </c>
      <c r="D62" s="2">
        <f>MOD(INT((A62-1)/4),8)+1</f>
        <v/>
      </c>
      <c r="E62" s="2">
        <f>MOD(A62-1,4)+1</f>
        <v/>
      </c>
      <c r="F62" s="20">
        <f>축시작+INT((A62-1)/32)</f>
        <v/>
      </c>
      <c r="G62" s="20">
        <f>F62+H62</f>
        <v/>
      </c>
      <c r="H62" s="5" t="n">
        <v>4</v>
      </c>
      <c r="I62" s="2">
        <f>ROUND(INDEX(가맹점!$P$2:$P$9,D62)*INDEX(가맹점!$J$2:$M$9,D62,E62),0)</f>
        <v/>
      </c>
      <c r="J62" s="2">
        <f>ROUND(I62*(1-할인율),0)</f>
        <v/>
      </c>
      <c r="K62" s="2">
        <f>ROUNDDOWN(I62*할인율,0)</f>
        <v/>
      </c>
      <c r="L62" s="2">
        <f>ROUND(I62*INDEX(미지급률범위,E62),0)</f>
        <v/>
      </c>
      <c r="M62" s="2">
        <f>ROUND(I62*INDEX(과지급률범위,E62),0)</f>
        <v/>
      </c>
      <c r="N62" s="2">
        <f>MAX(0,L62-M62)</f>
        <v/>
      </c>
      <c r="O62" s="2">
        <f>K62-N62</f>
        <v/>
      </c>
      <c r="P62" s="2">
        <f>I62-N62</f>
        <v/>
      </c>
      <c r="Q62" s="5">
        <f>IF(G62&gt;기준일,1,0)</f>
        <v/>
      </c>
      <c r="R62" s="5">
        <f>IF(G62&lt;=기준일,1,0)</f>
        <v/>
      </c>
      <c r="S62" s="2">
        <f>J62*H62</f>
        <v/>
      </c>
      <c r="T62" s="5">
        <f>IF(AND(F62&gt;=표본시작,F62&lt;=표본종료),1,0)</f>
        <v/>
      </c>
      <c r="U62" s="5">
        <f>IF(AND(G62&gt;=조회시작,G62&lt;=조회종료),1,0)</f>
        <v/>
      </c>
    </row>
    <row r="63">
      <c r="A63" s="2">
        <f>ROW()-1</f>
        <v/>
      </c>
      <c r="B63" s="5">
        <f>INDEX(상호범위,D63)</f>
        <v/>
      </c>
      <c r="C63" s="5">
        <f>INDEX(플랫폼명범위,E63)</f>
        <v/>
      </c>
      <c r="D63" s="2">
        <f>MOD(INT((A63-1)/4),8)+1</f>
        <v/>
      </c>
      <c r="E63" s="2">
        <f>MOD(A63-1,4)+1</f>
        <v/>
      </c>
      <c r="F63" s="20">
        <f>축시작+INT((A63-1)/32)</f>
        <v/>
      </c>
      <c r="G63" s="20">
        <f>F63+H63</f>
        <v/>
      </c>
      <c r="H63" s="5" t="n">
        <v>6</v>
      </c>
      <c r="I63" s="2">
        <f>ROUND(INDEX(가맹점!$P$2:$P$9,D63)*INDEX(가맹점!$J$2:$M$9,D63,E63),0)</f>
        <v/>
      </c>
      <c r="J63" s="2">
        <f>ROUND(I63*(1-할인율),0)</f>
        <v/>
      </c>
      <c r="K63" s="2">
        <f>ROUNDDOWN(I63*할인율,0)</f>
        <v/>
      </c>
      <c r="L63" s="2">
        <f>ROUND(I63*INDEX(미지급률범위,E63),0)</f>
        <v/>
      </c>
      <c r="M63" s="2">
        <f>ROUND(I63*INDEX(과지급률범위,E63),0)</f>
        <v/>
      </c>
      <c r="N63" s="2">
        <f>MAX(0,L63-M63)</f>
        <v/>
      </c>
      <c r="O63" s="2">
        <f>K63-N63</f>
        <v/>
      </c>
      <c r="P63" s="2">
        <f>I63-N63</f>
        <v/>
      </c>
      <c r="Q63" s="5">
        <f>IF(G63&gt;기준일,1,0)</f>
        <v/>
      </c>
      <c r="R63" s="5">
        <f>IF(G63&lt;=기준일,1,0)</f>
        <v/>
      </c>
      <c r="S63" s="2">
        <f>J63*H63</f>
        <v/>
      </c>
      <c r="T63" s="5">
        <f>IF(AND(F63&gt;=표본시작,F63&lt;=표본종료),1,0)</f>
        <v/>
      </c>
      <c r="U63" s="5">
        <f>IF(AND(G63&gt;=조회시작,G63&lt;=조회종료),1,0)</f>
        <v/>
      </c>
    </row>
    <row r="64">
      <c r="A64" s="2">
        <f>ROW()-1</f>
        <v/>
      </c>
      <c r="B64" s="5">
        <f>INDEX(상호범위,D64)</f>
        <v/>
      </c>
      <c r="C64" s="5">
        <f>INDEX(플랫폼명범위,E64)</f>
        <v/>
      </c>
      <c r="D64" s="2">
        <f>MOD(INT((A64-1)/4),8)+1</f>
        <v/>
      </c>
      <c r="E64" s="2">
        <f>MOD(A64-1,4)+1</f>
        <v/>
      </c>
      <c r="F64" s="20">
        <f>축시작+INT((A64-1)/32)</f>
        <v/>
      </c>
      <c r="G64" s="20">
        <f>F64+H64</f>
        <v/>
      </c>
      <c r="H64" s="5" t="n">
        <v>3</v>
      </c>
      <c r="I64" s="2">
        <f>ROUND(INDEX(가맹점!$P$2:$P$9,D64)*INDEX(가맹점!$J$2:$M$9,D64,E64),0)</f>
        <v/>
      </c>
      <c r="J64" s="2">
        <f>ROUND(I64*(1-할인율),0)</f>
        <v/>
      </c>
      <c r="K64" s="2">
        <f>ROUNDDOWN(I64*할인율,0)</f>
        <v/>
      </c>
      <c r="L64" s="2">
        <f>ROUND(I64*INDEX(미지급률범위,E64),0)</f>
        <v/>
      </c>
      <c r="M64" s="2">
        <f>ROUND(I64*INDEX(과지급률범위,E64),0)</f>
        <v/>
      </c>
      <c r="N64" s="2">
        <f>MAX(0,L64-M64)</f>
        <v/>
      </c>
      <c r="O64" s="2">
        <f>K64-N64</f>
        <v/>
      </c>
      <c r="P64" s="2">
        <f>I64-N64</f>
        <v/>
      </c>
      <c r="Q64" s="5">
        <f>IF(G64&gt;기준일,1,0)</f>
        <v/>
      </c>
      <c r="R64" s="5">
        <f>IF(G64&lt;=기준일,1,0)</f>
        <v/>
      </c>
      <c r="S64" s="2">
        <f>J64*H64</f>
        <v/>
      </c>
      <c r="T64" s="5">
        <f>IF(AND(F64&gt;=표본시작,F64&lt;=표본종료),1,0)</f>
        <v/>
      </c>
      <c r="U64" s="5">
        <f>IF(AND(G64&gt;=조회시작,G64&lt;=조회종료),1,0)</f>
        <v/>
      </c>
    </row>
    <row r="65">
      <c r="A65" s="2">
        <f>ROW()-1</f>
        <v/>
      </c>
      <c r="B65" s="5">
        <f>INDEX(상호범위,D65)</f>
        <v/>
      </c>
      <c r="C65" s="5">
        <f>INDEX(플랫폼명범위,E65)</f>
        <v/>
      </c>
      <c r="D65" s="2">
        <f>MOD(INT((A65-1)/4),8)+1</f>
        <v/>
      </c>
      <c r="E65" s="2">
        <f>MOD(A65-1,4)+1</f>
        <v/>
      </c>
      <c r="F65" s="20">
        <f>축시작+INT((A65-1)/32)</f>
        <v/>
      </c>
      <c r="G65" s="20">
        <f>F65+H65</f>
        <v/>
      </c>
      <c r="H65" s="5" t="n">
        <v>6</v>
      </c>
      <c r="I65" s="2">
        <f>ROUND(INDEX(가맹점!$P$2:$P$9,D65)*INDEX(가맹점!$J$2:$M$9,D65,E65),0)</f>
        <v/>
      </c>
      <c r="J65" s="2">
        <f>ROUND(I65*(1-할인율),0)</f>
        <v/>
      </c>
      <c r="K65" s="2">
        <f>ROUNDDOWN(I65*할인율,0)</f>
        <v/>
      </c>
      <c r="L65" s="2">
        <f>ROUND(I65*INDEX(미지급률범위,E65),0)</f>
        <v/>
      </c>
      <c r="M65" s="2">
        <f>ROUND(I65*INDEX(과지급률범위,E65),0)</f>
        <v/>
      </c>
      <c r="N65" s="2">
        <f>MAX(0,L65-M65)</f>
        <v/>
      </c>
      <c r="O65" s="2">
        <f>K65-N65</f>
        <v/>
      </c>
      <c r="P65" s="2">
        <f>I65-N65</f>
        <v/>
      </c>
      <c r="Q65" s="5">
        <f>IF(G65&gt;기준일,1,0)</f>
        <v/>
      </c>
      <c r="R65" s="5">
        <f>IF(G65&lt;=기준일,1,0)</f>
        <v/>
      </c>
      <c r="S65" s="2">
        <f>J65*H65</f>
        <v/>
      </c>
      <c r="T65" s="5">
        <f>IF(AND(F65&gt;=표본시작,F65&lt;=표본종료),1,0)</f>
        <v/>
      </c>
      <c r="U65" s="5">
        <f>IF(AND(G65&gt;=조회시작,G65&lt;=조회종료),1,0)</f>
        <v/>
      </c>
    </row>
    <row r="66">
      <c r="A66" s="2">
        <f>ROW()-1</f>
        <v/>
      </c>
      <c r="B66" s="5">
        <f>INDEX(상호범위,D66)</f>
        <v/>
      </c>
      <c r="C66" s="5">
        <f>INDEX(플랫폼명범위,E66)</f>
        <v/>
      </c>
      <c r="D66" s="2">
        <f>MOD(INT((A66-1)/4),8)+1</f>
        <v/>
      </c>
      <c r="E66" s="2">
        <f>MOD(A66-1,4)+1</f>
        <v/>
      </c>
      <c r="F66" s="20">
        <f>축시작+INT((A66-1)/32)</f>
        <v/>
      </c>
      <c r="G66" s="20">
        <f>F66+H66</f>
        <v/>
      </c>
      <c r="H66" s="5" t="n">
        <v>1</v>
      </c>
      <c r="I66" s="2">
        <f>ROUND(INDEX(가맹점!$P$2:$P$9,D66)*INDEX(가맹점!$J$2:$M$9,D66,E66),0)</f>
        <v/>
      </c>
      <c r="J66" s="2">
        <f>ROUND(I66*(1-할인율),0)</f>
        <v/>
      </c>
      <c r="K66" s="2">
        <f>ROUNDDOWN(I66*할인율,0)</f>
        <v/>
      </c>
      <c r="L66" s="2">
        <f>ROUND(I66*INDEX(미지급률범위,E66),0)</f>
        <v/>
      </c>
      <c r="M66" s="2">
        <f>ROUND(I66*INDEX(과지급률범위,E66),0)</f>
        <v/>
      </c>
      <c r="N66" s="2">
        <f>MAX(0,L66-M66)</f>
        <v/>
      </c>
      <c r="O66" s="2">
        <f>K66-N66</f>
        <v/>
      </c>
      <c r="P66" s="2">
        <f>I66-N66</f>
        <v/>
      </c>
      <c r="Q66" s="5">
        <f>IF(G66&gt;기준일,1,0)</f>
        <v/>
      </c>
      <c r="R66" s="5">
        <f>IF(G66&lt;=기준일,1,0)</f>
        <v/>
      </c>
      <c r="S66" s="2">
        <f>J66*H66</f>
        <v/>
      </c>
      <c r="T66" s="5">
        <f>IF(AND(F66&gt;=표본시작,F66&lt;=표본종료),1,0)</f>
        <v/>
      </c>
      <c r="U66" s="5">
        <f>IF(AND(G66&gt;=조회시작,G66&lt;=조회종료),1,0)</f>
        <v/>
      </c>
    </row>
    <row r="67">
      <c r="A67" s="2">
        <f>ROW()-1</f>
        <v/>
      </c>
      <c r="B67" s="5">
        <f>INDEX(상호범위,D67)</f>
        <v/>
      </c>
      <c r="C67" s="5">
        <f>INDEX(플랫폼명범위,E67)</f>
        <v/>
      </c>
      <c r="D67" s="2">
        <f>MOD(INT((A67-1)/4),8)+1</f>
        <v/>
      </c>
      <c r="E67" s="2">
        <f>MOD(A67-1,4)+1</f>
        <v/>
      </c>
      <c r="F67" s="20">
        <f>축시작+INT((A67-1)/32)</f>
        <v/>
      </c>
      <c r="G67" s="20">
        <f>F67+H67</f>
        <v/>
      </c>
      <c r="H67" s="5" t="n">
        <v>2</v>
      </c>
      <c r="I67" s="2">
        <f>ROUND(INDEX(가맹점!$P$2:$P$9,D67)*INDEX(가맹점!$J$2:$M$9,D67,E67),0)</f>
        <v/>
      </c>
      <c r="J67" s="2">
        <f>ROUND(I67*(1-할인율),0)</f>
        <v/>
      </c>
      <c r="K67" s="2">
        <f>ROUNDDOWN(I67*할인율,0)</f>
        <v/>
      </c>
      <c r="L67" s="2">
        <f>ROUND(I67*INDEX(미지급률범위,E67),0)</f>
        <v/>
      </c>
      <c r="M67" s="2">
        <f>ROUND(I67*INDEX(과지급률범위,E67),0)</f>
        <v/>
      </c>
      <c r="N67" s="2">
        <f>MAX(0,L67-M67)</f>
        <v/>
      </c>
      <c r="O67" s="2">
        <f>K67-N67</f>
        <v/>
      </c>
      <c r="P67" s="2">
        <f>I67-N67</f>
        <v/>
      </c>
      <c r="Q67" s="5">
        <f>IF(G67&gt;기준일,1,0)</f>
        <v/>
      </c>
      <c r="R67" s="5">
        <f>IF(G67&lt;=기준일,1,0)</f>
        <v/>
      </c>
      <c r="S67" s="2">
        <f>J67*H67</f>
        <v/>
      </c>
      <c r="T67" s="5">
        <f>IF(AND(F67&gt;=표본시작,F67&lt;=표본종료),1,0)</f>
        <v/>
      </c>
      <c r="U67" s="5">
        <f>IF(AND(G67&gt;=조회시작,G67&lt;=조회종료),1,0)</f>
        <v/>
      </c>
    </row>
    <row r="68">
      <c r="A68" s="2">
        <f>ROW()-1</f>
        <v/>
      </c>
      <c r="B68" s="5">
        <f>INDEX(상호범위,D68)</f>
        <v/>
      </c>
      <c r="C68" s="5">
        <f>INDEX(플랫폼명범위,E68)</f>
        <v/>
      </c>
      <c r="D68" s="2">
        <f>MOD(INT((A68-1)/4),8)+1</f>
        <v/>
      </c>
      <c r="E68" s="2">
        <f>MOD(A68-1,4)+1</f>
        <v/>
      </c>
      <c r="F68" s="20">
        <f>축시작+INT((A68-1)/32)</f>
        <v/>
      </c>
      <c r="G68" s="20">
        <f>F68+H68</f>
        <v/>
      </c>
      <c r="H68" s="5" t="n">
        <v>5</v>
      </c>
      <c r="I68" s="2">
        <f>ROUND(INDEX(가맹점!$P$2:$P$9,D68)*INDEX(가맹점!$J$2:$M$9,D68,E68),0)</f>
        <v/>
      </c>
      <c r="J68" s="2">
        <f>ROUND(I68*(1-할인율),0)</f>
        <v/>
      </c>
      <c r="K68" s="2">
        <f>ROUNDDOWN(I68*할인율,0)</f>
        <v/>
      </c>
      <c r="L68" s="2">
        <f>ROUND(I68*INDEX(미지급률범위,E68),0)</f>
        <v/>
      </c>
      <c r="M68" s="2">
        <f>ROUND(I68*INDEX(과지급률범위,E68),0)</f>
        <v/>
      </c>
      <c r="N68" s="2">
        <f>MAX(0,L68-M68)</f>
        <v/>
      </c>
      <c r="O68" s="2">
        <f>K68-N68</f>
        <v/>
      </c>
      <c r="P68" s="2">
        <f>I68-N68</f>
        <v/>
      </c>
      <c r="Q68" s="5">
        <f>IF(G68&gt;기준일,1,0)</f>
        <v/>
      </c>
      <c r="R68" s="5">
        <f>IF(G68&lt;=기준일,1,0)</f>
        <v/>
      </c>
      <c r="S68" s="2">
        <f>J68*H68</f>
        <v/>
      </c>
      <c r="T68" s="5">
        <f>IF(AND(F68&gt;=표본시작,F68&lt;=표본종료),1,0)</f>
        <v/>
      </c>
      <c r="U68" s="5">
        <f>IF(AND(G68&gt;=조회시작,G68&lt;=조회종료),1,0)</f>
        <v/>
      </c>
    </row>
    <row r="69">
      <c r="A69" s="2">
        <f>ROW()-1</f>
        <v/>
      </c>
      <c r="B69" s="5">
        <f>INDEX(상호범위,D69)</f>
        <v/>
      </c>
      <c r="C69" s="5">
        <f>INDEX(플랫폼명범위,E69)</f>
        <v/>
      </c>
      <c r="D69" s="2">
        <f>MOD(INT((A69-1)/4),8)+1</f>
        <v/>
      </c>
      <c r="E69" s="2">
        <f>MOD(A69-1,4)+1</f>
        <v/>
      </c>
      <c r="F69" s="20">
        <f>축시작+INT((A69-1)/32)</f>
        <v/>
      </c>
      <c r="G69" s="20">
        <f>F69+H69</f>
        <v/>
      </c>
      <c r="H69" s="5" t="n">
        <v>6</v>
      </c>
      <c r="I69" s="2">
        <f>ROUND(INDEX(가맹점!$P$2:$P$9,D69)*INDEX(가맹점!$J$2:$M$9,D69,E69),0)</f>
        <v/>
      </c>
      <c r="J69" s="2">
        <f>ROUND(I69*(1-할인율),0)</f>
        <v/>
      </c>
      <c r="K69" s="2">
        <f>ROUNDDOWN(I69*할인율,0)</f>
        <v/>
      </c>
      <c r="L69" s="2">
        <f>ROUND(I69*INDEX(미지급률범위,E69),0)</f>
        <v/>
      </c>
      <c r="M69" s="2">
        <f>ROUND(I69*INDEX(과지급률범위,E69),0)</f>
        <v/>
      </c>
      <c r="N69" s="2">
        <f>MAX(0,L69-M69)</f>
        <v/>
      </c>
      <c r="O69" s="2">
        <f>K69-N69</f>
        <v/>
      </c>
      <c r="P69" s="2">
        <f>I69-N69</f>
        <v/>
      </c>
      <c r="Q69" s="5">
        <f>IF(G69&gt;기준일,1,0)</f>
        <v/>
      </c>
      <c r="R69" s="5">
        <f>IF(G69&lt;=기준일,1,0)</f>
        <v/>
      </c>
      <c r="S69" s="2">
        <f>J69*H69</f>
        <v/>
      </c>
      <c r="T69" s="5">
        <f>IF(AND(F69&gt;=표본시작,F69&lt;=표본종료),1,0)</f>
        <v/>
      </c>
      <c r="U69" s="5">
        <f>IF(AND(G69&gt;=조회시작,G69&lt;=조회종료),1,0)</f>
        <v/>
      </c>
    </row>
    <row r="70">
      <c r="A70" s="2">
        <f>ROW()-1</f>
        <v/>
      </c>
      <c r="B70" s="5">
        <f>INDEX(상호범위,D70)</f>
        <v/>
      </c>
      <c r="C70" s="5">
        <f>INDEX(플랫폼명범위,E70)</f>
        <v/>
      </c>
      <c r="D70" s="2">
        <f>MOD(INT((A70-1)/4),8)+1</f>
        <v/>
      </c>
      <c r="E70" s="2">
        <f>MOD(A70-1,4)+1</f>
        <v/>
      </c>
      <c r="F70" s="20">
        <f>축시작+INT((A70-1)/32)</f>
        <v/>
      </c>
      <c r="G70" s="20">
        <f>F70+H70</f>
        <v/>
      </c>
      <c r="H70" s="5" t="n">
        <v>2</v>
      </c>
      <c r="I70" s="2">
        <f>ROUND(INDEX(가맹점!$P$2:$P$9,D70)*INDEX(가맹점!$J$2:$M$9,D70,E70),0)</f>
        <v/>
      </c>
      <c r="J70" s="2">
        <f>ROUND(I70*(1-할인율),0)</f>
        <v/>
      </c>
      <c r="K70" s="2">
        <f>ROUNDDOWN(I70*할인율,0)</f>
        <v/>
      </c>
      <c r="L70" s="2">
        <f>ROUND(I70*INDEX(미지급률범위,E70),0)</f>
        <v/>
      </c>
      <c r="M70" s="2">
        <f>ROUND(I70*INDEX(과지급률범위,E70),0)</f>
        <v/>
      </c>
      <c r="N70" s="2">
        <f>MAX(0,L70-M70)</f>
        <v/>
      </c>
      <c r="O70" s="2">
        <f>K70-N70</f>
        <v/>
      </c>
      <c r="P70" s="2">
        <f>I70-N70</f>
        <v/>
      </c>
      <c r="Q70" s="5">
        <f>IF(G70&gt;기준일,1,0)</f>
        <v/>
      </c>
      <c r="R70" s="5">
        <f>IF(G70&lt;=기준일,1,0)</f>
        <v/>
      </c>
      <c r="S70" s="2">
        <f>J70*H70</f>
        <v/>
      </c>
      <c r="T70" s="5">
        <f>IF(AND(F70&gt;=표본시작,F70&lt;=표본종료),1,0)</f>
        <v/>
      </c>
      <c r="U70" s="5">
        <f>IF(AND(G70&gt;=조회시작,G70&lt;=조회종료),1,0)</f>
        <v/>
      </c>
    </row>
    <row r="71">
      <c r="A71" s="2">
        <f>ROW()-1</f>
        <v/>
      </c>
      <c r="B71" s="5">
        <f>INDEX(상호범위,D71)</f>
        <v/>
      </c>
      <c r="C71" s="5">
        <f>INDEX(플랫폼명범위,E71)</f>
        <v/>
      </c>
      <c r="D71" s="2">
        <f>MOD(INT((A71-1)/4),8)+1</f>
        <v/>
      </c>
      <c r="E71" s="2">
        <f>MOD(A71-1,4)+1</f>
        <v/>
      </c>
      <c r="F71" s="20">
        <f>축시작+INT((A71-1)/32)</f>
        <v/>
      </c>
      <c r="G71" s="20">
        <f>F71+H71</f>
        <v/>
      </c>
      <c r="H71" s="5" t="n">
        <v>2</v>
      </c>
      <c r="I71" s="2">
        <f>ROUND(INDEX(가맹점!$P$2:$P$9,D71)*INDEX(가맹점!$J$2:$M$9,D71,E71),0)</f>
        <v/>
      </c>
      <c r="J71" s="2">
        <f>ROUND(I71*(1-할인율),0)</f>
        <v/>
      </c>
      <c r="K71" s="2">
        <f>ROUNDDOWN(I71*할인율,0)</f>
        <v/>
      </c>
      <c r="L71" s="2">
        <f>ROUND(I71*INDEX(미지급률범위,E71),0)</f>
        <v/>
      </c>
      <c r="M71" s="2">
        <f>ROUND(I71*INDEX(과지급률범위,E71),0)</f>
        <v/>
      </c>
      <c r="N71" s="2">
        <f>MAX(0,L71-M71)</f>
        <v/>
      </c>
      <c r="O71" s="2">
        <f>K71-N71</f>
        <v/>
      </c>
      <c r="P71" s="2">
        <f>I71-N71</f>
        <v/>
      </c>
      <c r="Q71" s="5">
        <f>IF(G71&gt;기준일,1,0)</f>
        <v/>
      </c>
      <c r="R71" s="5">
        <f>IF(G71&lt;=기준일,1,0)</f>
        <v/>
      </c>
      <c r="S71" s="2">
        <f>J71*H71</f>
        <v/>
      </c>
      <c r="T71" s="5">
        <f>IF(AND(F71&gt;=표본시작,F71&lt;=표본종료),1,0)</f>
        <v/>
      </c>
      <c r="U71" s="5">
        <f>IF(AND(G71&gt;=조회시작,G71&lt;=조회종료),1,0)</f>
        <v/>
      </c>
    </row>
    <row r="72">
      <c r="A72" s="2">
        <f>ROW()-1</f>
        <v/>
      </c>
      <c r="B72" s="5">
        <f>INDEX(상호범위,D72)</f>
        <v/>
      </c>
      <c r="C72" s="5">
        <f>INDEX(플랫폼명범위,E72)</f>
        <v/>
      </c>
      <c r="D72" s="2">
        <f>MOD(INT((A72-1)/4),8)+1</f>
        <v/>
      </c>
      <c r="E72" s="2">
        <f>MOD(A72-1,4)+1</f>
        <v/>
      </c>
      <c r="F72" s="20">
        <f>축시작+INT((A72-1)/32)</f>
        <v/>
      </c>
      <c r="G72" s="20">
        <f>F72+H72</f>
        <v/>
      </c>
      <c r="H72" s="5" t="n">
        <v>5</v>
      </c>
      <c r="I72" s="2">
        <f>ROUND(INDEX(가맹점!$P$2:$P$9,D72)*INDEX(가맹점!$J$2:$M$9,D72,E72),0)</f>
        <v/>
      </c>
      <c r="J72" s="2">
        <f>ROUND(I72*(1-할인율),0)</f>
        <v/>
      </c>
      <c r="K72" s="2">
        <f>ROUNDDOWN(I72*할인율,0)</f>
        <v/>
      </c>
      <c r="L72" s="2">
        <f>ROUND(I72*INDEX(미지급률범위,E72),0)</f>
        <v/>
      </c>
      <c r="M72" s="2">
        <f>ROUND(I72*INDEX(과지급률범위,E72),0)</f>
        <v/>
      </c>
      <c r="N72" s="2">
        <f>MAX(0,L72-M72)</f>
        <v/>
      </c>
      <c r="O72" s="2">
        <f>K72-N72</f>
        <v/>
      </c>
      <c r="P72" s="2">
        <f>I72-N72</f>
        <v/>
      </c>
      <c r="Q72" s="5">
        <f>IF(G72&gt;기준일,1,0)</f>
        <v/>
      </c>
      <c r="R72" s="5">
        <f>IF(G72&lt;=기준일,1,0)</f>
        <v/>
      </c>
      <c r="S72" s="2">
        <f>J72*H72</f>
        <v/>
      </c>
      <c r="T72" s="5">
        <f>IF(AND(F72&gt;=표본시작,F72&lt;=표본종료),1,0)</f>
        <v/>
      </c>
      <c r="U72" s="5">
        <f>IF(AND(G72&gt;=조회시작,G72&lt;=조회종료),1,0)</f>
        <v/>
      </c>
    </row>
    <row r="73">
      <c r="A73" s="2">
        <f>ROW()-1</f>
        <v/>
      </c>
      <c r="B73" s="5">
        <f>INDEX(상호범위,D73)</f>
        <v/>
      </c>
      <c r="C73" s="5">
        <f>INDEX(플랫폼명범위,E73)</f>
        <v/>
      </c>
      <c r="D73" s="2">
        <f>MOD(INT((A73-1)/4),8)+1</f>
        <v/>
      </c>
      <c r="E73" s="2">
        <f>MOD(A73-1,4)+1</f>
        <v/>
      </c>
      <c r="F73" s="20">
        <f>축시작+INT((A73-1)/32)</f>
        <v/>
      </c>
      <c r="G73" s="20">
        <f>F73+H73</f>
        <v/>
      </c>
      <c r="H73" s="5" t="n">
        <v>6</v>
      </c>
      <c r="I73" s="2">
        <f>ROUND(INDEX(가맹점!$P$2:$P$9,D73)*INDEX(가맹점!$J$2:$M$9,D73,E73),0)</f>
        <v/>
      </c>
      <c r="J73" s="2">
        <f>ROUND(I73*(1-할인율),0)</f>
        <v/>
      </c>
      <c r="K73" s="2">
        <f>ROUNDDOWN(I73*할인율,0)</f>
        <v/>
      </c>
      <c r="L73" s="2">
        <f>ROUND(I73*INDEX(미지급률범위,E73),0)</f>
        <v/>
      </c>
      <c r="M73" s="2">
        <f>ROUND(I73*INDEX(과지급률범위,E73),0)</f>
        <v/>
      </c>
      <c r="N73" s="2">
        <f>MAX(0,L73-M73)</f>
        <v/>
      </c>
      <c r="O73" s="2">
        <f>K73-N73</f>
        <v/>
      </c>
      <c r="P73" s="2">
        <f>I73-N73</f>
        <v/>
      </c>
      <c r="Q73" s="5">
        <f>IF(G73&gt;기준일,1,0)</f>
        <v/>
      </c>
      <c r="R73" s="5">
        <f>IF(G73&lt;=기준일,1,0)</f>
        <v/>
      </c>
      <c r="S73" s="2">
        <f>J73*H73</f>
        <v/>
      </c>
      <c r="T73" s="5">
        <f>IF(AND(F73&gt;=표본시작,F73&lt;=표본종료),1,0)</f>
        <v/>
      </c>
      <c r="U73" s="5">
        <f>IF(AND(G73&gt;=조회시작,G73&lt;=조회종료),1,0)</f>
        <v/>
      </c>
    </row>
    <row r="74">
      <c r="A74" s="2">
        <f>ROW()-1</f>
        <v/>
      </c>
      <c r="B74" s="5">
        <f>INDEX(상호범위,D74)</f>
        <v/>
      </c>
      <c r="C74" s="5">
        <f>INDEX(플랫폼명범위,E74)</f>
        <v/>
      </c>
      <c r="D74" s="2">
        <f>MOD(INT((A74-1)/4),8)+1</f>
        <v/>
      </c>
      <c r="E74" s="2">
        <f>MOD(A74-1,4)+1</f>
        <v/>
      </c>
      <c r="F74" s="20">
        <f>축시작+INT((A74-1)/32)</f>
        <v/>
      </c>
      <c r="G74" s="20">
        <f>F74+H74</f>
        <v/>
      </c>
      <c r="H74" s="5" t="n">
        <v>7</v>
      </c>
      <c r="I74" s="2">
        <f>ROUND(INDEX(가맹점!$P$2:$P$9,D74)*INDEX(가맹점!$J$2:$M$9,D74,E74),0)</f>
        <v/>
      </c>
      <c r="J74" s="2">
        <f>ROUND(I74*(1-할인율),0)</f>
        <v/>
      </c>
      <c r="K74" s="2">
        <f>ROUNDDOWN(I74*할인율,0)</f>
        <v/>
      </c>
      <c r="L74" s="2">
        <f>ROUND(I74*INDEX(미지급률범위,E74),0)</f>
        <v/>
      </c>
      <c r="M74" s="2">
        <f>ROUND(I74*INDEX(과지급률범위,E74),0)</f>
        <v/>
      </c>
      <c r="N74" s="2">
        <f>MAX(0,L74-M74)</f>
        <v/>
      </c>
      <c r="O74" s="2">
        <f>K74-N74</f>
        <v/>
      </c>
      <c r="P74" s="2">
        <f>I74-N74</f>
        <v/>
      </c>
      <c r="Q74" s="5">
        <f>IF(G74&gt;기준일,1,0)</f>
        <v/>
      </c>
      <c r="R74" s="5">
        <f>IF(G74&lt;=기준일,1,0)</f>
        <v/>
      </c>
      <c r="S74" s="2">
        <f>J74*H74</f>
        <v/>
      </c>
      <c r="T74" s="5">
        <f>IF(AND(F74&gt;=표본시작,F74&lt;=표본종료),1,0)</f>
        <v/>
      </c>
      <c r="U74" s="5">
        <f>IF(AND(G74&gt;=조회시작,G74&lt;=조회종료),1,0)</f>
        <v/>
      </c>
    </row>
    <row r="75">
      <c r="A75" s="2">
        <f>ROW()-1</f>
        <v/>
      </c>
      <c r="B75" s="5">
        <f>INDEX(상호범위,D75)</f>
        <v/>
      </c>
      <c r="C75" s="5">
        <f>INDEX(플랫폼명범위,E75)</f>
        <v/>
      </c>
      <c r="D75" s="2">
        <f>MOD(INT((A75-1)/4),8)+1</f>
        <v/>
      </c>
      <c r="E75" s="2">
        <f>MOD(A75-1,4)+1</f>
        <v/>
      </c>
      <c r="F75" s="20">
        <f>축시작+INT((A75-1)/32)</f>
        <v/>
      </c>
      <c r="G75" s="20">
        <f>F75+H75</f>
        <v/>
      </c>
      <c r="H75" s="5" t="n">
        <v>2</v>
      </c>
      <c r="I75" s="2">
        <f>ROUND(INDEX(가맹점!$P$2:$P$9,D75)*INDEX(가맹점!$J$2:$M$9,D75,E75),0)</f>
        <v/>
      </c>
      <c r="J75" s="2">
        <f>ROUND(I75*(1-할인율),0)</f>
        <v/>
      </c>
      <c r="K75" s="2">
        <f>ROUNDDOWN(I75*할인율,0)</f>
        <v/>
      </c>
      <c r="L75" s="2">
        <f>ROUND(I75*INDEX(미지급률범위,E75),0)</f>
        <v/>
      </c>
      <c r="M75" s="2">
        <f>ROUND(I75*INDEX(과지급률범위,E75),0)</f>
        <v/>
      </c>
      <c r="N75" s="2">
        <f>MAX(0,L75-M75)</f>
        <v/>
      </c>
      <c r="O75" s="2">
        <f>K75-N75</f>
        <v/>
      </c>
      <c r="P75" s="2">
        <f>I75-N75</f>
        <v/>
      </c>
      <c r="Q75" s="5">
        <f>IF(G75&gt;기준일,1,0)</f>
        <v/>
      </c>
      <c r="R75" s="5">
        <f>IF(G75&lt;=기준일,1,0)</f>
        <v/>
      </c>
      <c r="S75" s="2">
        <f>J75*H75</f>
        <v/>
      </c>
      <c r="T75" s="5">
        <f>IF(AND(F75&gt;=표본시작,F75&lt;=표본종료),1,0)</f>
        <v/>
      </c>
      <c r="U75" s="5">
        <f>IF(AND(G75&gt;=조회시작,G75&lt;=조회종료),1,0)</f>
        <v/>
      </c>
    </row>
    <row r="76">
      <c r="A76" s="2">
        <f>ROW()-1</f>
        <v/>
      </c>
      <c r="B76" s="5">
        <f>INDEX(상호범위,D76)</f>
        <v/>
      </c>
      <c r="C76" s="5">
        <f>INDEX(플랫폼명범위,E76)</f>
        <v/>
      </c>
      <c r="D76" s="2">
        <f>MOD(INT((A76-1)/4),8)+1</f>
        <v/>
      </c>
      <c r="E76" s="2">
        <f>MOD(A76-1,4)+1</f>
        <v/>
      </c>
      <c r="F76" s="20">
        <f>축시작+INT((A76-1)/32)</f>
        <v/>
      </c>
      <c r="G76" s="20">
        <f>F76+H76</f>
        <v/>
      </c>
      <c r="H76" s="5" t="n">
        <v>5</v>
      </c>
      <c r="I76" s="2">
        <f>ROUND(INDEX(가맹점!$P$2:$P$9,D76)*INDEX(가맹점!$J$2:$M$9,D76,E76),0)</f>
        <v/>
      </c>
      <c r="J76" s="2">
        <f>ROUND(I76*(1-할인율),0)</f>
        <v/>
      </c>
      <c r="K76" s="2">
        <f>ROUNDDOWN(I76*할인율,0)</f>
        <v/>
      </c>
      <c r="L76" s="2">
        <f>ROUND(I76*INDEX(미지급률범위,E76),0)</f>
        <v/>
      </c>
      <c r="M76" s="2">
        <f>ROUND(I76*INDEX(과지급률범위,E76),0)</f>
        <v/>
      </c>
      <c r="N76" s="2">
        <f>MAX(0,L76-M76)</f>
        <v/>
      </c>
      <c r="O76" s="2">
        <f>K76-N76</f>
        <v/>
      </c>
      <c r="P76" s="2">
        <f>I76-N76</f>
        <v/>
      </c>
      <c r="Q76" s="5">
        <f>IF(G76&gt;기준일,1,0)</f>
        <v/>
      </c>
      <c r="R76" s="5">
        <f>IF(G76&lt;=기준일,1,0)</f>
        <v/>
      </c>
      <c r="S76" s="2">
        <f>J76*H76</f>
        <v/>
      </c>
      <c r="T76" s="5">
        <f>IF(AND(F76&gt;=표본시작,F76&lt;=표본종료),1,0)</f>
        <v/>
      </c>
      <c r="U76" s="5">
        <f>IF(AND(G76&gt;=조회시작,G76&lt;=조회종료),1,0)</f>
        <v/>
      </c>
    </row>
    <row r="77">
      <c r="A77" s="2">
        <f>ROW()-1</f>
        <v/>
      </c>
      <c r="B77" s="5">
        <f>INDEX(상호범위,D77)</f>
        <v/>
      </c>
      <c r="C77" s="5">
        <f>INDEX(플랫폼명범위,E77)</f>
        <v/>
      </c>
      <c r="D77" s="2">
        <f>MOD(INT((A77-1)/4),8)+1</f>
        <v/>
      </c>
      <c r="E77" s="2">
        <f>MOD(A77-1,4)+1</f>
        <v/>
      </c>
      <c r="F77" s="20">
        <f>축시작+INT((A77-1)/32)</f>
        <v/>
      </c>
      <c r="G77" s="20">
        <f>F77+H77</f>
        <v/>
      </c>
      <c r="H77" s="5" t="n">
        <v>10</v>
      </c>
      <c r="I77" s="2">
        <f>ROUND(INDEX(가맹점!$P$2:$P$9,D77)*INDEX(가맹점!$J$2:$M$9,D77,E77),0)</f>
        <v/>
      </c>
      <c r="J77" s="2">
        <f>ROUND(I77*(1-할인율),0)</f>
        <v/>
      </c>
      <c r="K77" s="2">
        <f>ROUNDDOWN(I77*할인율,0)</f>
        <v/>
      </c>
      <c r="L77" s="2">
        <f>ROUND(I77*INDEX(미지급률범위,E77),0)</f>
        <v/>
      </c>
      <c r="M77" s="2">
        <f>ROUND(I77*INDEX(과지급률범위,E77),0)</f>
        <v/>
      </c>
      <c r="N77" s="2">
        <f>MAX(0,L77-M77)</f>
        <v/>
      </c>
      <c r="O77" s="2">
        <f>K77-N77</f>
        <v/>
      </c>
      <c r="P77" s="2">
        <f>I77-N77</f>
        <v/>
      </c>
      <c r="Q77" s="5">
        <f>IF(G77&gt;기준일,1,0)</f>
        <v/>
      </c>
      <c r="R77" s="5">
        <f>IF(G77&lt;=기준일,1,0)</f>
        <v/>
      </c>
      <c r="S77" s="2">
        <f>J77*H77</f>
        <v/>
      </c>
      <c r="T77" s="5">
        <f>IF(AND(F77&gt;=표본시작,F77&lt;=표본종료),1,0)</f>
        <v/>
      </c>
      <c r="U77" s="5">
        <f>IF(AND(G77&gt;=조회시작,G77&lt;=조회종료),1,0)</f>
        <v/>
      </c>
    </row>
    <row r="78">
      <c r="A78" s="2">
        <f>ROW()-1</f>
        <v/>
      </c>
      <c r="B78" s="5">
        <f>INDEX(상호범위,D78)</f>
        <v/>
      </c>
      <c r="C78" s="5">
        <f>INDEX(플랫폼명범위,E78)</f>
        <v/>
      </c>
      <c r="D78" s="2">
        <f>MOD(INT((A78-1)/4),8)+1</f>
        <v/>
      </c>
      <c r="E78" s="2">
        <f>MOD(A78-1,4)+1</f>
        <v/>
      </c>
      <c r="F78" s="20">
        <f>축시작+INT((A78-1)/32)</f>
        <v/>
      </c>
      <c r="G78" s="20">
        <f>F78+H78</f>
        <v/>
      </c>
      <c r="H78" s="5" t="n">
        <v>7</v>
      </c>
      <c r="I78" s="2">
        <f>ROUND(INDEX(가맹점!$P$2:$P$9,D78)*INDEX(가맹점!$J$2:$M$9,D78,E78),0)</f>
        <v/>
      </c>
      <c r="J78" s="2">
        <f>ROUND(I78*(1-할인율),0)</f>
        <v/>
      </c>
      <c r="K78" s="2">
        <f>ROUNDDOWN(I78*할인율,0)</f>
        <v/>
      </c>
      <c r="L78" s="2">
        <f>ROUND(I78*INDEX(미지급률범위,E78),0)</f>
        <v/>
      </c>
      <c r="M78" s="2">
        <f>ROUND(I78*INDEX(과지급률범위,E78),0)</f>
        <v/>
      </c>
      <c r="N78" s="2">
        <f>MAX(0,L78-M78)</f>
        <v/>
      </c>
      <c r="O78" s="2">
        <f>K78-N78</f>
        <v/>
      </c>
      <c r="P78" s="2">
        <f>I78-N78</f>
        <v/>
      </c>
      <c r="Q78" s="5">
        <f>IF(G78&gt;기준일,1,0)</f>
        <v/>
      </c>
      <c r="R78" s="5">
        <f>IF(G78&lt;=기준일,1,0)</f>
        <v/>
      </c>
      <c r="S78" s="2">
        <f>J78*H78</f>
        <v/>
      </c>
      <c r="T78" s="5">
        <f>IF(AND(F78&gt;=표본시작,F78&lt;=표본종료),1,0)</f>
        <v/>
      </c>
      <c r="U78" s="5">
        <f>IF(AND(G78&gt;=조회시작,G78&lt;=조회종료),1,0)</f>
        <v/>
      </c>
    </row>
    <row r="79">
      <c r="A79" s="2">
        <f>ROW()-1</f>
        <v/>
      </c>
      <c r="B79" s="5">
        <f>INDEX(상호범위,D79)</f>
        <v/>
      </c>
      <c r="C79" s="5">
        <f>INDEX(플랫폼명범위,E79)</f>
        <v/>
      </c>
      <c r="D79" s="2">
        <f>MOD(INT((A79-1)/4),8)+1</f>
        <v/>
      </c>
      <c r="E79" s="2">
        <f>MOD(A79-1,4)+1</f>
        <v/>
      </c>
      <c r="F79" s="20">
        <f>축시작+INT((A79-1)/32)</f>
        <v/>
      </c>
      <c r="G79" s="20">
        <f>F79+H79</f>
        <v/>
      </c>
      <c r="H79" s="5" t="n">
        <v>5</v>
      </c>
      <c r="I79" s="2">
        <f>ROUND(INDEX(가맹점!$P$2:$P$9,D79)*INDEX(가맹점!$J$2:$M$9,D79,E79),0)</f>
        <v/>
      </c>
      <c r="J79" s="2">
        <f>ROUND(I79*(1-할인율),0)</f>
        <v/>
      </c>
      <c r="K79" s="2">
        <f>ROUNDDOWN(I79*할인율,0)</f>
        <v/>
      </c>
      <c r="L79" s="2">
        <f>ROUND(I79*INDEX(미지급률범위,E79),0)</f>
        <v/>
      </c>
      <c r="M79" s="2">
        <f>ROUND(I79*INDEX(과지급률범위,E79),0)</f>
        <v/>
      </c>
      <c r="N79" s="2">
        <f>MAX(0,L79-M79)</f>
        <v/>
      </c>
      <c r="O79" s="2">
        <f>K79-N79</f>
        <v/>
      </c>
      <c r="P79" s="2">
        <f>I79-N79</f>
        <v/>
      </c>
      <c r="Q79" s="5">
        <f>IF(G79&gt;기준일,1,0)</f>
        <v/>
      </c>
      <c r="R79" s="5">
        <f>IF(G79&lt;=기준일,1,0)</f>
        <v/>
      </c>
      <c r="S79" s="2">
        <f>J79*H79</f>
        <v/>
      </c>
      <c r="T79" s="5">
        <f>IF(AND(F79&gt;=표본시작,F79&lt;=표본종료),1,0)</f>
        <v/>
      </c>
      <c r="U79" s="5">
        <f>IF(AND(G79&gt;=조회시작,G79&lt;=조회종료),1,0)</f>
        <v/>
      </c>
    </row>
    <row r="80">
      <c r="A80" s="2">
        <f>ROW()-1</f>
        <v/>
      </c>
      <c r="B80" s="5">
        <f>INDEX(상호범위,D80)</f>
        <v/>
      </c>
      <c r="C80" s="5">
        <f>INDEX(플랫폼명범위,E80)</f>
        <v/>
      </c>
      <c r="D80" s="2">
        <f>MOD(INT((A80-1)/4),8)+1</f>
        <v/>
      </c>
      <c r="E80" s="2">
        <f>MOD(A80-1,4)+1</f>
        <v/>
      </c>
      <c r="F80" s="20">
        <f>축시작+INT((A80-1)/32)</f>
        <v/>
      </c>
      <c r="G80" s="20">
        <f>F80+H80</f>
        <v/>
      </c>
      <c r="H80" s="5" t="n">
        <v>9</v>
      </c>
      <c r="I80" s="2">
        <f>ROUND(INDEX(가맹점!$P$2:$P$9,D80)*INDEX(가맹점!$J$2:$M$9,D80,E80),0)</f>
        <v/>
      </c>
      <c r="J80" s="2">
        <f>ROUND(I80*(1-할인율),0)</f>
        <v/>
      </c>
      <c r="K80" s="2">
        <f>ROUNDDOWN(I80*할인율,0)</f>
        <v/>
      </c>
      <c r="L80" s="2">
        <f>ROUND(I80*INDEX(미지급률범위,E80),0)</f>
        <v/>
      </c>
      <c r="M80" s="2">
        <f>ROUND(I80*INDEX(과지급률범위,E80),0)</f>
        <v/>
      </c>
      <c r="N80" s="2">
        <f>MAX(0,L80-M80)</f>
        <v/>
      </c>
      <c r="O80" s="2">
        <f>K80-N80</f>
        <v/>
      </c>
      <c r="P80" s="2">
        <f>I80-N80</f>
        <v/>
      </c>
      <c r="Q80" s="5">
        <f>IF(G80&gt;기준일,1,0)</f>
        <v/>
      </c>
      <c r="R80" s="5">
        <f>IF(G80&lt;=기준일,1,0)</f>
        <v/>
      </c>
      <c r="S80" s="2">
        <f>J80*H80</f>
        <v/>
      </c>
      <c r="T80" s="5">
        <f>IF(AND(F80&gt;=표본시작,F80&lt;=표본종료),1,0)</f>
        <v/>
      </c>
      <c r="U80" s="5">
        <f>IF(AND(G80&gt;=조회시작,G80&lt;=조회종료),1,0)</f>
        <v/>
      </c>
    </row>
    <row r="81">
      <c r="A81" s="2">
        <f>ROW()-1</f>
        <v/>
      </c>
      <c r="B81" s="5">
        <f>INDEX(상호범위,D81)</f>
        <v/>
      </c>
      <c r="C81" s="5">
        <f>INDEX(플랫폼명범위,E81)</f>
        <v/>
      </c>
      <c r="D81" s="2">
        <f>MOD(INT((A81-1)/4),8)+1</f>
        <v/>
      </c>
      <c r="E81" s="2">
        <f>MOD(A81-1,4)+1</f>
        <v/>
      </c>
      <c r="F81" s="20">
        <f>축시작+INT((A81-1)/32)</f>
        <v/>
      </c>
      <c r="G81" s="20">
        <f>F81+H81</f>
        <v/>
      </c>
      <c r="H81" s="5" t="n">
        <v>10</v>
      </c>
      <c r="I81" s="2">
        <f>ROUND(INDEX(가맹점!$P$2:$P$9,D81)*INDEX(가맹점!$J$2:$M$9,D81,E81),0)</f>
        <v/>
      </c>
      <c r="J81" s="2">
        <f>ROUND(I81*(1-할인율),0)</f>
        <v/>
      </c>
      <c r="K81" s="2">
        <f>ROUNDDOWN(I81*할인율,0)</f>
        <v/>
      </c>
      <c r="L81" s="2">
        <f>ROUND(I81*INDEX(미지급률범위,E81),0)</f>
        <v/>
      </c>
      <c r="M81" s="2">
        <f>ROUND(I81*INDEX(과지급률범위,E81),0)</f>
        <v/>
      </c>
      <c r="N81" s="2">
        <f>MAX(0,L81-M81)</f>
        <v/>
      </c>
      <c r="O81" s="2">
        <f>K81-N81</f>
        <v/>
      </c>
      <c r="P81" s="2">
        <f>I81-N81</f>
        <v/>
      </c>
      <c r="Q81" s="5">
        <f>IF(G81&gt;기준일,1,0)</f>
        <v/>
      </c>
      <c r="R81" s="5">
        <f>IF(G81&lt;=기준일,1,0)</f>
        <v/>
      </c>
      <c r="S81" s="2">
        <f>J81*H81</f>
        <v/>
      </c>
      <c r="T81" s="5">
        <f>IF(AND(F81&gt;=표본시작,F81&lt;=표본종료),1,0)</f>
        <v/>
      </c>
      <c r="U81" s="5">
        <f>IF(AND(G81&gt;=조회시작,G81&lt;=조회종료),1,0)</f>
        <v/>
      </c>
    </row>
    <row r="82">
      <c r="A82" s="2">
        <f>ROW()-1</f>
        <v/>
      </c>
      <c r="B82" s="5">
        <f>INDEX(상호범위,D82)</f>
        <v/>
      </c>
      <c r="C82" s="5">
        <f>INDEX(플랫폼명범위,E82)</f>
        <v/>
      </c>
      <c r="D82" s="2">
        <f>MOD(INT((A82-1)/4),8)+1</f>
        <v/>
      </c>
      <c r="E82" s="2">
        <f>MOD(A82-1,4)+1</f>
        <v/>
      </c>
      <c r="F82" s="20">
        <f>축시작+INT((A82-1)/32)</f>
        <v/>
      </c>
      <c r="G82" s="20">
        <f>F82+H82</f>
        <v/>
      </c>
      <c r="H82" s="5" t="n">
        <v>7</v>
      </c>
      <c r="I82" s="2">
        <f>ROUND(INDEX(가맹점!$P$2:$P$9,D82)*INDEX(가맹점!$J$2:$M$9,D82,E82),0)</f>
        <v/>
      </c>
      <c r="J82" s="2">
        <f>ROUND(I82*(1-할인율),0)</f>
        <v/>
      </c>
      <c r="K82" s="2">
        <f>ROUNDDOWN(I82*할인율,0)</f>
        <v/>
      </c>
      <c r="L82" s="2">
        <f>ROUND(I82*INDEX(미지급률범위,E82),0)</f>
        <v/>
      </c>
      <c r="M82" s="2">
        <f>ROUND(I82*INDEX(과지급률범위,E82),0)</f>
        <v/>
      </c>
      <c r="N82" s="2">
        <f>MAX(0,L82-M82)</f>
        <v/>
      </c>
      <c r="O82" s="2">
        <f>K82-N82</f>
        <v/>
      </c>
      <c r="P82" s="2">
        <f>I82-N82</f>
        <v/>
      </c>
      <c r="Q82" s="5">
        <f>IF(G82&gt;기준일,1,0)</f>
        <v/>
      </c>
      <c r="R82" s="5">
        <f>IF(G82&lt;=기준일,1,0)</f>
        <v/>
      </c>
      <c r="S82" s="2">
        <f>J82*H82</f>
        <v/>
      </c>
      <c r="T82" s="5">
        <f>IF(AND(F82&gt;=표본시작,F82&lt;=표본종료),1,0)</f>
        <v/>
      </c>
      <c r="U82" s="5">
        <f>IF(AND(G82&gt;=조회시작,G82&lt;=조회종료),1,0)</f>
        <v/>
      </c>
    </row>
    <row r="83">
      <c r="A83" s="2">
        <f>ROW()-1</f>
        <v/>
      </c>
      <c r="B83" s="5">
        <f>INDEX(상호범위,D83)</f>
        <v/>
      </c>
      <c r="C83" s="5">
        <f>INDEX(플랫폼명범위,E83)</f>
        <v/>
      </c>
      <c r="D83" s="2">
        <f>MOD(INT((A83-1)/4),8)+1</f>
        <v/>
      </c>
      <c r="E83" s="2">
        <f>MOD(A83-1,4)+1</f>
        <v/>
      </c>
      <c r="F83" s="20">
        <f>축시작+INT((A83-1)/32)</f>
        <v/>
      </c>
      <c r="G83" s="20">
        <f>F83+H83</f>
        <v/>
      </c>
      <c r="H83" s="5" t="n">
        <v>4</v>
      </c>
      <c r="I83" s="2">
        <f>ROUND(INDEX(가맹점!$P$2:$P$9,D83)*INDEX(가맹점!$J$2:$M$9,D83,E83),0)</f>
        <v/>
      </c>
      <c r="J83" s="2">
        <f>ROUND(I83*(1-할인율),0)</f>
        <v/>
      </c>
      <c r="K83" s="2">
        <f>ROUNDDOWN(I83*할인율,0)</f>
        <v/>
      </c>
      <c r="L83" s="2">
        <f>ROUND(I83*INDEX(미지급률범위,E83),0)</f>
        <v/>
      </c>
      <c r="M83" s="2">
        <f>ROUND(I83*INDEX(과지급률범위,E83),0)</f>
        <v/>
      </c>
      <c r="N83" s="2">
        <f>MAX(0,L83-M83)</f>
        <v/>
      </c>
      <c r="O83" s="2">
        <f>K83-N83</f>
        <v/>
      </c>
      <c r="P83" s="2">
        <f>I83-N83</f>
        <v/>
      </c>
      <c r="Q83" s="5">
        <f>IF(G83&gt;기준일,1,0)</f>
        <v/>
      </c>
      <c r="R83" s="5">
        <f>IF(G83&lt;=기준일,1,0)</f>
        <v/>
      </c>
      <c r="S83" s="2">
        <f>J83*H83</f>
        <v/>
      </c>
      <c r="T83" s="5">
        <f>IF(AND(F83&gt;=표본시작,F83&lt;=표본종료),1,0)</f>
        <v/>
      </c>
      <c r="U83" s="5">
        <f>IF(AND(G83&gt;=조회시작,G83&lt;=조회종료),1,0)</f>
        <v/>
      </c>
    </row>
    <row r="84">
      <c r="A84" s="2">
        <f>ROW()-1</f>
        <v/>
      </c>
      <c r="B84" s="5">
        <f>INDEX(상호범위,D84)</f>
        <v/>
      </c>
      <c r="C84" s="5">
        <f>INDEX(플랫폼명범위,E84)</f>
        <v/>
      </c>
      <c r="D84" s="2">
        <f>MOD(INT((A84-1)/4),8)+1</f>
        <v/>
      </c>
      <c r="E84" s="2">
        <f>MOD(A84-1,4)+1</f>
        <v/>
      </c>
      <c r="F84" s="20">
        <f>축시작+INT((A84-1)/32)</f>
        <v/>
      </c>
      <c r="G84" s="20">
        <f>F84+H84</f>
        <v/>
      </c>
      <c r="H84" s="5" t="n">
        <v>5</v>
      </c>
      <c r="I84" s="2">
        <f>ROUND(INDEX(가맹점!$P$2:$P$9,D84)*INDEX(가맹점!$J$2:$M$9,D84,E84),0)</f>
        <v/>
      </c>
      <c r="J84" s="2">
        <f>ROUND(I84*(1-할인율),0)</f>
        <v/>
      </c>
      <c r="K84" s="2">
        <f>ROUNDDOWN(I84*할인율,0)</f>
        <v/>
      </c>
      <c r="L84" s="2">
        <f>ROUND(I84*INDEX(미지급률범위,E84),0)</f>
        <v/>
      </c>
      <c r="M84" s="2">
        <f>ROUND(I84*INDEX(과지급률범위,E84),0)</f>
        <v/>
      </c>
      <c r="N84" s="2">
        <f>MAX(0,L84-M84)</f>
        <v/>
      </c>
      <c r="O84" s="2">
        <f>K84-N84</f>
        <v/>
      </c>
      <c r="P84" s="2">
        <f>I84-N84</f>
        <v/>
      </c>
      <c r="Q84" s="5">
        <f>IF(G84&gt;기준일,1,0)</f>
        <v/>
      </c>
      <c r="R84" s="5">
        <f>IF(G84&lt;=기준일,1,0)</f>
        <v/>
      </c>
      <c r="S84" s="2">
        <f>J84*H84</f>
        <v/>
      </c>
      <c r="T84" s="5">
        <f>IF(AND(F84&gt;=표본시작,F84&lt;=표본종료),1,0)</f>
        <v/>
      </c>
      <c r="U84" s="5">
        <f>IF(AND(G84&gt;=조회시작,G84&lt;=조회종료),1,0)</f>
        <v/>
      </c>
    </row>
    <row r="85">
      <c r="A85" s="2">
        <f>ROW()-1</f>
        <v/>
      </c>
      <c r="B85" s="5">
        <f>INDEX(상호범위,D85)</f>
        <v/>
      </c>
      <c r="C85" s="5">
        <f>INDEX(플랫폼명범위,E85)</f>
        <v/>
      </c>
      <c r="D85" s="2">
        <f>MOD(INT((A85-1)/4),8)+1</f>
        <v/>
      </c>
      <c r="E85" s="2">
        <f>MOD(A85-1,4)+1</f>
        <v/>
      </c>
      <c r="F85" s="20">
        <f>축시작+INT((A85-1)/32)</f>
        <v/>
      </c>
      <c r="G85" s="20">
        <f>F85+H85</f>
        <v/>
      </c>
      <c r="H85" s="5" t="n">
        <v>10</v>
      </c>
      <c r="I85" s="2">
        <f>ROUND(INDEX(가맹점!$P$2:$P$9,D85)*INDEX(가맹점!$J$2:$M$9,D85,E85),0)</f>
        <v/>
      </c>
      <c r="J85" s="2">
        <f>ROUND(I85*(1-할인율),0)</f>
        <v/>
      </c>
      <c r="K85" s="2">
        <f>ROUNDDOWN(I85*할인율,0)</f>
        <v/>
      </c>
      <c r="L85" s="2">
        <f>ROUND(I85*INDEX(미지급률범위,E85),0)</f>
        <v/>
      </c>
      <c r="M85" s="2">
        <f>ROUND(I85*INDEX(과지급률범위,E85),0)</f>
        <v/>
      </c>
      <c r="N85" s="2">
        <f>MAX(0,L85-M85)</f>
        <v/>
      </c>
      <c r="O85" s="2">
        <f>K85-N85</f>
        <v/>
      </c>
      <c r="P85" s="2">
        <f>I85-N85</f>
        <v/>
      </c>
      <c r="Q85" s="5">
        <f>IF(G85&gt;기준일,1,0)</f>
        <v/>
      </c>
      <c r="R85" s="5">
        <f>IF(G85&lt;=기준일,1,0)</f>
        <v/>
      </c>
      <c r="S85" s="2">
        <f>J85*H85</f>
        <v/>
      </c>
      <c r="T85" s="5">
        <f>IF(AND(F85&gt;=표본시작,F85&lt;=표본종료),1,0)</f>
        <v/>
      </c>
      <c r="U85" s="5">
        <f>IF(AND(G85&gt;=조회시작,G85&lt;=조회종료),1,0)</f>
        <v/>
      </c>
    </row>
    <row r="86">
      <c r="A86" s="2">
        <f>ROW()-1</f>
        <v/>
      </c>
      <c r="B86" s="5">
        <f>INDEX(상호범위,D86)</f>
        <v/>
      </c>
      <c r="C86" s="5">
        <f>INDEX(플랫폼명범위,E86)</f>
        <v/>
      </c>
      <c r="D86" s="2">
        <f>MOD(INT((A86-1)/4),8)+1</f>
        <v/>
      </c>
      <c r="E86" s="2">
        <f>MOD(A86-1,4)+1</f>
        <v/>
      </c>
      <c r="F86" s="20">
        <f>축시작+INT((A86-1)/32)</f>
        <v/>
      </c>
      <c r="G86" s="20">
        <f>F86+H86</f>
        <v/>
      </c>
      <c r="H86" s="5" t="n">
        <v>4</v>
      </c>
      <c r="I86" s="2">
        <f>ROUND(INDEX(가맹점!$P$2:$P$9,D86)*INDEX(가맹점!$J$2:$M$9,D86,E86),0)</f>
        <v/>
      </c>
      <c r="J86" s="2">
        <f>ROUND(I86*(1-할인율),0)</f>
        <v/>
      </c>
      <c r="K86" s="2">
        <f>ROUNDDOWN(I86*할인율,0)</f>
        <v/>
      </c>
      <c r="L86" s="2">
        <f>ROUND(I86*INDEX(미지급률범위,E86),0)</f>
        <v/>
      </c>
      <c r="M86" s="2">
        <f>ROUND(I86*INDEX(과지급률범위,E86),0)</f>
        <v/>
      </c>
      <c r="N86" s="2">
        <f>MAX(0,L86-M86)</f>
        <v/>
      </c>
      <c r="O86" s="2">
        <f>K86-N86</f>
        <v/>
      </c>
      <c r="P86" s="2">
        <f>I86-N86</f>
        <v/>
      </c>
      <c r="Q86" s="5">
        <f>IF(G86&gt;기준일,1,0)</f>
        <v/>
      </c>
      <c r="R86" s="5">
        <f>IF(G86&lt;=기준일,1,0)</f>
        <v/>
      </c>
      <c r="S86" s="2">
        <f>J86*H86</f>
        <v/>
      </c>
      <c r="T86" s="5">
        <f>IF(AND(F86&gt;=표본시작,F86&lt;=표본종료),1,0)</f>
        <v/>
      </c>
      <c r="U86" s="5">
        <f>IF(AND(G86&gt;=조회시작,G86&lt;=조회종료),1,0)</f>
        <v/>
      </c>
    </row>
    <row r="87">
      <c r="A87" s="2">
        <f>ROW()-1</f>
        <v/>
      </c>
      <c r="B87" s="5">
        <f>INDEX(상호범위,D87)</f>
        <v/>
      </c>
      <c r="C87" s="5">
        <f>INDEX(플랫폼명범위,E87)</f>
        <v/>
      </c>
      <c r="D87" s="2">
        <f>MOD(INT((A87-1)/4),8)+1</f>
        <v/>
      </c>
      <c r="E87" s="2">
        <f>MOD(A87-1,4)+1</f>
        <v/>
      </c>
      <c r="F87" s="20">
        <f>축시작+INT((A87-1)/32)</f>
        <v/>
      </c>
      <c r="G87" s="20">
        <f>F87+H87</f>
        <v/>
      </c>
      <c r="H87" s="5" t="n">
        <v>9</v>
      </c>
      <c r="I87" s="2">
        <f>ROUND(INDEX(가맹점!$P$2:$P$9,D87)*INDEX(가맹점!$J$2:$M$9,D87,E87),0)</f>
        <v/>
      </c>
      <c r="J87" s="2">
        <f>ROUND(I87*(1-할인율),0)</f>
        <v/>
      </c>
      <c r="K87" s="2">
        <f>ROUNDDOWN(I87*할인율,0)</f>
        <v/>
      </c>
      <c r="L87" s="2">
        <f>ROUND(I87*INDEX(미지급률범위,E87),0)</f>
        <v/>
      </c>
      <c r="M87" s="2">
        <f>ROUND(I87*INDEX(과지급률범위,E87),0)</f>
        <v/>
      </c>
      <c r="N87" s="2">
        <f>MAX(0,L87-M87)</f>
        <v/>
      </c>
      <c r="O87" s="2">
        <f>K87-N87</f>
        <v/>
      </c>
      <c r="P87" s="2">
        <f>I87-N87</f>
        <v/>
      </c>
      <c r="Q87" s="5">
        <f>IF(G87&gt;기준일,1,0)</f>
        <v/>
      </c>
      <c r="R87" s="5">
        <f>IF(G87&lt;=기준일,1,0)</f>
        <v/>
      </c>
      <c r="S87" s="2">
        <f>J87*H87</f>
        <v/>
      </c>
      <c r="T87" s="5">
        <f>IF(AND(F87&gt;=표본시작,F87&lt;=표본종료),1,0)</f>
        <v/>
      </c>
      <c r="U87" s="5">
        <f>IF(AND(G87&gt;=조회시작,G87&lt;=조회종료),1,0)</f>
        <v/>
      </c>
    </row>
    <row r="88">
      <c r="A88" s="2">
        <f>ROW()-1</f>
        <v/>
      </c>
      <c r="B88" s="5">
        <f>INDEX(상호범위,D88)</f>
        <v/>
      </c>
      <c r="C88" s="5">
        <f>INDEX(플랫폼명범위,E88)</f>
        <v/>
      </c>
      <c r="D88" s="2">
        <f>MOD(INT((A88-1)/4),8)+1</f>
        <v/>
      </c>
      <c r="E88" s="2">
        <f>MOD(A88-1,4)+1</f>
        <v/>
      </c>
      <c r="F88" s="20">
        <f>축시작+INT((A88-1)/32)</f>
        <v/>
      </c>
      <c r="G88" s="20">
        <f>F88+H88</f>
        <v/>
      </c>
      <c r="H88" s="5" t="n">
        <v>6</v>
      </c>
      <c r="I88" s="2">
        <f>ROUND(INDEX(가맹점!$P$2:$P$9,D88)*INDEX(가맹점!$J$2:$M$9,D88,E88),0)</f>
        <v/>
      </c>
      <c r="J88" s="2">
        <f>ROUND(I88*(1-할인율),0)</f>
        <v/>
      </c>
      <c r="K88" s="2">
        <f>ROUNDDOWN(I88*할인율,0)</f>
        <v/>
      </c>
      <c r="L88" s="2">
        <f>ROUND(I88*INDEX(미지급률범위,E88),0)</f>
        <v/>
      </c>
      <c r="M88" s="2">
        <f>ROUND(I88*INDEX(과지급률범위,E88),0)</f>
        <v/>
      </c>
      <c r="N88" s="2">
        <f>MAX(0,L88-M88)</f>
        <v/>
      </c>
      <c r="O88" s="2">
        <f>K88-N88</f>
        <v/>
      </c>
      <c r="P88" s="2">
        <f>I88-N88</f>
        <v/>
      </c>
      <c r="Q88" s="5">
        <f>IF(G88&gt;기준일,1,0)</f>
        <v/>
      </c>
      <c r="R88" s="5">
        <f>IF(G88&lt;=기준일,1,0)</f>
        <v/>
      </c>
      <c r="S88" s="2">
        <f>J88*H88</f>
        <v/>
      </c>
      <c r="T88" s="5">
        <f>IF(AND(F88&gt;=표본시작,F88&lt;=표본종료),1,0)</f>
        <v/>
      </c>
      <c r="U88" s="5">
        <f>IF(AND(G88&gt;=조회시작,G88&lt;=조회종료),1,0)</f>
        <v/>
      </c>
    </row>
    <row r="89">
      <c r="A89" s="2">
        <f>ROW()-1</f>
        <v/>
      </c>
      <c r="B89" s="5">
        <f>INDEX(상호범위,D89)</f>
        <v/>
      </c>
      <c r="C89" s="5">
        <f>INDEX(플랫폼명범위,E89)</f>
        <v/>
      </c>
      <c r="D89" s="2">
        <f>MOD(INT((A89-1)/4),8)+1</f>
        <v/>
      </c>
      <c r="E89" s="2">
        <f>MOD(A89-1,4)+1</f>
        <v/>
      </c>
      <c r="F89" s="20">
        <f>축시작+INT((A89-1)/32)</f>
        <v/>
      </c>
      <c r="G89" s="20">
        <f>F89+H89</f>
        <v/>
      </c>
      <c r="H89" s="5" t="n">
        <v>10</v>
      </c>
      <c r="I89" s="2">
        <f>ROUND(INDEX(가맹점!$P$2:$P$9,D89)*INDEX(가맹점!$J$2:$M$9,D89,E89),0)</f>
        <v/>
      </c>
      <c r="J89" s="2">
        <f>ROUND(I89*(1-할인율),0)</f>
        <v/>
      </c>
      <c r="K89" s="2">
        <f>ROUNDDOWN(I89*할인율,0)</f>
        <v/>
      </c>
      <c r="L89" s="2">
        <f>ROUND(I89*INDEX(미지급률범위,E89),0)</f>
        <v/>
      </c>
      <c r="M89" s="2">
        <f>ROUND(I89*INDEX(과지급률범위,E89),0)</f>
        <v/>
      </c>
      <c r="N89" s="2">
        <f>MAX(0,L89-M89)</f>
        <v/>
      </c>
      <c r="O89" s="2">
        <f>K89-N89</f>
        <v/>
      </c>
      <c r="P89" s="2">
        <f>I89-N89</f>
        <v/>
      </c>
      <c r="Q89" s="5">
        <f>IF(G89&gt;기준일,1,0)</f>
        <v/>
      </c>
      <c r="R89" s="5">
        <f>IF(G89&lt;=기준일,1,0)</f>
        <v/>
      </c>
      <c r="S89" s="2">
        <f>J89*H89</f>
        <v/>
      </c>
      <c r="T89" s="5">
        <f>IF(AND(F89&gt;=표본시작,F89&lt;=표본종료),1,0)</f>
        <v/>
      </c>
      <c r="U89" s="5">
        <f>IF(AND(G89&gt;=조회시작,G89&lt;=조회종료),1,0)</f>
        <v/>
      </c>
    </row>
    <row r="90">
      <c r="A90" s="2">
        <f>ROW()-1</f>
        <v/>
      </c>
      <c r="B90" s="5">
        <f>INDEX(상호범위,D90)</f>
        <v/>
      </c>
      <c r="C90" s="5">
        <f>INDEX(플랫폼명범위,E90)</f>
        <v/>
      </c>
      <c r="D90" s="2">
        <f>MOD(INT((A90-1)/4),8)+1</f>
        <v/>
      </c>
      <c r="E90" s="2">
        <f>MOD(A90-1,4)+1</f>
        <v/>
      </c>
      <c r="F90" s="20">
        <f>축시작+INT((A90-1)/32)</f>
        <v/>
      </c>
      <c r="G90" s="20">
        <f>F90+H90</f>
        <v/>
      </c>
      <c r="H90" s="5" t="n">
        <v>3</v>
      </c>
      <c r="I90" s="2">
        <f>ROUND(INDEX(가맹점!$P$2:$P$9,D90)*INDEX(가맹점!$J$2:$M$9,D90,E90),0)</f>
        <v/>
      </c>
      <c r="J90" s="2">
        <f>ROUND(I90*(1-할인율),0)</f>
        <v/>
      </c>
      <c r="K90" s="2">
        <f>ROUNDDOWN(I90*할인율,0)</f>
        <v/>
      </c>
      <c r="L90" s="2">
        <f>ROUND(I90*INDEX(미지급률범위,E90),0)</f>
        <v/>
      </c>
      <c r="M90" s="2">
        <f>ROUND(I90*INDEX(과지급률범위,E90),0)</f>
        <v/>
      </c>
      <c r="N90" s="2">
        <f>MAX(0,L90-M90)</f>
        <v/>
      </c>
      <c r="O90" s="2">
        <f>K90-N90</f>
        <v/>
      </c>
      <c r="P90" s="2">
        <f>I90-N90</f>
        <v/>
      </c>
      <c r="Q90" s="5">
        <f>IF(G90&gt;기준일,1,0)</f>
        <v/>
      </c>
      <c r="R90" s="5">
        <f>IF(G90&lt;=기준일,1,0)</f>
        <v/>
      </c>
      <c r="S90" s="2">
        <f>J90*H90</f>
        <v/>
      </c>
      <c r="T90" s="5">
        <f>IF(AND(F90&gt;=표본시작,F90&lt;=표본종료),1,0)</f>
        <v/>
      </c>
      <c r="U90" s="5">
        <f>IF(AND(G90&gt;=조회시작,G90&lt;=조회종료),1,0)</f>
        <v/>
      </c>
    </row>
    <row r="91">
      <c r="A91" s="2">
        <f>ROW()-1</f>
        <v/>
      </c>
      <c r="B91" s="5">
        <f>INDEX(상호범위,D91)</f>
        <v/>
      </c>
      <c r="C91" s="5">
        <f>INDEX(플랫폼명범위,E91)</f>
        <v/>
      </c>
      <c r="D91" s="2">
        <f>MOD(INT((A91-1)/4),8)+1</f>
        <v/>
      </c>
      <c r="E91" s="2">
        <f>MOD(A91-1,4)+1</f>
        <v/>
      </c>
      <c r="F91" s="20">
        <f>축시작+INT((A91-1)/32)</f>
        <v/>
      </c>
      <c r="G91" s="20">
        <f>F91+H91</f>
        <v/>
      </c>
      <c r="H91" s="5" t="n">
        <v>2</v>
      </c>
      <c r="I91" s="2">
        <f>ROUND(INDEX(가맹점!$P$2:$P$9,D91)*INDEX(가맹점!$J$2:$M$9,D91,E91),0)</f>
        <v/>
      </c>
      <c r="J91" s="2">
        <f>ROUND(I91*(1-할인율),0)</f>
        <v/>
      </c>
      <c r="K91" s="2">
        <f>ROUNDDOWN(I91*할인율,0)</f>
        <v/>
      </c>
      <c r="L91" s="2">
        <f>ROUND(I91*INDEX(미지급률범위,E91),0)</f>
        <v/>
      </c>
      <c r="M91" s="2">
        <f>ROUND(I91*INDEX(과지급률범위,E91),0)</f>
        <v/>
      </c>
      <c r="N91" s="2">
        <f>MAX(0,L91-M91)</f>
        <v/>
      </c>
      <c r="O91" s="2">
        <f>K91-N91</f>
        <v/>
      </c>
      <c r="P91" s="2">
        <f>I91-N91</f>
        <v/>
      </c>
      <c r="Q91" s="5">
        <f>IF(G91&gt;기준일,1,0)</f>
        <v/>
      </c>
      <c r="R91" s="5">
        <f>IF(G91&lt;=기준일,1,0)</f>
        <v/>
      </c>
      <c r="S91" s="2">
        <f>J91*H91</f>
        <v/>
      </c>
      <c r="T91" s="5">
        <f>IF(AND(F91&gt;=표본시작,F91&lt;=표본종료),1,0)</f>
        <v/>
      </c>
      <c r="U91" s="5">
        <f>IF(AND(G91&gt;=조회시작,G91&lt;=조회종료),1,0)</f>
        <v/>
      </c>
    </row>
    <row r="92">
      <c r="A92" s="2">
        <f>ROW()-1</f>
        <v/>
      </c>
      <c r="B92" s="5">
        <f>INDEX(상호범위,D92)</f>
        <v/>
      </c>
      <c r="C92" s="5">
        <f>INDEX(플랫폼명범위,E92)</f>
        <v/>
      </c>
      <c r="D92" s="2">
        <f>MOD(INT((A92-1)/4),8)+1</f>
        <v/>
      </c>
      <c r="E92" s="2">
        <f>MOD(A92-1,4)+1</f>
        <v/>
      </c>
      <c r="F92" s="20">
        <f>축시작+INT((A92-1)/32)</f>
        <v/>
      </c>
      <c r="G92" s="20">
        <f>F92+H92</f>
        <v/>
      </c>
      <c r="H92" s="5" t="n">
        <v>3</v>
      </c>
      <c r="I92" s="2">
        <f>ROUND(INDEX(가맹점!$P$2:$P$9,D92)*INDEX(가맹점!$J$2:$M$9,D92,E92),0)</f>
        <v/>
      </c>
      <c r="J92" s="2">
        <f>ROUND(I92*(1-할인율),0)</f>
        <v/>
      </c>
      <c r="K92" s="2">
        <f>ROUNDDOWN(I92*할인율,0)</f>
        <v/>
      </c>
      <c r="L92" s="2">
        <f>ROUND(I92*INDEX(미지급률범위,E92),0)</f>
        <v/>
      </c>
      <c r="M92" s="2">
        <f>ROUND(I92*INDEX(과지급률범위,E92),0)</f>
        <v/>
      </c>
      <c r="N92" s="2">
        <f>MAX(0,L92-M92)</f>
        <v/>
      </c>
      <c r="O92" s="2">
        <f>K92-N92</f>
        <v/>
      </c>
      <c r="P92" s="2">
        <f>I92-N92</f>
        <v/>
      </c>
      <c r="Q92" s="5">
        <f>IF(G92&gt;기준일,1,0)</f>
        <v/>
      </c>
      <c r="R92" s="5">
        <f>IF(G92&lt;=기준일,1,0)</f>
        <v/>
      </c>
      <c r="S92" s="2">
        <f>J92*H92</f>
        <v/>
      </c>
      <c r="T92" s="5">
        <f>IF(AND(F92&gt;=표본시작,F92&lt;=표본종료),1,0)</f>
        <v/>
      </c>
      <c r="U92" s="5">
        <f>IF(AND(G92&gt;=조회시작,G92&lt;=조회종료),1,0)</f>
        <v/>
      </c>
    </row>
    <row r="93">
      <c r="A93" s="2">
        <f>ROW()-1</f>
        <v/>
      </c>
      <c r="B93" s="5">
        <f>INDEX(상호범위,D93)</f>
        <v/>
      </c>
      <c r="C93" s="5">
        <f>INDEX(플랫폼명범위,E93)</f>
        <v/>
      </c>
      <c r="D93" s="2">
        <f>MOD(INT((A93-1)/4),8)+1</f>
        <v/>
      </c>
      <c r="E93" s="2">
        <f>MOD(A93-1,4)+1</f>
        <v/>
      </c>
      <c r="F93" s="20">
        <f>축시작+INT((A93-1)/32)</f>
        <v/>
      </c>
      <c r="G93" s="20">
        <f>F93+H93</f>
        <v/>
      </c>
      <c r="H93" s="5" t="n">
        <v>6</v>
      </c>
      <c r="I93" s="2">
        <f>ROUND(INDEX(가맹점!$P$2:$P$9,D93)*INDEX(가맹점!$J$2:$M$9,D93,E93),0)</f>
        <v/>
      </c>
      <c r="J93" s="2">
        <f>ROUND(I93*(1-할인율),0)</f>
        <v/>
      </c>
      <c r="K93" s="2">
        <f>ROUNDDOWN(I93*할인율,0)</f>
        <v/>
      </c>
      <c r="L93" s="2">
        <f>ROUND(I93*INDEX(미지급률범위,E93),0)</f>
        <v/>
      </c>
      <c r="M93" s="2">
        <f>ROUND(I93*INDEX(과지급률범위,E93),0)</f>
        <v/>
      </c>
      <c r="N93" s="2">
        <f>MAX(0,L93-M93)</f>
        <v/>
      </c>
      <c r="O93" s="2">
        <f>K93-N93</f>
        <v/>
      </c>
      <c r="P93" s="2">
        <f>I93-N93</f>
        <v/>
      </c>
      <c r="Q93" s="5">
        <f>IF(G93&gt;기준일,1,0)</f>
        <v/>
      </c>
      <c r="R93" s="5">
        <f>IF(G93&lt;=기준일,1,0)</f>
        <v/>
      </c>
      <c r="S93" s="2">
        <f>J93*H93</f>
        <v/>
      </c>
      <c r="T93" s="5">
        <f>IF(AND(F93&gt;=표본시작,F93&lt;=표본종료),1,0)</f>
        <v/>
      </c>
      <c r="U93" s="5">
        <f>IF(AND(G93&gt;=조회시작,G93&lt;=조회종료),1,0)</f>
        <v/>
      </c>
    </row>
    <row r="94">
      <c r="A94" s="2">
        <f>ROW()-1</f>
        <v/>
      </c>
      <c r="B94" s="5">
        <f>INDEX(상호범위,D94)</f>
        <v/>
      </c>
      <c r="C94" s="5">
        <f>INDEX(플랫폼명범위,E94)</f>
        <v/>
      </c>
      <c r="D94" s="2">
        <f>MOD(INT((A94-1)/4),8)+1</f>
        <v/>
      </c>
      <c r="E94" s="2">
        <f>MOD(A94-1,4)+1</f>
        <v/>
      </c>
      <c r="F94" s="20">
        <f>축시작+INT((A94-1)/32)</f>
        <v/>
      </c>
      <c r="G94" s="20">
        <f>F94+H94</f>
        <v/>
      </c>
      <c r="H94" s="5" t="n">
        <v>2</v>
      </c>
      <c r="I94" s="2">
        <f>ROUND(INDEX(가맹점!$P$2:$P$9,D94)*INDEX(가맹점!$J$2:$M$9,D94,E94),0)</f>
        <v/>
      </c>
      <c r="J94" s="2">
        <f>ROUND(I94*(1-할인율),0)</f>
        <v/>
      </c>
      <c r="K94" s="2">
        <f>ROUNDDOWN(I94*할인율,0)</f>
        <v/>
      </c>
      <c r="L94" s="2">
        <f>ROUND(I94*INDEX(미지급률범위,E94),0)</f>
        <v/>
      </c>
      <c r="M94" s="2">
        <f>ROUND(I94*INDEX(과지급률범위,E94),0)</f>
        <v/>
      </c>
      <c r="N94" s="2">
        <f>MAX(0,L94-M94)</f>
        <v/>
      </c>
      <c r="O94" s="2">
        <f>K94-N94</f>
        <v/>
      </c>
      <c r="P94" s="2">
        <f>I94-N94</f>
        <v/>
      </c>
      <c r="Q94" s="5">
        <f>IF(G94&gt;기준일,1,0)</f>
        <v/>
      </c>
      <c r="R94" s="5">
        <f>IF(G94&lt;=기준일,1,0)</f>
        <v/>
      </c>
      <c r="S94" s="2">
        <f>J94*H94</f>
        <v/>
      </c>
      <c r="T94" s="5">
        <f>IF(AND(F94&gt;=표본시작,F94&lt;=표본종료),1,0)</f>
        <v/>
      </c>
      <c r="U94" s="5">
        <f>IF(AND(G94&gt;=조회시작,G94&lt;=조회종료),1,0)</f>
        <v/>
      </c>
    </row>
    <row r="95">
      <c r="A95" s="2">
        <f>ROW()-1</f>
        <v/>
      </c>
      <c r="B95" s="5">
        <f>INDEX(상호범위,D95)</f>
        <v/>
      </c>
      <c r="C95" s="5">
        <f>INDEX(플랫폼명범위,E95)</f>
        <v/>
      </c>
      <c r="D95" s="2">
        <f>MOD(INT((A95-1)/4),8)+1</f>
        <v/>
      </c>
      <c r="E95" s="2">
        <f>MOD(A95-1,4)+1</f>
        <v/>
      </c>
      <c r="F95" s="20">
        <f>축시작+INT((A95-1)/32)</f>
        <v/>
      </c>
      <c r="G95" s="20">
        <f>F95+H95</f>
        <v/>
      </c>
      <c r="H95" s="5" t="n">
        <v>4</v>
      </c>
      <c r="I95" s="2">
        <f>ROUND(INDEX(가맹점!$P$2:$P$9,D95)*INDEX(가맹점!$J$2:$M$9,D95,E95),0)</f>
        <v/>
      </c>
      <c r="J95" s="2">
        <f>ROUND(I95*(1-할인율),0)</f>
        <v/>
      </c>
      <c r="K95" s="2">
        <f>ROUNDDOWN(I95*할인율,0)</f>
        <v/>
      </c>
      <c r="L95" s="2">
        <f>ROUND(I95*INDEX(미지급률범위,E95),0)</f>
        <v/>
      </c>
      <c r="M95" s="2">
        <f>ROUND(I95*INDEX(과지급률범위,E95),0)</f>
        <v/>
      </c>
      <c r="N95" s="2">
        <f>MAX(0,L95-M95)</f>
        <v/>
      </c>
      <c r="O95" s="2">
        <f>K95-N95</f>
        <v/>
      </c>
      <c r="P95" s="2">
        <f>I95-N95</f>
        <v/>
      </c>
      <c r="Q95" s="5">
        <f>IF(G95&gt;기준일,1,0)</f>
        <v/>
      </c>
      <c r="R95" s="5">
        <f>IF(G95&lt;=기준일,1,0)</f>
        <v/>
      </c>
      <c r="S95" s="2">
        <f>J95*H95</f>
        <v/>
      </c>
      <c r="T95" s="5">
        <f>IF(AND(F95&gt;=표본시작,F95&lt;=표본종료),1,0)</f>
        <v/>
      </c>
      <c r="U95" s="5">
        <f>IF(AND(G95&gt;=조회시작,G95&lt;=조회종료),1,0)</f>
        <v/>
      </c>
    </row>
    <row r="96">
      <c r="A96" s="2">
        <f>ROW()-1</f>
        <v/>
      </c>
      <c r="B96" s="5">
        <f>INDEX(상호범위,D96)</f>
        <v/>
      </c>
      <c r="C96" s="5">
        <f>INDEX(플랫폼명범위,E96)</f>
        <v/>
      </c>
      <c r="D96" s="2">
        <f>MOD(INT((A96-1)/4),8)+1</f>
        <v/>
      </c>
      <c r="E96" s="2">
        <f>MOD(A96-1,4)+1</f>
        <v/>
      </c>
      <c r="F96" s="20">
        <f>축시작+INT((A96-1)/32)</f>
        <v/>
      </c>
      <c r="G96" s="20">
        <f>F96+H96</f>
        <v/>
      </c>
      <c r="H96" s="5" t="n">
        <v>6</v>
      </c>
      <c r="I96" s="2">
        <f>ROUND(INDEX(가맹점!$P$2:$P$9,D96)*INDEX(가맹점!$J$2:$M$9,D96,E96),0)</f>
        <v/>
      </c>
      <c r="J96" s="2">
        <f>ROUND(I96*(1-할인율),0)</f>
        <v/>
      </c>
      <c r="K96" s="2">
        <f>ROUNDDOWN(I96*할인율,0)</f>
        <v/>
      </c>
      <c r="L96" s="2">
        <f>ROUND(I96*INDEX(미지급률범위,E96),0)</f>
        <v/>
      </c>
      <c r="M96" s="2">
        <f>ROUND(I96*INDEX(과지급률범위,E96),0)</f>
        <v/>
      </c>
      <c r="N96" s="2">
        <f>MAX(0,L96-M96)</f>
        <v/>
      </c>
      <c r="O96" s="2">
        <f>K96-N96</f>
        <v/>
      </c>
      <c r="P96" s="2">
        <f>I96-N96</f>
        <v/>
      </c>
      <c r="Q96" s="5">
        <f>IF(G96&gt;기준일,1,0)</f>
        <v/>
      </c>
      <c r="R96" s="5">
        <f>IF(G96&lt;=기준일,1,0)</f>
        <v/>
      </c>
      <c r="S96" s="2">
        <f>J96*H96</f>
        <v/>
      </c>
      <c r="T96" s="5">
        <f>IF(AND(F96&gt;=표본시작,F96&lt;=표본종료),1,0)</f>
        <v/>
      </c>
      <c r="U96" s="5">
        <f>IF(AND(G96&gt;=조회시작,G96&lt;=조회종료),1,0)</f>
        <v/>
      </c>
    </row>
    <row r="97">
      <c r="A97" s="2">
        <f>ROW()-1</f>
        <v/>
      </c>
      <c r="B97" s="5">
        <f>INDEX(상호범위,D97)</f>
        <v/>
      </c>
      <c r="C97" s="5">
        <f>INDEX(플랫폼명범위,E97)</f>
        <v/>
      </c>
      <c r="D97" s="2">
        <f>MOD(INT((A97-1)/4),8)+1</f>
        <v/>
      </c>
      <c r="E97" s="2">
        <f>MOD(A97-1,4)+1</f>
        <v/>
      </c>
      <c r="F97" s="20">
        <f>축시작+INT((A97-1)/32)</f>
        <v/>
      </c>
      <c r="G97" s="20">
        <f>F97+H97</f>
        <v/>
      </c>
      <c r="H97" s="5" t="n">
        <v>6</v>
      </c>
      <c r="I97" s="2">
        <f>ROUND(INDEX(가맹점!$P$2:$P$9,D97)*INDEX(가맹점!$J$2:$M$9,D97,E97),0)</f>
        <v/>
      </c>
      <c r="J97" s="2">
        <f>ROUND(I97*(1-할인율),0)</f>
        <v/>
      </c>
      <c r="K97" s="2">
        <f>ROUNDDOWN(I97*할인율,0)</f>
        <v/>
      </c>
      <c r="L97" s="2">
        <f>ROUND(I97*INDEX(미지급률범위,E97),0)</f>
        <v/>
      </c>
      <c r="M97" s="2">
        <f>ROUND(I97*INDEX(과지급률범위,E97),0)</f>
        <v/>
      </c>
      <c r="N97" s="2">
        <f>MAX(0,L97-M97)</f>
        <v/>
      </c>
      <c r="O97" s="2">
        <f>K97-N97</f>
        <v/>
      </c>
      <c r="P97" s="2">
        <f>I97-N97</f>
        <v/>
      </c>
      <c r="Q97" s="5">
        <f>IF(G97&gt;기준일,1,0)</f>
        <v/>
      </c>
      <c r="R97" s="5">
        <f>IF(G97&lt;=기준일,1,0)</f>
        <v/>
      </c>
      <c r="S97" s="2">
        <f>J97*H97</f>
        <v/>
      </c>
      <c r="T97" s="5">
        <f>IF(AND(F97&gt;=표본시작,F97&lt;=표본종료),1,0)</f>
        <v/>
      </c>
      <c r="U97" s="5">
        <f>IF(AND(G97&gt;=조회시작,G97&lt;=조회종료),1,0)</f>
        <v/>
      </c>
    </row>
    <row r="98">
      <c r="A98" s="2">
        <f>ROW()-1</f>
        <v/>
      </c>
      <c r="B98" s="5">
        <f>INDEX(상호범위,D98)</f>
        <v/>
      </c>
      <c r="C98" s="5">
        <f>INDEX(플랫폼명범위,E98)</f>
        <v/>
      </c>
      <c r="D98" s="2">
        <f>MOD(INT((A98-1)/4),8)+1</f>
        <v/>
      </c>
      <c r="E98" s="2">
        <f>MOD(A98-1,4)+1</f>
        <v/>
      </c>
      <c r="F98" s="20">
        <f>축시작+INT((A98-1)/32)</f>
        <v/>
      </c>
      <c r="G98" s="20">
        <f>F98+H98</f>
        <v/>
      </c>
      <c r="H98" s="5" t="n">
        <v>1</v>
      </c>
      <c r="I98" s="2">
        <f>ROUND(INDEX(가맹점!$P$2:$P$9,D98)*INDEX(가맹점!$J$2:$M$9,D98,E98),0)</f>
        <v/>
      </c>
      <c r="J98" s="2">
        <f>ROUND(I98*(1-할인율),0)</f>
        <v/>
      </c>
      <c r="K98" s="2">
        <f>ROUNDDOWN(I98*할인율,0)</f>
        <v/>
      </c>
      <c r="L98" s="2">
        <f>ROUND(I98*INDEX(미지급률범위,E98),0)</f>
        <v/>
      </c>
      <c r="M98" s="2">
        <f>ROUND(I98*INDEX(과지급률범위,E98),0)</f>
        <v/>
      </c>
      <c r="N98" s="2">
        <f>MAX(0,L98-M98)</f>
        <v/>
      </c>
      <c r="O98" s="2">
        <f>K98-N98</f>
        <v/>
      </c>
      <c r="P98" s="2">
        <f>I98-N98</f>
        <v/>
      </c>
      <c r="Q98" s="5">
        <f>IF(G98&gt;기준일,1,0)</f>
        <v/>
      </c>
      <c r="R98" s="5">
        <f>IF(G98&lt;=기준일,1,0)</f>
        <v/>
      </c>
      <c r="S98" s="2">
        <f>J98*H98</f>
        <v/>
      </c>
      <c r="T98" s="5">
        <f>IF(AND(F98&gt;=표본시작,F98&lt;=표본종료),1,0)</f>
        <v/>
      </c>
      <c r="U98" s="5">
        <f>IF(AND(G98&gt;=조회시작,G98&lt;=조회종료),1,0)</f>
        <v/>
      </c>
    </row>
    <row r="99">
      <c r="A99" s="2">
        <f>ROW()-1</f>
        <v/>
      </c>
      <c r="B99" s="5">
        <f>INDEX(상호범위,D99)</f>
        <v/>
      </c>
      <c r="C99" s="5">
        <f>INDEX(플랫폼명범위,E99)</f>
        <v/>
      </c>
      <c r="D99" s="2">
        <f>MOD(INT((A99-1)/4),8)+1</f>
        <v/>
      </c>
      <c r="E99" s="2">
        <f>MOD(A99-1,4)+1</f>
        <v/>
      </c>
      <c r="F99" s="20">
        <f>축시작+INT((A99-1)/32)</f>
        <v/>
      </c>
      <c r="G99" s="20">
        <f>F99+H99</f>
        <v/>
      </c>
      <c r="H99" s="5" t="n">
        <v>2</v>
      </c>
      <c r="I99" s="2">
        <f>ROUND(INDEX(가맹점!$P$2:$P$9,D99)*INDEX(가맹점!$J$2:$M$9,D99,E99),0)</f>
        <v/>
      </c>
      <c r="J99" s="2">
        <f>ROUND(I99*(1-할인율),0)</f>
        <v/>
      </c>
      <c r="K99" s="2">
        <f>ROUNDDOWN(I99*할인율,0)</f>
        <v/>
      </c>
      <c r="L99" s="2">
        <f>ROUND(I99*INDEX(미지급률범위,E99),0)</f>
        <v/>
      </c>
      <c r="M99" s="2">
        <f>ROUND(I99*INDEX(과지급률범위,E99),0)</f>
        <v/>
      </c>
      <c r="N99" s="2">
        <f>MAX(0,L99-M99)</f>
        <v/>
      </c>
      <c r="O99" s="2">
        <f>K99-N99</f>
        <v/>
      </c>
      <c r="P99" s="2">
        <f>I99-N99</f>
        <v/>
      </c>
      <c r="Q99" s="5">
        <f>IF(G99&gt;기준일,1,0)</f>
        <v/>
      </c>
      <c r="R99" s="5">
        <f>IF(G99&lt;=기준일,1,0)</f>
        <v/>
      </c>
      <c r="S99" s="2">
        <f>J99*H99</f>
        <v/>
      </c>
      <c r="T99" s="5">
        <f>IF(AND(F99&gt;=표본시작,F99&lt;=표본종료),1,0)</f>
        <v/>
      </c>
      <c r="U99" s="5">
        <f>IF(AND(G99&gt;=조회시작,G99&lt;=조회종료),1,0)</f>
        <v/>
      </c>
    </row>
    <row r="100">
      <c r="A100" s="2">
        <f>ROW()-1</f>
        <v/>
      </c>
      <c r="B100" s="5">
        <f>INDEX(상호범위,D100)</f>
        <v/>
      </c>
      <c r="C100" s="5">
        <f>INDEX(플랫폼명범위,E100)</f>
        <v/>
      </c>
      <c r="D100" s="2">
        <f>MOD(INT((A100-1)/4),8)+1</f>
        <v/>
      </c>
      <c r="E100" s="2">
        <f>MOD(A100-1,4)+1</f>
        <v/>
      </c>
      <c r="F100" s="20">
        <f>축시작+INT((A100-1)/32)</f>
        <v/>
      </c>
      <c r="G100" s="20">
        <f>F100+H100</f>
        <v/>
      </c>
      <c r="H100" s="5" t="n">
        <v>9</v>
      </c>
      <c r="I100" s="2">
        <f>ROUND(INDEX(가맹점!$P$2:$P$9,D100)*INDEX(가맹점!$J$2:$M$9,D100,E100),0)</f>
        <v/>
      </c>
      <c r="J100" s="2">
        <f>ROUND(I100*(1-할인율),0)</f>
        <v/>
      </c>
      <c r="K100" s="2">
        <f>ROUNDDOWN(I100*할인율,0)</f>
        <v/>
      </c>
      <c r="L100" s="2">
        <f>ROUND(I100*INDEX(미지급률범위,E100),0)</f>
        <v/>
      </c>
      <c r="M100" s="2">
        <f>ROUND(I100*INDEX(과지급률범위,E100),0)</f>
        <v/>
      </c>
      <c r="N100" s="2">
        <f>MAX(0,L100-M100)</f>
        <v/>
      </c>
      <c r="O100" s="2">
        <f>K100-N100</f>
        <v/>
      </c>
      <c r="P100" s="2">
        <f>I100-N100</f>
        <v/>
      </c>
      <c r="Q100" s="5">
        <f>IF(G100&gt;기준일,1,0)</f>
        <v/>
      </c>
      <c r="R100" s="5">
        <f>IF(G100&lt;=기준일,1,0)</f>
        <v/>
      </c>
      <c r="S100" s="2">
        <f>J100*H100</f>
        <v/>
      </c>
      <c r="T100" s="5">
        <f>IF(AND(F100&gt;=표본시작,F100&lt;=표본종료),1,0)</f>
        <v/>
      </c>
      <c r="U100" s="5">
        <f>IF(AND(G100&gt;=조회시작,G100&lt;=조회종료),1,0)</f>
        <v/>
      </c>
    </row>
    <row r="101">
      <c r="A101" s="2">
        <f>ROW()-1</f>
        <v/>
      </c>
      <c r="B101" s="5">
        <f>INDEX(상호범위,D101)</f>
        <v/>
      </c>
      <c r="C101" s="5">
        <f>INDEX(플랫폼명범위,E101)</f>
        <v/>
      </c>
      <c r="D101" s="2">
        <f>MOD(INT((A101-1)/4),8)+1</f>
        <v/>
      </c>
      <c r="E101" s="2">
        <f>MOD(A101-1,4)+1</f>
        <v/>
      </c>
      <c r="F101" s="20">
        <f>축시작+INT((A101-1)/32)</f>
        <v/>
      </c>
      <c r="G101" s="20">
        <f>F101+H101</f>
        <v/>
      </c>
      <c r="H101" s="5" t="n">
        <v>6</v>
      </c>
      <c r="I101" s="2">
        <f>ROUND(INDEX(가맹점!$P$2:$P$9,D101)*INDEX(가맹점!$J$2:$M$9,D101,E101),0)</f>
        <v/>
      </c>
      <c r="J101" s="2">
        <f>ROUND(I101*(1-할인율),0)</f>
        <v/>
      </c>
      <c r="K101" s="2">
        <f>ROUNDDOWN(I101*할인율,0)</f>
        <v/>
      </c>
      <c r="L101" s="2">
        <f>ROUND(I101*INDEX(미지급률범위,E101),0)</f>
        <v/>
      </c>
      <c r="M101" s="2">
        <f>ROUND(I101*INDEX(과지급률범위,E101),0)</f>
        <v/>
      </c>
      <c r="N101" s="2">
        <f>MAX(0,L101-M101)</f>
        <v/>
      </c>
      <c r="O101" s="2">
        <f>K101-N101</f>
        <v/>
      </c>
      <c r="P101" s="2">
        <f>I101-N101</f>
        <v/>
      </c>
      <c r="Q101" s="5">
        <f>IF(G101&gt;기준일,1,0)</f>
        <v/>
      </c>
      <c r="R101" s="5">
        <f>IF(G101&lt;=기준일,1,0)</f>
        <v/>
      </c>
      <c r="S101" s="2">
        <f>J101*H101</f>
        <v/>
      </c>
      <c r="T101" s="5">
        <f>IF(AND(F101&gt;=표본시작,F101&lt;=표본종료),1,0)</f>
        <v/>
      </c>
      <c r="U101" s="5">
        <f>IF(AND(G101&gt;=조회시작,G101&lt;=조회종료),1,0)</f>
        <v/>
      </c>
    </row>
    <row r="102">
      <c r="A102" s="2">
        <f>ROW()-1</f>
        <v/>
      </c>
      <c r="B102" s="5">
        <f>INDEX(상호범위,D102)</f>
        <v/>
      </c>
      <c r="C102" s="5">
        <f>INDEX(플랫폼명범위,E102)</f>
        <v/>
      </c>
      <c r="D102" s="2">
        <f>MOD(INT((A102-1)/4),8)+1</f>
        <v/>
      </c>
      <c r="E102" s="2">
        <f>MOD(A102-1,4)+1</f>
        <v/>
      </c>
      <c r="F102" s="20">
        <f>축시작+INT((A102-1)/32)</f>
        <v/>
      </c>
      <c r="G102" s="20">
        <f>F102+H102</f>
        <v/>
      </c>
      <c r="H102" s="5" t="n">
        <v>7</v>
      </c>
      <c r="I102" s="2">
        <f>ROUND(INDEX(가맹점!$P$2:$P$9,D102)*INDEX(가맹점!$J$2:$M$9,D102,E102),0)</f>
        <v/>
      </c>
      <c r="J102" s="2">
        <f>ROUND(I102*(1-할인율),0)</f>
        <v/>
      </c>
      <c r="K102" s="2">
        <f>ROUNDDOWN(I102*할인율,0)</f>
        <v/>
      </c>
      <c r="L102" s="2">
        <f>ROUND(I102*INDEX(미지급률범위,E102),0)</f>
        <v/>
      </c>
      <c r="M102" s="2">
        <f>ROUND(I102*INDEX(과지급률범위,E102),0)</f>
        <v/>
      </c>
      <c r="N102" s="2">
        <f>MAX(0,L102-M102)</f>
        <v/>
      </c>
      <c r="O102" s="2">
        <f>K102-N102</f>
        <v/>
      </c>
      <c r="P102" s="2">
        <f>I102-N102</f>
        <v/>
      </c>
      <c r="Q102" s="5">
        <f>IF(G102&gt;기준일,1,0)</f>
        <v/>
      </c>
      <c r="R102" s="5">
        <f>IF(G102&lt;=기준일,1,0)</f>
        <v/>
      </c>
      <c r="S102" s="2">
        <f>J102*H102</f>
        <v/>
      </c>
      <c r="T102" s="5">
        <f>IF(AND(F102&gt;=표본시작,F102&lt;=표본종료),1,0)</f>
        <v/>
      </c>
      <c r="U102" s="5">
        <f>IF(AND(G102&gt;=조회시작,G102&lt;=조회종료),1,0)</f>
        <v/>
      </c>
    </row>
    <row r="103">
      <c r="A103" s="2">
        <f>ROW()-1</f>
        <v/>
      </c>
      <c r="B103" s="5">
        <f>INDEX(상호범위,D103)</f>
        <v/>
      </c>
      <c r="C103" s="5">
        <f>INDEX(플랫폼명범위,E103)</f>
        <v/>
      </c>
      <c r="D103" s="2">
        <f>MOD(INT((A103-1)/4),8)+1</f>
        <v/>
      </c>
      <c r="E103" s="2">
        <f>MOD(A103-1,4)+1</f>
        <v/>
      </c>
      <c r="F103" s="20">
        <f>축시작+INT((A103-1)/32)</f>
        <v/>
      </c>
      <c r="G103" s="20">
        <f>F103+H103</f>
        <v/>
      </c>
      <c r="H103" s="5" t="n">
        <v>2</v>
      </c>
      <c r="I103" s="2">
        <f>ROUND(INDEX(가맹점!$P$2:$P$9,D103)*INDEX(가맹점!$J$2:$M$9,D103,E103),0)</f>
        <v/>
      </c>
      <c r="J103" s="2">
        <f>ROUND(I103*(1-할인율),0)</f>
        <v/>
      </c>
      <c r="K103" s="2">
        <f>ROUNDDOWN(I103*할인율,0)</f>
        <v/>
      </c>
      <c r="L103" s="2">
        <f>ROUND(I103*INDEX(미지급률범위,E103),0)</f>
        <v/>
      </c>
      <c r="M103" s="2">
        <f>ROUND(I103*INDEX(과지급률범위,E103),0)</f>
        <v/>
      </c>
      <c r="N103" s="2">
        <f>MAX(0,L103-M103)</f>
        <v/>
      </c>
      <c r="O103" s="2">
        <f>K103-N103</f>
        <v/>
      </c>
      <c r="P103" s="2">
        <f>I103-N103</f>
        <v/>
      </c>
      <c r="Q103" s="5">
        <f>IF(G103&gt;기준일,1,0)</f>
        <v/>
      </c>
      <c r="R103" s="5">
        <f>IF(G103&lt;=기준일,1,0)</f>
        <v/>
      </c>
      <c r="S103" s="2">
        <f>J103*H103</f>
        <v/>
      </c>
      <c r="T103" s="5">
        <f>IF(AND(F103&gt;=표본시작,F103&lt;=표본종료),1,0)</f>
        <v/>
      </c>
      <c r="U103" s="5">
        <f>IF(AND(G103&gt;=조회시작,G103&lt;=조회종료),1,0)</f>
        <v/>
      </c>
    </row>
    <row r="104">
      <c r="A104" s="2">
        <f>ROW()-1</f>
        <v/>
      </c>
      <c r="B104" s="5">
        <f>INDEX(상호범위,D104)</f>
        <v/>
      </c>
      <c r="C104" s="5">
        <f>INDEX(플랫폼명범위,E104)</f>
        <v/>
      </c>
      <c r="D104" s="2">
        <f>MOD(INT((A104-1)/4),8)+1</f>
        <v/>
      </c>
      <c r="E104" s="2">
        <f>MOD(A104-1,4)+1</f>
        <v/>
      </c>
      <c r="F104" s="20">
        <f>축시작+INT((A104-1)/32)</f>
        <v/>
      </c>
      <c r="G104" s="20">
        <f>F104+H104</f>
        <v/>
      </c>
      <c r="H104" s="5" t="n">
        <v>9</v>
      </c>
      <c r="I104" s="2">
        <f>ROUND(INDEX(가맹점!$P$2:$P$9,D104)*INDEX(가맹점!$J$2:$M$9,D104,E104),0)</f>
        <v/>
      </c>
      <c r="J104" s="2">
        <f>ROUND(I104*(1-할인율),0)</f>
        <v/>
      </c>
      <c r="K104" s="2">
        <f>ROUNDDOWN(I104*할인율,0)</f>
        <v/>
      </c>
      <c r="L104" s="2">
        <f>ROUND(I104*INDEX(미지급률범위,E104),0)</f>
        <v/>
      </c>
      <c r="M104" s="2">
        <f>ROUND(I104*INDEX(과지급률범위,E104),0)</f>
        <v/>
      </c>
      <c r="N104" s="2">
        <f>MAX(0,L104-M104)</f>
        <v/>
      </c>
      <c r="O104" s="2">
        <f>K104-N104</f>
        <v/>
      </c>
      <c r="P104" s="2">
        <f>I104-N104</f>
        <v/>
      </c>
      <c r="Q104" s="5">
        <f>IF(G104&gt;기준일,1,0)</f>
        <v/>
      </c>
      <c r="R104" s="5">
        <f>IF(G104&lt;=기준일,1,0)</f>
        <v/>
      </c>
      <c r="S104" s="2">
        <f>J104*H104</f>
        <v/>
      </c>
      <c r="T104" s="5">
        <f>IF(AND(F104&gt;=표본시작,F104&lt;=표본종료),1,0)</f>
        <v/>
      </c>
      <c r="U104" s="5">
        <f>IF(AND(G104&gt;=조회시작,G104&lt;=조회종료),1,0)</f>
        <v/>
      </c>
    </row>
    <row r="105">
      <c r="A105" s="2">
        <f>ROW()-1</f>
        <v/>
      </c>
      <c r="B105" s="5">
        <f>INDEX(상호범위,D105)</f>
        <v/>
      </c>
      <c r="C105" s="5">
        <f>INDEX(플랫폼명범위,E105)</f>
        <v/>
      </c>
      <c r="D105" s="2">
        <f>MOD(INT((A105-1)/4),8)+1</f>
        <v/>
      </c>
      <c r="E105" s="2">
        <f>MOD(A105-1,4)+1</f>
        <v/>
      </c>
      <c r="F105" s="20">
        <f>축시작+INT((A105-1)/32)</f>
        <v/>
      </c>
      <c r="G105" s="20">
        <f>F105+H105</f>
        <v/>
      </c>
      <c r="H105" s="5" t="n">
        <v>6</v>
      </c>
      <c r="I105" s="2">
        <f>ROUND(INDEX(가맹점!$P$2:$P$9,D105)*INDEX(가맹점!$J$2:$M$9,D105,E105),0)</f>
        <v/>
      </c>
      <c r="J105" s="2">
        <f>ROUND(I105*(1-할인율),0)</f>
        <v/>
      </c>
      <c r="K105" s="2">
        <f>ROUNDDOWN(I105*할인율,0)</f>
        <v/>
      </c>
      <c r="L105" s="2">
        <f>ROUND(I105*INDEX(미지급률범위,E105),0)</f>
        <v/>
      </c>
      <c r="M105" s="2">
        <f>ROUND(I105*INDEX(과지급률범위,E105),0)</f>
        <v/>
      </c>
      <c r="N105" s="2">
        <f>MAX(0,L105-M105)</f>
        <v/>
      </c>
      <c r="O105" s="2">
        <f>K105-N105</f>
        <v/>
      </c>
      <c r="P105" s="2">
        <f>I105-N105</f>
        <v/>
      </c>
      <c r="Q105" s="5">
        <f>IF(G105&gt;기준일,1,0)</f>
        <v/>
      </c>
      <c r="R105" s="5">
        <f>IF(G105&lt;=기준일,1,0)</f>
        <v/>
      </c>
      <c r="S105" s="2">
        <f>J105*H105</f>
        <v/>
      </c>
      <c r="T105" s="5">
        <f>IF(AND(F105&gt;=표본시작,F105&lt;=표본종료),1,0)</f>
        <v/>
      </c>
      <c r="U105" s="5">
        <f>IF(AND(G105&gt;=조회시작,G105&lt;=조회종료),1,0)</f>
        <v/>
      </c>
    </row>
    <row r="106">
      <c r="A106" s="2">
        <f>ROW()-1</f>
        <v/>
      </c>
      <c r="B106" s="5">
        <f>INDEX(상호범위,D106)</f>
        <v/>
      </c>
      <c r="C106" s="5">
        <f>INDEX(플랫폼명범위,E106)</f>
        <v/>
      </c>
      <c r="D106" s="2">
        <f>MOD(INT((A106-1)/4),8)+1</f>
        <v/>
      </c>
      <c r="E106" s="2">
        <f>MOD(A106-1,4)+1</f>
        <v/>
      </c>
      <c r="F106" s="20">
        <f>축시작+INT((A106-1)/32)</f>
        <v/>
      </c>
      <c r="G106" s="20">
        <f>F106+H106</f>
        <v/>
      </c>
      <c r="H106" s="5" t="n">
        <v>5</v>
      </c>
      <c r="I106" s="2">
        <f>ROUND(INDEX(가맹점!$P$2:$P$9,D106)*INDEX(가맹점!$J$2:$M$9,D106,E106),0)</f>
        <v/>
      </c>
      <c r="J106" s="2">
        <f>ROUND(I106*(1-할인율),0)</f>
        <v/>
      </c>
      <c r="K106" s="2">
        <f>ROUNDDOWN(I106*할인율,0)</f>
        <v/>
      </c>
      <c r="L106" s="2">
        <f>ROUND(I106*INDEX(미지급률범위,E106),0)</f>
        <v/>
      </c>
      <c r="M106" s="2">
        <f>ROUND(I106*INDEX(과지급률범위,E106),0)</f>
        <v/>
      </c>
      <c r="N106" s="2">
        <f>MAX(0,L106-M106)</f>
        <v/>
      </c>
      <c r="O106" s="2">
        <f>K106-N106</f>
        <v/>
      </c>
      <c r="P106" s="2">
        <f>I106-N106</f>
        <v/>
      </c>
      <c r="Q106" s="5">
        <f>IF(G106&gt;기준일,1,0)</f>
        <v/>
      </c>
      <c r="R106" s="5">
        <f>IF(G106&lt;=기준일,1,0)</f>
        <v/>
      </c>
      <c r="S106" s="2">
        <f>J106*H106</f>
        <v/>
      </c>
      <c r="T106" s="5">
        <f>IF(AND(F106&gt;=표본시작,F106&lt;=표본종료),1,0)</f>
        <v/>
      </c>
      <c r="U106" s="5">
        <f>IF(AND(G106&gt;=조회시작,G106&lt;=조회종료),1,0)</f>
        <v/>
      </c>
    </row>
    <row r="107">
      <c r="A107" s="2">
        <f>ROW()-1</f>
        <v/>
      </c>
      <c r="B107" s="5">
        <f>INDEX(상호범위,D107)</f>
        <v/>
      </c>
      <c r="C107" s="5">
        <f>INDEX(플랫폼명범위,E107)</f>
        <v/>
      </c>
      <c r="D107" s="2">
        <f>MOD(INT((A107-1)/4),8)+1</f>
        <v/>
      </c>
      <c r="E107" s="2">
        <f>MOD(A107-1,4)+1</f>
        <v/>
      </c>
      <c r="F107" s="20">
        <f>축시작+INT((A107-1)/32)</f>
        <v/>
      </c>
      <c r="G107" s="20">
        <f>F107+H107</f>
        <v/>
      </c>
      <c r="H107" s="5" t="n">
        <v>2</v>
      </c>
      <c r="I107" s="2">
        <f>ROUND(INDEX(가맹점!$P$2:$P$9,D107)*INDEX(가맹점!$J$2:$M$9,D107,E107),0)</f>
        <v/>
      </c>
      <c r="J107" s="2">
        <f>ROUND(I107*(1-할인율),0)</f>
        <v/>
      </c>
      <c r="K107" s="2">
        <f>ROUNDDOWN(I107*할인율,0)</f>
        <v/>
      </c>
      <c r="L107" s="2">
        <f>ROUND(I107*INDEX(미지급률범위,E107),0)</f>
        <v/>
      </c>
      <c r="M107" s="2">
        <f>ROUND(I107*INDEX(과지급률범위,E107),0)</f>
        <v/>
      </c>
      <c r="N107" s="2">
        <f>MAX(0,L107-M107)</f>
        <v/>
      </c>
      <c r="O107" s="2">
        <f>K107-N107</f>
        <v/>
      </c>
      <c r="P107" s="2">
        <f>I107-N107</f>
        <v/>
      </c>
      <c r="Q107" s="5">
        <f>IF(G107&gt;기준일,1,0)</f>
        <v/>
      </c>
      <c r="R107" s="5">
        <f>IF(G107&lt;=기준일,1,0)</f>
        <v/>
      </c>
      <c r="S107" s="2">
        <f>J107*H107</f>
        <v/>
      </c>
      <c r="T107" s="5">
        <f>IF(AND(F107&gt;=표본시작,F107&lt;=표본종료),1,0)</f>
        <v/>
      </c>
      <c r="U107" s="5">
        <f>IF(AND(G107&gt;=조회시작,G107&lt;=조회종료),1,0)</f>
        <v/>
      </c>
    </row>
    <row r="108">
      <c r="A108" s="2">
        <f>ROW()-1</f>
        <v/>
      </c>
      <c r="B108" s="5">
        <f>INDEX(상호범위,D108)</f>
        <v/>
      </c>
      <c r="C108" s="5">
        <f>INDEX(플랫폼명범위,E108)</f>
        <v/>
      </c>
      <c r="D108" s="2">
        <f>MOD(INT((A108-1)/4),8)+1</f>
        <v/>
      </c>
      <c r="E108" s="2">
        <f>MOD(A108-1,4)+1</f>
        <v/>
      </c>
      <c r="F108" s="20">
        <f>축시작+INT((A108-1)/32)</f>
        <v/>
      </c>
      <c r="G108" s="20">
        <f>F108+H108</f>
        <v/>
      </c>
      <c r="H108" s="5" t="n">
        <v>5</v>
      </c>
      <c r="I108" s="2">
        <f>ROUND(INDEX(가맹점!$P$2:$P$9,D108)*INDEX(가맹점!$J$2:$M$9,D108,E108),0)</f>
        <v/>
      </c>
      <c r="J108" s="2">
        <f>ROUND(I108*(1-할인율),0)</f>
        <v/>
      </c>
      <c r="K108" s="2">
        <f>ROUNDDOWN(I108*할인율,0)</f>
        <v/>
      </c>
      <c r="L108" s="2">
        <f>ROUND(I108*INDEX(미지급률범위,E108),0)</f>
        <v/>
      </c>
      <c r="M108" s="2">
        <f>ROUND(I108*INDEX(과지급률범위,E108),0)</f>
        <v/>
      </c>
      <c r="N108" s="2">
        <f>MAX(0,L108-M108)</f>
        <v/>
      </c>
      <c r="O108" s="2">
        <f>K108-N108</f>
        <v/>
      </c>
      <c r="P108" s="2">
        <f>I108-N108</f>
        <v/>
      </c>
      <c r="Q108" s="5">
        <f>IF(G108&gt;기준일,1,0)</f>
        <v/>
      </c>
      <c r="R108" s="5">
        <f>IF(G108&lt;=기준일,1,0)</f>
        <v/>
      </c>
      <c r="S108" s="2">
        <f>J108*H108</f>
        <v/>
      </c>
      <c r="T108" s="5">
        <f>IF(AND(F108&gt;=표본시작,F108&lt;=표본종료),1,0)</f>
        <v/>
      </c>
      <c r="U108" s="5">
        <f>IF(AND(G108&gt;=조회시작,G108&lt;=조회종료),1,0)</f>
        <v/>
      </c>
    </row>
    <row r="109">
      <c r="A109" s="2">
        <f>ROW()-1</f>
        <v/>
      </c>
      <c r="B109" s="5">
        <f>INDEX(상호범위,D109)</f>
        <v/>
      </c>
      <c r="C109" s="5">
        <f>INDEX(플랫폼명범위,E109)</f>
        <v/>
      </c>
      <c r="D109" s="2">
        <f>MOD(INT((A109-1)/4),8)+1</f>
        <v/>
      </c>
      <c r="E109" s="2">
        <f>MOD(A109-1,4)+1</f>
        <v/>
      </c>
      <c r="F109" s="20">
        <f>축시작+INT((A109-1)/32)</f>
        <v/>
      </c>
      <c r="G109" s="20">
        <f>F109+H109</f>
        <v/>
      </c>
      <c r="H109" s="5" t="n">
        <v>9</v>
      </c>
      <c r="I109" s="2">
        <f>ROUND(INDEX(가맹점!$P$2:$P$9,D109)*INDEX(가맹점!$J$2:$M$9,D109,E109),0)</f>
        <v/>
      </c>
      <c r="J109" s="2">
        <f>ROUND(I109*(1-할인율),0)</f>
        <v/>
      </c>
      <c r="K109" s="2">
        <f>ROUNDDOWN(I109*할인율,0)</f>
        <v/>
      </c>
      <c r="L109" s="2">
        <f>ROUND(I109*INDEX(미지급률범위,E109),0)</f>
        <v/>
      </c>
      <c r="M109" s="2">
        <f>ROUND(I109*INDEX(과지급률범위,E109),0)</f>
        <v/>
      </c>
      <c r="N109" s="2">
        <f>MAX(0,L109-M109)</f>
        <v/>
      </c>
      <c r="O109" s="2">
        <f>K109-N109</f>
        <v/>
      </c>
      <c r="P109" s="2">
        <f>I109-N109</f>
        <v/>
      </c>
      <c r="Q109" s="5">
        <f>IF(G109&gt;기준일,1,0)</f>
        <v/>
      </c>
      <c r="R109" s="5">
        <f>IF(G109&lt;=기준일,1,0)</f>
        <v/>
      </c>
      <c r="S109" s="2">
        <f>J109*H109</f>
        <v/>
      </c>
      <c r="T109" s="5">
        <f>IF(AND(F109&gt;=표본시작,F109&lt;=표본종료),1,0)</f>
        <v/>
      </c>
      <c r="U109" s="5">
        <f>IF(AND(G109&gt;=조회시작,G109&lt;=조회종료),1,0)</f>
        <v/>
      </c>
    </row>
    <row r="110">
      <c r="A110" s="2">
        <f>ROW()-1</f>
        <v/>
      </c>
      <c r="B110" s="5">
        <f>INDEX(상호범위,D110)</f>
        <v/>
      </c>
      <c r="C110" s="5">
        <f>INDEX(플랫폼명범위,E110)</f>
        <v/>
      </c>
      <c r="D110" s="2">
        <f>MOD(INT((A110-1)/4),8)+1</f>
        <v/>
      </c>
      <c r="E110" s="2">
        <f>MOD(A110-1,4)+1</f>
        <v/>
      </c>
      <c r="F110" s="20">
        <f>축시작+INT((A110-1)/32)</f>
        <v/>
      </c>
      <c r="G110" s="20">
        <f>F110+H110</f>
        <v/>
      </c>
      <c r="H110" s="5" t="n">
        <v>3</v>
      </c>
      <c r="I110" s="2">
        <f>ROUND(INDEX(가맹점!$P$2:$P$9,D110)*INDEX(가맹점!$J$2:$M$9,D110,E110),0)</f>
        <v/>
      </c>
      <c r="J110" s="2">
        <f>ROUND(I110*(1-할인율),0)</f>
        <v/>
      </c>
      <c r="K110" s="2">
        <f>ROUNDDOWN(I110*할인율,0)</f>
        <v/>
      </c>
      <c r="L110" s="2">
        <f>ROUND(I110*INDEX(미지급률범위,E110),0)</f>
        <v/>
      </c>
      <c r="M110" s="2">
        <f>ROUND(I110*INDEX(과지급률범위,E110),0)</f>
        <v/>
      </c>
      <c r="N110" s="2">
        <f>MAX(0,L110-M110)</f>
        <v/>
      </c>
      <c r="O110" s="2">
        <f>K110-N110</f>
        <v/>
      </c>
      <c r="P110" s="2">
        <f>I110-N110</f>
        <v/>
      </c>
      <c r="Q110" s="5">
        <f>IF(G110&gt;기준일,1,0)</f>
        <v/>
      </c>
      <c r="R110" s="5">
        <f>IF(G110&lt;=기준일,1,0)</f>
        <v/>
      </c>
      <c r="S110" s="2">
        <f>J110*H110</f>
        <v/>
      </c>
      <c r="T110" s="5">
        <f>IF(AND(F110&gt;=표본시작,F110&lt;=표본종료),1,0)</f>
        <v/>
      </c>
      <c r="U110" s="5">
        <f>IF(AND(G110&gt;=조회시작,G110&lt;=조회종료),1,0)</f>
        <v/>
      </c>
    </row>
    <row r="111">
      <c r="A111" s="2">
        <f>ROW()-1</f>
        <v/>
      </c>
      <c r="B111" s="5">
        <f>INDEX(상호범위,D111)</f>
        <v/>
      </c>
      <c r="C111" s="5">
        <f>INDEX(플랫폼명범위,E111)</f>
        <v/>
      </c>
      <c r="D111" s="2">
        <f>MOD(INT((A111-1)/4),8)+1</f>
        <v/>
      </c>
      <c r="E111" s="2">
        <f>MOD(A111-1,4)+1</f>
        <v/>
      </c>
      <c r="F111" s="20">
        <f>축시작+INT((A111-1)/32)</f>
        <v/>
      </c>
      <c r="G111" s="20">
        <f>F111+H111</f>
        <v/>
      </c>
      <c r="H111" s="5" t="n">
        <v>6</v>
      </c>
      <c r="I111" s="2">
        <f>ROUND(INDEX(가맹점!$P$2:$P$9,D111)*INDEX(가맹점!$J$2:$M$9,D111,E111),0)</f>
        <v/>
      </c>
      <c r="J111" s="2">
        <f>ROUND(I111*(1-할인율),0)</f>
        <v/>
      </c>
      <c r="K111" s="2">
        <f>ROUNDDOWN(I111*할인율,0)</f>
        <v/>
      </c>
      <c r="L111" s="2">
        <f>ROUND(I111*INDEX(미지급률범위,E111),0)</f>
        <v/>
      </c>
      <c r="M111" s="2">
        <f>ROUND(I111*INDEX(과지급률범위,E111),0)</f>
        <v/>
      </c>
      <c r="N111" s="2">
        <f>MAX(0,L111-M111)</f>
        <v/>
      </c>
      <c r="O111" s="2">
        <f>K111-N111</f>
        <v/>
      </c>
      <c r="P111" s="2">
        <f>I111-N111</f>
        <v/>
      </c>
      <c r="Q111" s="5">
        <f>IF(G111&gt;기준일,1,0)</f>
        <v/>
      </c>
      <c r="R111" s="5">
        <f>IF(G111&lt;=기준일,1,0)</f>
        <v/>
      </c>
      <c r="S111" s="2">
        <f>J111*H111</f>
        <v/>
      </c>
      <c r="T111" s="5">
        <f>IF(AND(F111&gt;=표본시작,F111&lt;=표본종료),1,0)</f>
        <v/>
      </c>
      <c r="U111" s="5">
        <f>IF(AND(G111&gt;=조회시작,G111&lt;=조회종료),1,0)</f>
        <v/>
      </c>
    </row>
    <row r="112">
      <c r="A112" s="2">
        <f>ROW()-1</f>
        <v/>
      </c>
      <c r="B112" s="5">
        <f>INDEX(상호범위,D112)</f>
        <v/>
      </c>
      <c r="C112" s="5">
        <f>INDEX(플랫폼명범위,E112)</f>
        <v/>
      </c>
      <c r="D112" s="2">
        <f>MOD(INT((A112-1)/4),8)+1</f>
        <v/>
      </c>
      <c r="E112" s="2">
        <f>MOD(A112-1,4)+1</f>
        <v/>
      </c>
      <c r="F112" s="20">
        <f>축시작+INT((A112-1)/32)</f>
        <v/>
      </c>
      <c r="G112" s="20">
        <f>F112+H112</f>
        <v/>
      </c>
      <c r="H112" s="5" t="n">
        <v>5</v>
      </c>
      <c r="I112" s="2">
        <f>ROUND(INDEX(가맹점!$P$2:$P$9,D112)*INDEX(가맹점!$J$2:$M$9,D112,E112),0)</f>
        <v/>
      </c>
      <c r="J112" s="2">
        <f>ROUND(I112*(1-할인율),0)</f>
        <v/>
      </c>
      <c r="K112" s="2">
        <f>ROUNDDOWN(I112*할인율,0)</f>
        <v/>
      </c>
      <c r="L112" s="2">
        <f>ROUND(I112*INDEX(미지급률범위,E112),0)</f>
        <v/>
      </c>
      <c r="M112" s="2">
        <f>ROUND(I112*INDEX(과지급률범위,E112),0)</f>
        <v/>
      </c>
      <c r="N112" s="2">
        <f>MAX(0,L112-M112)</f>
        <v/>
      </c>
      <c r="O112" s="2">
        <f>K112-N112</f>
        <v/>
      </c>
      <c r="P112" s="2">
        <f>I112-N112</f>
        <v/>
      </c>
      <c r="Q112" s="5">
        <f>IF(G112&gt;기준일,1,0)</f>
        <v/>
      </c>
      <c r="R112" s="5">
        <f>IF(G112&lt;=기준일,1,0)</f>
        <v/>
      </c>
      <c r="S112" s="2">
        <f>J112*H112</f>
        <v/>
      </c>
      <c r="T112" s="5">
        <f>IF(AND(F112&gt;=표본시작,F112&lt;=표본종료),1,0)</f>
        <v/>
      </c>
      <c r="U112" s="5">
        <f>IF(AND(G112&gt;=조회시작,G112&lt;=조회종료),1,0)</f>
        <v/>
      </c>
    </row>
    <row r="113">
      <c r="A113" s="2">
        <f>ROW()-1</f>
        <v/>
      </c>
      <c r="B113" s="5">
        <f>INDEX(상호범위,D113)</f>
        <v/>
      </c>
      <c r="C113" s="5">
        <f>INDEX(플랫폼명범위,E113)</f>
        <v/>
      </c>
      <c r="D113" s="2">
        <f>MOD(INT((A113-1)/4),8)+1</f>
        <v/>
      </c>
      <c r="E113" s="2">
        <f>MOD(A113-1,4)+1</f>
        <v/>
      </c>
      <c r="F113" s="20">
        <f>축시작+INT((A113-1)/32)</f>
        <v/>
      </c>
      <c r="G113" s="20">
        <f>F113+H113</f>
        <v/>
      </c>
      <c r="H113" s="5" t="n">
        <v>6</v>
      </c>
      <c r="I113" s="2">
        <f>ROUND(INDEX(가맹점!$P$2:$P$9,D113)*INDEX(가맹점!$J$2:$M$9,D113,E113),0)</f>
        <v/>
      </c>
      <c r="J113" s="2">
        <f>ROUND(I113*(1-할인율),0)</f>
        <v/>
      </c>
      <c r="K113" s="2">
        <f>ROUNDDOWN(I113*할인율,0)</f>
        <v/>
      </c>
      <c r="L113" s="2">
        <f>ROUND(I113*INDEX(미지급률범위,E113),0)</f>
        <v/>
      </c>
      <c r="M113" s="2">
        <f>ROUND(I113*INDEX(과지급률범위,E113),0)</f>
        <v/>
      </c>
      <c r="N113" s="2">
        <f>MAX(0,L113-M113)</f>
        <v/>
      </c>
      <c r="O113" s="2">
        <f>K113-N113</f>
        <v/>
      </c>
      <c r="P113" s="2">
        <f>I113-N113</f>
        <v/>
      </c>
      <c r="Q113" s="5">
        <f>IF(G113&gt;기준일,1,0)</f>
        <v/>
      </c>
      <c r="R113" s="5">
        <f>IF(G113&lt;=기준일,1,0)</f>
        <v/>
      </c>
      <c r="S113" s="2">
        <f>J113*H113</f>
        <v/>
      </c>
      <c r="T113" s="5">
        <f>IF(AND(F113&gt;=표본시작,F113&lt;=표본종료),1,0)</f>
        <v/>
      </c>
      <c r="U113" s="5">
        <f>IF(AND(G113&gt;=조회시작,G113&lt;=조회종료),1,0)</f>
        <v/>
      </c>
    </row>
    <row r="114">
      <c r="A114" s="2">
        <f>ROW()-1</f>
        <v/>
      </c>
      <c r="B114" s="5">
        <f>INDEX(상호범위,D114)</f>
        <v/>
      </c>
      <c r="C114" s="5">
        <f>INDEX(플랫폼명범위,E114)</f>
        <v/>
      </c>
      <c r="D114" s="2">
        <f>MOD(INT((A114-1)/4),8)+1</f>
        <v/>
      </c>
      <c r="E114" s="2">
        <f>MOD(A114-1,4)+1</f>
        <v/>
      </c>
      <c r="F114" s="20">
        <f>축시작+INT((A114-1)/32)</f>
        <v/>
      </c>
      <c r="G114" s="20">
        <f>F114+H114</f>
        <v/>
      </c>
      <c r="H114" s="5" t="n">
        <v>1</v>
      </c>
      <c r="I114" s="2">
        <f>ROUND(INDEX(가맹점!$P$2:$P$9,D114)*INDEX(가맹점!$J$2:$M$9,D114,E114),0)</f>
        <v/>
      </c>
      <c r="J114" s="2">
        <f>ROUND(I114*(1-할인율),0)</f>
        <v/>
      </c>
      <c r="K114" s="2">
        <f>ROUNDDOWN(I114*할인율,0)</f>
        <v/>
      </c>
      <c r="L114" s="2">
        <f>ROUND(I114*INDEX(미지급률범위,E114),0)</f>
        <v/>
      </c>
      <c r="M114" s="2">
        <f>ROUND(I114*INDEX(과지급률범위,E114),0)</f>
        <v/>
      </c>
      <c r="N114" s="2">
        <f>MAX(0,L114-M114)</f>
        <v/>
      </c>
      <c r="O114" s="2">
        <f>K114-N114</f>
        <v/>
      </c>
      <c r="P114" s="2">
        <f>I114-N114</f>
        <v/>
      </c>
      <c r="Q114" s="5">
        <f>IF(G114&gt;기준일,1,0)</f>
        <v/>
      </c>
      <c r="R114" s="5">
        <f>IF(G114&lt;=기준일,1,0)</f>
        <v/>
      </c>
      <c r="S114" s="2">
        <f>J114*H114</f>
        <v/>
      </c>
      <c r="T114" s="5">
        <f>IF(AND(F114&gt;=표본시작,F114&lt;=표본종료),1,0)</f>
        <v/>
      </c>
      <c r="U114" s="5">
        <f>IF(AND(G114&gt;=조회시작,G114&lt;=조회종료),1,0)</f>
        <v/>
      </c>
    </row>
    <row r="115">
      <c r="A115" s="2">
        <f>ROW()-1</f>
        <v/>
      </c>
      <c r="B115" s="5">
        <f>INDEX(상호범위,D115)</f>
        <v/>
      </c>
      <c r="C115" s="5">
        <f>INDEX(플랫폼명범위,E115)</f>
        <v/>
      </c>
      <c r="D115" s="2">
        <f>MOD(INT((A115-1)/4),8)+1</f>
        <v/>
      </c>
      <c r="E115" s="2">
        <f>MOD(A115-1,4)+1</f>
        <v/>
      </c>
      <c r="F115" s="20">
        <f>축시작+INT((A115-1)/32)</f>
        <v/>
      </c>
      <c r="G115" s="20">
        <f>F115+H115</f>
        <v/>
      </c>
      <c r="H115" s="5" t="n">
        <v>5</v>
      </c>
      <c r="I115" s="2">
        <f>ROUND(INDEX(가맹점!$P$2:$P$9,D115)*INDEX(가맹점!$J$2:$M$9,D115,E115),0)</f>
        <v/>
      </c>
      <c r="J115" s="2">
        <f>ROUND(I115*(1-할인율),0)</f>
        <v/>
      </c>
      <c r="K115" s="2">
        <f>ROUNDDOWN(I115*할인율,0)</f>
        <v/>
      </c>
      <c r="L115" s="2">
        <f>ROUND(I115*INDEX(미지급률범위,E115),0)</f>
        <v/>
      </c>
      <c r="M115" s="2">
        <f>ROUND(I115*INDEX(과지급률범위,E115),0)</f>
        <v/>
      </c>
      <c r="N115" s="2">
        <f>MAX(0,L115-M115)</f>
        <v/>
      </c>
      <c r="O115" s="2">
        <f>K115-N115</f>
        <v/>
      </c>
      <c r="P115" s="2">
        <f>I115-N115</f>
        <v/>
      </c>
      <c r="Q115" s="5">
        <f>IF(G115&gt;기준일,1,0)</f>
        <v/>
      </c>
      <c r="R115" s="5">
        <f>IF(G115&lt;=기준일,1,0)</f>
        <v/>
      </c>
      <c r="S115" s="2">
        <f>J115*H115</f>
        <v/>
      </c>
      <c r="T115" s="5">
        <f>IF(AND(F115&gt;=표본시작,F115&lt;=표본종료),1,0)</f>
        <v/>
      </c>
      <c r="U115" s="5">
        <f>IF(AND(G115&gt;=조회시작,G115&lt;=조회종료),1,0)</f>
        <v/>
      </c>
    </row>
    <row r="116">
      <c r="A116" s="2">
        <f>ROW()-1</f>
        <v/>
      </c>
      <c r="B116" s="5">
        <f>INDEX(상호범위,D116)</f>
        <v/>
      </c>
      <c r="C116" s="5">
        <f>INDEX(플랫폼명범위,E116)</f>
        <v/>
      </c>
      <c r="D116" s="2">
        <f>MOD(INT((A116-1)/4),8)+1</f>
        <v/>
      </c>
      <c r="E116" s="2">
        <f>MOD(A116-1,4)+1</f>
        <v/>
      </c>
      <c r="F116" s="20">
        <f>축시작+INT((A116-1)/32)</f>
        <v/>
      </c>
      <c r="G116" s="20">
        <f>F116+H116</f>
        <v/>
      </c>
      <c r="H116" s="5" t="n">
        <v>3</v>
      </c>
      <c r="I116" s="2">
        <f>ROUND(INDEX(가맹점!$P$2:$P$9,D116)*INDEX(가맹점!$J$2:$M$9,D116,E116),0)</f>
        <v/>
      </c>
      <c r="J116" s="2">
        <f>ROUND(I116*(1-할인율),0)</f>
        <v/>
      </c>
      <c r="K116" s="2">
        <f>ROUNDDOWN(I116*할인율,0)</f>
        <v/>
      </c>
      <c r="L116" s="2">
        <f>ROUND(I116*INDEX(미지급률범위,E116),0)</f>
        <v/>
      </c>
      <c r="M116" s="2">
        <f>ROUND(I116*INDEX(과지급률범위,E116),0)</f>
        <v/>
      </c>
      <c r="N116" s="2">
        <f>MAX(0,L116-M116)</f>
        <v/>
      </c>
      <c r="O116" s="2">
        <f>K116-N116</f>
        <v/>
      </c>
      <c r="P116" s="2">
        <f>I116-N116</f>
        <v/>
      </c>
      <c r="Q116" s="5">
        <f>IF(G116&gt;기준일,1,0)</f>
        <v/>
      </c>
      <c r="R116" s="5">
        <f>IF(G116&lt;=기준일,1,0)</f>
        <v/>
      </c>
      <c r="S116" s="2">
        <f>J116*H116</f>
        <v/>
      </c>
      <c r="T116" s="5">
        <f>IF(AND(F116&gt;=표본시작,F116&lt;=표본종료),1,0)</f>
        <v/>
      </c>
      <c r="U116" s="5">
        <f>IF(AND(G116&gt;=조회시작,G116&lt;=조회종료),1,0)</f>
        <v/>
      </c>
    </row>
    <row r="117">
      <c r="A117" s="2">
        <f>ROW()-1</f>
        <v/>
      </c>
      <c r="B117" s="5">
        <f>INDEX(상호범위,D117)</f>
        <v/>
      </c>
      <c r="C117" s="5">
        <f>INDEX(플랫폼명범위,E117)</f>
        <v/>
      </c>
      <c r="D117" s="2">
        <f>MOD(INT((A117-1)/4),8)+1</f>
        <v/>
      </c>
      <c r="E117" s="2">
        <f>MOD(A117-1,4)+1</f>
        <v/>
      </c>
      <c r="F117" s="20">
        <f>축시작+INT((A117-1)/32)</f>
        <v/>
      </c>
      <c r="G117" s="20">
        <f>F117+H117</f>
        <v/>
      </c>
      <c r="H117" s="5" t="n">
        <v>9</v>
      </c>
      <c r="I117" s="2">
        <f>ROUND(INDEX(가맹점!$P$2:$P$9,D117)*INDEX(가맹점!$J$2:$M$9,D117,E117),0)</f>
        <v/>
      </c>
      <c r="J117" s="2">
        <f>ROUND(I117*(1-할인율),0)</f>
        <v/>
      </c>
      <c r="K117" s="2">
        <f>ROUNDDOWN(I117*할인율,0)</f>
        <v/>
      </c>
      <c r="L117" s="2">
        <f>ROUND(I117*INDEX(미지급률범위,E117),0)</f>
        <v/>
      </c>
      <c r="M117" s="2">
        <f>ROUND(I117*INDEX(과지급률범위,E117),0)</f>
        <v/>
      </c>
      <c r="N117" s="2">
        <f>MAX(0,L117-M117)</f>
        <v/>
      </c>
      <c r="O117" s="2">
        <f>K117-N117</f>
        <v/>
      </c>
      <c r="P117" s="2">
        <f>I117-N117</f>
        <v/>
      </c>
      <c r="Q117" s="5">
        <f>IF(G117&gt;기준일,1,0)</f>
        <v/>
      </c>
      <c r="R117" s="5">
        <f>IF(G117&lt;=기준일,1,0)</f>
        <v/>
      </c>
      <c r="S117" s="2">
        <f>J117*H117</f>
        <v/>
      </c>
      <c r="T117" s="5">
        <f>IF(AND(F117&gt;=표본시작,F117&lt;=표본종료),1,0)</f>
        <v/>
      </c>
      <c r="U117" s="5">
        <f>IF(AND(G117&gt;=조회시작,G117&lt;=조회종료),1,0)</f>
        <v/>
      </c>
    </row>
    <row r="118">
      <c r="A118" s="2">
        <f>ROW()-1</f>
        <v/>
      </c>
      <c r="B118" s="5">
        <f>INDEX(상호범위,D118)</f>
        <v/>
      </c>
      <c r="C118" s="5">
        <f>INDEX(플랫폼명범위,E118)</f>
        <v/>
      </c>
      <c r="D118" s="2">
        <f>MOD(INT((A118-1)/4),8)+1</f>
        <v/>
      </c>
      <c r="E118" s="2">
        <f>MOD(A118-1,4)+1</f>
        <v/>
      </c>
      <c r="F118" s="20">
        <f>축시작+INT((A118-1)/32)</f>
        <v/>
      </c>
      <c r="G118" s="20">
        <f>F118+H118</f>
        <v/>
      </c>
      <c r="H118" s="5" t="n">
        <v>7</v>
      </c>
      <c r="I118" s="2">
        <f>ROUND(INDEX(가맹점!$P$2:$P$9,D118)*INDEX(가맹점!$J$2:$M$9,D118,E118),0)</f>
        <v/>
      </c>
      <c r="J118" s="2">
        <f>ROUND(I118*(1-할인율),0)</f>
        <v/>
      </c>
      <c r="K118" s="2">
        <f>ROUNDDOWN(I118*할인율,0)</f>
        <v/>
      </c>
      <c r="L118" s="2">
        <f>ROUND(I118*INDEX(미지급률범위,E118),0)</f>
        <v/>
      </c>
      <c r="M118" s="2">
        <f>ROUND(I118*INDEX(과지급률범위,E118),0)</f>
        <v/>
      </c>
      <c r="N118" s="2">
        <f>MAX(0,L118-M118)</f>
        <v/>
      </c>
      <c r="O118" s="2">
        <f>K118-N118</f>
        <v/>
      </c>
      <c r="P118" s="2">
        <f>I118-N118</f>
        <v/>
      </c>
      <c r="Q118" s="5">
        <f>IF(G118&gt;기준일,1,0)</f>
        <v/>
      </c>
      <c r="R118" s="5">
        <f>IF(G118&lt;=기준일,1,0)</f>
        <v/>
      </c>
      <c r="S118" s="2">
        <f>J118*H118</f>
        <v/>
      </c>
      <c r="T118" s="5">
        <f>IF(AND(F118&gt;=표본시작,F118&lt;=표본종료),1,0)</f>
        <v/>
      </c>
      <c r="U118" s="5">
        <f>IF(AND(G118&gt;=조회시작,G118&lt;=조회종료),1,0)</f>
        <v/>
      </c>
    </row>
    <row r="119">
      <c r="A119" s="2">
        <f>ROW()-1</f>
        <v/>
      </c>
      <c r="B119" s="5">
        <f>INDEX(상호범위,D119)</f>
        <v/>
      </c>
      <c r="C119" s="5">
        <f>INDEX(플랫폼명범위,E119)</f>
        <v/>
      </c>
      <c r="D119" s="2">
        <f>MOD(INT((A119-1)/4),8)+1</f>
        <v/>
      </c>
      <c r="E119" s="2">
        <f>MOD(A119-1,4)+1</f>
        <v/>
      </c>
      <c r="F119" s="20">
        <f>축시작+INT((A119-1)/32)</f>
        <v/>
      </c>
      <c r="G119" s="20">
        <f>F119+H119</f>
        <v/>
      </c>
      <c r="H119" s="5" t="n">
        <v>7</v>
      </c>
      <c r="I119" s="2">
        <f>ROUND(INDEX(가맹점!$P$2:$P$9,D119)*INDEX(가맹점!$J$2:$M$9,D119,E119),0)</f>
        <v/>
      </c>
      <c r="J119" s="2">
        <f>ROUND(I119*(1-할인율),0)</f>
        <v/>
      </c>
      <c r="K119" s="2">
        <f>ROUNDDOWN(I119*할인율,0)</f>
        <v/>
      </c>
      <c r="L119" s="2">
        <f>ROUND(I119*INDEX(미지급률범위,E119),0)</f>
        <v/>
      </c>
      <c r="M119" s="2">
        <f>ROUND(I119*INDEX(과지급률범위,E119),0)</f>
        <v/>
      </c>
      <c r="N119" s="2">
        <f>MAX(0,L119-M119)</f>
        <v/>
      </c>
      <c r="O119" s="2">
        <f>K119-N119</f>
        <v/>
      </c>
      <c r="P119" s="2">
        <f>I119-N119</f>
        <v/>
      </c>
      <c r="Q119" s="5">
        <f>IF(G119&gt;기준일,1,0)</f>
        <v/>
      </c>
      <c r="R119" s="5">
        <f>IF(G119&lt;=기준일,1,0)</f>
        <v/>
      </c>
      <c r="S119" s="2">
        <f>J119*H119</f>
        <v/>
      </c>
      <c r="T119" s="5">
        <f>IF(AND(F119&gt;=표본시작,F119&lt;=표본종료),1,0)</f>
        <v/>
      </c>
      <c r="U119" s="5">
        <f>IF(AND(G119&gt;=조회시작,G119&lt;=조회종료),1,0)</f>
        <v/>
      </c>
    </row>
    <row r="120">
      <c r="A120" s="2">
        <f>ROW()-1</f>
        <v/>
      </c>
      <c r="B120" s="5">
        <f>INDEX(상호범위,D120)</f>
        <v/>
      </c>
      <c r="C120" s="5">
        <f>INDEX(플랫폼명범위,E120)</f>
        <v/>
      </c>
      <c r="D120" s="2">
        <f>MOD(INT((A120-1)/4),8)+1</f>
        <v/>
      </c>
      <c r="E120" s="2">
        <f>MOD(A120-1,4)+1</f>
        <v/>
      </c>
      <c r="F120" s="20">
        <f>축시작+INT((A120-1)/32)</f>
        <v/>
      </c>
      <c r="G120" s="20">
        <f>F120+H120</f>
        <v/>
      </c>
      <c r="H120" s="5" t="n">
        <v>3</v>
      </c>
      <c r="I120" s="2">
        <f>ROUND(INDEX(가맹점!$P$2:$P$9,D120)*INDEX(가맹점!$J$2:$M$9,D120,E120),0)</f>
        <v/>
      </c>
      <c r="J120" s="2">
        <f>ROUND(I120*(1-할인율),0)</f>
        <v/>
      </c>
      <c r="K120" s="2">
        <f>ROUNDDOWN(I120*할인율,0)</f>
        <v/>
      </c>
      <c r="L120" s="2">
        <f>ROUND(I120*INDEX(미지급률범위,E120),0)</f>
        <v/>
      </c>
      <c r="M120" s="2">
        <f>ROUND(I120*INDEX(과지급률범위,E120),0)</f>
        <v/>
      </c>
      <c r="N120" s="2">
        <f>MAX(0,L120-M120)</f>
        <v/>
      </c>
      <c r="O120" s="2">
        <f>K120-N120</f>
        <v/>
      </c>
      <c r="P120" s="2">
        <f>I120-N120</f>
        <v/>
      </c>
      <c r="Q120" s="5">
        <f>IF(G120&gt;기준일,1,0)</f>
        <v/>
      </c>
      <c r="R120" s="5">
        <f>IF(G120&lt;=기준일,1,0)</f>
        <v/>
      </c>
      <c r="S120" s="2">
        <f>J120*H120</f>
        <v/>
      </c>
      <c r="T120" s="5">
        <f>IF(AND(F120&gt;=표본시작,F120&lt;=표본종료),1,0)</f>
        <v/>
      </c>
      <c r="U120" s="5">
        <f>IF(AND(G120&gt;=조회시작,G120&lt;=조회종료),1,0)</f>
        <v/>
      </c>
    </row>
    <row r="121">
      <c r="A121" s="2">
        <f>ROW()-1</f>
        <v/>
      </c>
      <c r="B121" s="5">
        <f>INDEX(상호범위,D121)</f>
        <v/>
      </c>
      <c r="C121" s="5">
        <f>INDEX(플랫폼명범위,E121)</f>
        <v/>
      </c>
      <c r="D121" s="2">
        <f>MOD(INT((A121-1)/4),8)+1</f>
        <v/>
      </c>
      <c r="E121" s="2">
        <f>MOD(A121-1,4)+1</f>
        <v/>
      </c>
      <c r="F121" s="20">
        <f>축시작+INT((A121-1)/32)</f>
        <v/>
      </c>
      <c r="G121" s="20">
        <f>F121+H121</f>
        <v/>
      </c>
      <c r="H121" s="5" t="n">
        <v>5</v>
      </c>
      <c r="I121" s="2">
        <f>ROUND(INDEX(가맹점!$P$2:$P$9,D121)*INDEX(가맹점!$J$2:$M$9,D121,E121),0)</f>
        <v/>
      </c>
      <c r="J121" s="2">
        <f>ROUND(I121*(1-할인율),0)</f>
        <v/>
      </c>
      <c r="K121" s="2">
        <f>ROUNDDOWN(I121*할인율,0)</f>
        <v/>
      </c>
      <c r="L121" s="2">
        <f>ROUND(I121*INDEX(미지급률범위,E121),0)</f>
        <v/>
      </c>
      <c r="M121" s="2">
        <f>ROUND(I121*INDEX(과지급률범위,E121),0)</f>
        <v/>
      </c>
      <c r="N121" s="2">
        <f>MAX(0,L121-M121)</f>
        <v/>
      </c>
      <c r="O121" s="2">
        <f>K121-N121</f>
        <v/>
      </c>
      <c r="P121" s="2">
        <f>I121-N121</f>
        <v/>
      </c>
      <c r="Q121" s="5">
        <f>IF(G121&gt;기준일,1,0)</f>
        <v/>
      </c>
      <c r="R121" s="5">
        <f>IF(G121&lt;=기준일,1,0)</f>
        <v/>
      </c>
      <c r="S121" s="2">
        <f>J121*H121</f>
        <v/>
      </c>
      <c r="T121" s="5">
        <f>IF(AND(F121&gt;=표본시작,F121&lt;=표본종료),1,0)</f>
        <v/>
      </c>
      <c r="U121" s="5">
        <f>IF(AND(G121&gt;=조회시작,G121&lt;=조회종료),1,0)</f>
        <v/>
      </c>
    </row>
    <row r="122">
      <c r="A122" s="2">
        <f>ROW()-1</f>
        <v/>
      </c>
      <c r="B122" s="5">
        <f>INDEX(상호범위,D122)</f>
        <v/>
      </c>
      <c r="C122" s="5">
        <f>INDEX(플랫폼명범위,E122)</f>
        <v/>
      </c>
      <c r="D122" s="2">
        <f>MOD(INT((A122-1)/4),8)+1</f>
        <v/>
      </c>
      <c r="E122" s="2">
        <f>MOD(A122-1,4)+1</f>
        <v/>
      </c>
      <c r="F122" s="20">
        <f>축시작+INT((A122-1)/32)</f>
        <v/>
      </c>
      <c r="G122" s="20">
        <f>F122+H122</f>
        <v/>
      </c>
      <c r="H122" s="5" t="n">
        <v>3</v>
      </c>
      <c r="I122" s="2">
        <f>ROUND(INDEX(가맹점!$P$2:$P$9,D122)*INDEX(가맹점!$J$2:$M$9,D122,E122),0)</f>
        <v/>
      </c>
      <c r="J122" s="2">
        <f>ROUND(I122*(1-할인율),0)</f>
        <v/>
      </c>
      <c r="K122" s="2">
        <f>ROUNDDOWN(I122*할인율,0)</f>
        <v/>
      </c>
      <c r="L122" s="2">
        <f>ROUND(I122*INDEX(미지급률범위,E122),0)</f>
        <v/>
      </c>
      <c r="M122" s="2">
        <f>ROUND(I122*INDEX(과지급률범위,E122),0)</f>
        <v/>
      </c>
      <c r="N122" s="2">
        <f>MAX(0,L122-M122)</f>
        <v/>
      </c>
      <c r="O122" s="2">
        <f>K122-N122</f>
        <v/>
      </c>
      <c r="P122" s="2">
        <f>I122-N122</f>
        <v/>
      </c>
      <c r="Q122" s="5">
        <f>IF(G122&gt;기준일,1,0)</f>
        <v/>
      </c>
      <c r="R122" s="5">
        <f>IF(G122&lt;=기준일,1,0)</f>
        <v/>
      </c>
      <c r="S122" s="2">
        <f>J122*H122</f>
        <v/>
      </c>
      <c r="T122" s="5">
        <f>IF(AND(F122&gt;=표본시작,F122&lt;=표본종료),1,0)</f>
        <v/>
      </c>
      <c r="U122" s="5">
        <f>IF(AND(G122&gt;=조회시작,G122&lt;=조회종료),1,0)</f>
        <v/>
      </c>
    </row>
    <row r="123">
      <c r="A123" s="2">
        <f>ROW()-1</f>
        <v/>
      </c>
      <c r="B123" s="5">
        <f>INDEX(상호범위,D123)</f>
        <v/>
      </c>
      <c r="C123" s="5">
        <f>INDEX(플랫폼명범위,E123)</f>
        <v/>
      </c>
      <c r="D123" s="2">
        <f>MOD(INT((A123-1)/4),8)+1</f>
        <v/>
      </c>
      <c r="E123" s="2">
        <f>MOD(A123-1,4)+1</f>
        <v/>
      </c>
      <c r="F123" s="20">
        <f>축시작+INT((A123-1)/32)</f>
        <v/>
      </c>
      <c r="G123" s="20">
        <f>F123+H123</f>
        <v/>
      </c>
      <c r="H123" s="5" t="n">
        <v>6</v>
      </c>
      <c r="I123" s="2">
        <f>ROUND(INDEX(가맹점!$P$2:$P$9,D123)*INDEX(가맹점!$J$2:$M$9,D123,E123),0)</f>
        <v/>
      </c>
      <c r="J123" s="2">
        <f>ROUND(I123*(1-할인율),0)</f>
        <v/>
      </c>
      <c r="K123" s="2">
        <f>ROUNDDOWN(I123*할인율,0)</f>
        <v/>
      </c>
      <c r="L123" s="2">
        <f>ROUND(I123*INDEX(미지급률범위,E123),0)</f>
        <v/>
      </c>
      <c r="M123" s="2">
        <f>ROUND(I123*INDEX(과지급률범위,E123),0)</f>
        <v/>
      </c>
      <c r="N123" s="2">
        <f>MAX(0,L123-M123)</f>
        <v/>
      </c>
      <c r="O123" s="2">
        <f>K123-N123</f>
        <v/>
      </c>
      <c r="P123" s="2">
        <f>I123-N123</f>
        <v/>
      </c>
      <c r="Q123" s="5">
        <f>IF(G123&gt;기준일,1,0)</f>
        <v/>
      </c>
      <c r="R123" s="5">
        <f>IF(G123&lt;=기준일,1,0)</f>
        <v/>
      </c>
      <c r="S123" s="2">
        <f>J123*H123</f>
        <v/>
      </c>
      <c r="T123" s="5">
        <f>IF(AND(F123&gt;=표본시작,F123&lt;=표본종료),1,0)</f>
        <v/>
      </c>
      <c r="U123" s="5">
        <f>IF(AND(G123&gt;=조회시작,G123&lt;=조회종료),1,0)</f>
        <v/>
      </c>
    </row>
    <row r="124">
      <c r="A124" s="2">
        <f>ROW()-1</f>
        <v/>
      </c>
      <c r="B124" s="5">
        <f>INDEX(상호범위,D124)</f>
        <v/>
      </c>
      <c r="C124" s="5">
        <f>INDEX(플랫폼명범위,E124)</f>
        <v/>
      </c>
      <c r="D124" s="2">
        <f>MOD(INT((A124-1)/4),8)+1</f>
        <v/>
      </c>
      <c r="E124" s="2">
        <f>MOD(A124-1,4)+1</f>
        <v/>
      </c>
      <c r="F124" s="20">
        <f>축시작+INT((A124-1)/32)</f>
        <v/>
      </c>
      <c r="G124" s="20">
        <f>F124+H124</f>
        <v/>
      </c>
      <c r="H124" s="5" t="n">
        <v>5</v>
      </c>
      <c r="I124" s="2">
        <f>ROUND(INDEX(가맹점!$P$2:$P$9,D124)*INDEX(가맹점!$J$2:$M$9,D124,E124),0)</f>
        <v/>
      </c>
      <c r="J124" s="2">
        <f>ROUND(I124*(1-할인율),0)</f>
        <v/>
      </c>
      <c r="K124" s="2">
        <f>ROUNDDOWN(I124*할인율,0)</f>
        <v/>
      </c>
      <c r="L124" s="2">
        <f>ROUND(I124*INDEX(미지급률범위,E124),0)</f>
        <v/>
      </c>
      <c r="M124" s="2">
        <f>ROUND(I124*INDEX(과지급률범위,E124),0)</f>
        <v/>
      </c>
      <c r="N124" s="2">
        <f>MAX(0,L124-M124)</f>
        <v/>
      </c>
      <c r="O124" s="2">
        <f>K124-N124</f>
        <v/>
      </c>
      <c r="P124" s="2">
        <f>I124-N124</f>
        <v/>
      </c>
      <c r="Q124" s="5">
        <f>IF(G124&gt;기준일,1,0)</f>
        <v/>
      </c>
      <c r="R124" s="5">
        <f>IF(G124&lt;=기준일,1,0)</f>
        <v/>
      </c>
      <c r="S124" s="2">
        <f>J124*H124</f>
        <v/>
      </c>
      <c r="T124" s="5">
        <f>IF(AND(F124&gt;=표본시작,F124&lt;=표본종료),1,0)</f>
        <v/>
      </c>
      <c r="U124" s="5">
        <f>IF(AND(G124&gt;=조회시작,G124&lt;=조회종료),1,0)</f>
        <v/>
      </c>
    </row>
    <row r="125">
      <c r="A125" s="2">
        <f>ROW()-1</f>
        <v/>
      </c>
      <c r="B125" s="5">
        <f>INDEX(상호범위,D125)</f>
        <v/>
      </c>
      <c r="C125" s="5">
        <f>INDEX(플랫폼명범위,E125)</f>
        <v/>
      </c>
      <c r="D125" s="2">
        <f>MOD(INT((A125-1)/4),8)+1</f>
        <v/>
      </c>
      <c r="E125" s="2">
        <f>MOD(A125-1,4)+1</f>
        <v/>
      </c>
      <c r="F125" s="20">
        <f>축시작+INT((A125-1)/32)</f>
        <v/>
      </c>
      <c r="G125" s="20">
        <f>F125+H125</f>
        <v/>
      </c>
      <c r="H125" s="5" t="n">
        <v>6</v>
      </c>
      <c r="I125" s="2">
        <f>ROUND(INDEX(가맹점!$P$2:$P$9,D125)*INDEX(가맹점!$J$2:$M$9,D125,E125),0)</f>
        <v/>
      </c>
      <c r="J125" s="2">
        <f>ROUND(I125*(1-할인율),0)</f>
        <v/>
      </c>
      <c r="K125" s="2">
        <f>ROUNDDOWN(I125*할인율,0)</f>
        <v/>
      </c>
      <c r="L125" s="2">
        <f>ROUND(I125*INDEX(미지급률범위,E125),0)</f>
        <v/>
      </c>
      <c r="M125" s="2">
        <f>ROUND(I125*INDEX(과지급률범위,E125),0)</f>
        <v/>
      </c>
      <c r="N125" s="2">
        <f>MAX(0,L125-M125)</f>
        <v/>
      </c>
      <c r="O125" s="2">
        <f>K125-N125</f>
        <v/>
      </c>
      <c r="P125" s="2">
        <f>I125-N125</f>
        <v/>
      </c>
      <c r="Q125" s="5">
        <f>IF(G125&gt;기준일,1,0)</f>
        <v/>
      </c>
      <c r="R125" s="5">
        <f>IF(G125&lt;=기준일,1,0)</f>
        <v/>
      </c>
      <c r="S125" s="2">
        <f>J125*H125</f>
        <v/>
      </c>
      <c r="T125" s="5">
        <f>IF(AND(F125&gt;=표본시작,F125&lt;=표본종료),1,0)</f>
        <v/>
      </c>
      <c r="U125" s="5">
        <f>IF(AND(G125&gt;=조회시작,G125&lt;=조회종료),1,0)</f>
        <v/>
      </c>
    </row>
    <row r="126">
      <c r="A126" s="2">
        <f>ROW()-1</f>
        <v/>
      </c>
      <c r="B126" s="5">
        <f>INDEX(상호범위,D126)</f>
        <v/>
      </c>
      <c r="C126" s="5">
        <f>INDEX(플랫폼명범위,E126)</f>
        <v/>
      </c>
      <c r="D126" s="2">
        <f>MOD(INT((A126-1)/4),8)+1</f>
        <v/>
      </c>
      <c r="E126" s="2">
        <f>MOD(A126-1,4)+1</f>
        <v/>
      </c>
      <c r="F126" s="20">
        <f>축시작+INT((A126-1)/32)</f>
        <v/>
      </c>
      <c r="G126" s="20">
        <f>F126+H126</f>
        <v/>
      </c>
      <c r="H126" s="5" t="n">
        <v>5</v>
      </c>
      <c r="I126" s="2">
        <f>ROUND(INDEX(가맹점!$P$2:$P$9,D126)*INDEX(가맹점!$J$2:$M$9,D126,E126),0)</f>
        <v/>
      </c>
      <c r="J126" s="2">
        <f>ROUND(I126*(1-할인율),0)</f>
        <v/>
      </c>
      <c r="K126" s="2">
        <f>ROUNDDOWN(I126*할인율,0)</f>
        <v/>
      </c>
      <c r="L126" s="2">
        <f>ROUND(I126*INDEX(미지급률범위,E126),0)</f>
        <v/>
      </c>
      <c r="M126" s="2">
        <f>ROUND(I126*INDEX(과지급률범위,E126),0)</f>
        <v/>
      </c>
      <c r="N126" s="2">
        <f>MAX(0,L126-M126)</f>
        <v/>
      </c>
      <c r="O126" s="2">
        <f>K126-N126</f>
        <v/>
      </c>
      <c r="P126" s="2">
        <f>I126-N126</f>
        <v/>
      </c>
      <c r="Q126" s="5">
        <f>IF(G126&gt;기준일,1,0)</f>
        <v/>
      </c>
      <c r="R126" s="5">
        <f>IF(G126&lt;=기준일,1,0)</f>
        <v/>
      </c>
      <c r="S126" s="2">
        <f>J126*H126</f>
        <v/>
      </c>
      <c r="T126" s="5">
        <f>IF(AND(F126&gt;=표본시작,F126&lt;=표본종료),1,0)</f>
        <v/>
      </c>
      <c r="U126" s="5">
        <f>IF(AND(G126&gt;=조회시작,G126&lt;=조회종료),1,0)</f>
        <v/>
      </c>
    </row>
    <row r="127">
      <c r="A127" s="2">
        <f>ROW()-1</f>
        <v/>
      </c>
      <c r="B127" s="5">
        <f>INDEX(상호범위,D127)</f>
        <v/>
      </c>
      <c r="C127" s="5">
        <f>INDEX(플랫폼명범위,E127)</f>
        <v/>
      </c>
      <c r="D127" s="2">
        <f>MOD(INT((A127-1)/4),8)+1</f>
        <v/>
      </c>
      <c r="E127" s="2">
        <f>MOD(A127-1,4)+1</f>
        <v/>
      </c>
      <c r="F127" s="20">
        <f>축시작+INT((A127-1)/32)</f>
        <v/>
      </c>
      <c r="G127" s="20">
        <f>F127+H127</f>
        <v/>
      </c>
      <c r="H127" s="5" t="n">
        <v>6</v>
      </c>
      <c r="I127" s="2">
        <f>ROUND(INDEX(가맹점!$P$2:$P$9,D127)*INDEX(가맹점!$J$2:$M$9,D127,E127),0)</f>
        <v/>
      </c>
      <c r="J127" s="2">
        <f>ROUND(I127*(1-할인율),0)</f>
        <v/>
      </c>
      <c r="K127" s="2">
        <f>ROUNDDOWN(I127*할인율,0)</f>
        <v/>
      </c>
      <c r="L127" s="2">
        <f>ROUND(I127*INDEX(미지급률범위,E127),0)</f>
        <v/>
      </c>
      <c r="M127" s="2">
        <f>ROUND(I127*INDEX(과지급률범위,E127),0)</f>
        <v/>
      </c>
      <c r="N127" s="2">
        <f>MAX(0,L127-M127)</f>
        <v/>
      </c>
      <c r="O127" s="2">
        <f>K127-N127</f>
        <v/>
      </c>
      <c r="P127" s="2">
        <f>I127-N127</f>
        <v/>
      </c>
      <c r="Q127" s="5">
        <f>IF(G127&gt;기준일,1,0)</f>
        <v/>
      </c>
      <c r="R127" s="5">
        <f>IF(G127&lt;=기준일,1,0)</f>
        <v/>
      </c>
      <c r="S127" s="2">
        <f>J127*H127</f>
        <v/>
      </c>
      <c r="T127" s="5">
        <f>IF(AND(F127&gt;=표본시작,F127&lt;=표본종료),1,0)</f>
        <v/>
      </c>
      <c r="U127" s="5">
        <f>IF(AND(G127&gt;=조회시작,G127&lt;=조회종료),1,0)</f>
        <v/>
      </c>
    </row>
    <row r="128">
      <c r="A128" s="2">
        <f>ROW()-1</f>
        <v/>
      </c>
      <c r="B128" s="5">
        <f>INDEX(상호범위,D128)</f>
        <v/>
      </c>
      <c r="C128" s="5">
        <f>INDEX(플랫폼명범위,E128)</f>
        <v/>
      </c>
      <c r="D128" s="2">
        <f>MOD(INT((A128-1)/4),8)+1</f>
        <v/>
      </c>
      <c r="E128" s="2">
        <f>MOD(A128-1,4)+1</f>
        <v/>
      </c>
      <c r="F128" s="20">
        <f>축시작+INT((A128-1)/32)</f>
        <v/>
      </c>
      <c r="G128" s="20">
        <f>F128+H128</f>
        <v/>
      </c>
      <c r="H128" s="5" t="n">
        <v>8</v>
      </c>
      <c r="I128" s="2">
        <f>ROUND(INDEX(가맹점!$P$2:$P$9,D128)*INDEX(가맹점!$J$2:$M$9,D128,E128),0)</f>
        <v/>
      </c>
      <c r="J128" s="2">
        <f>ROUND(I128*(1-할인율),0)</f>
        <v/>
      </c>
      <c r="K128" s="2">
        <f>ROUNDDOWN(I128*할인율,0)</f>
        <v/>
      </c>
      <c r="L128" s="2">
        <f>ROUND(I128*INDEX(미지급률범위,E128),0)</f>
        <v/>
      </c>
      <c r="M128" s="2">
        <f>ROUND(I128*INDEX(과지급률범위,E128),0)</f>
        <v/>
      </c>
      <c r="N128" s="2">
        <f>MAX(0,L128-M128)</f>
        <v/>
      </c>
      <c r="O128" s="2">
        <f>K128-N128</f>
        <v/>
      </c>
      <c r="P128" s="2">
        <f>I128-N128</f>
        <v/>
      </c>
      <c r="Q128" s="5">
        <f>IF(G128&gt;기준일,1,0)</f>
        <v/>
      </c>
      <c r="R128" s="5">
        <f>IF(G128&lt;=기준일,1,0)</f>
        <v/>
      </c>
      <c r="S128" s="2">
        <f>J128*H128</f>
        <v/>
      </c>
      <c r="T128" s="5">
        <f>IF(AND(F128&gt;=표본시작,F128&lt;=표본종료),1,0)</f>
        <v/>
      </c>
      <c r="U128" s="5">
        <f>IF(AND(G128&gt;=조회시작,G128&lt;=조회종료),1,0)</f>
        <v/>
      </c>
    </row>
    <row r="129">
      <c r="A129" s="2">
        <f>ROW()-1</f>
        <v/>
      </c>
      <c r="B129" s="5">
        <f>INDEX(상호범위,D129)</f>
        <v/>
      </c>
      <c r="C129" s="5">
        <f>INDEX(플랫폼명범위,E129)</f>
        <v/>
      </c>
      <c r="D129" s="2">
        <f>MOD(INT((A129-1)/4),8)+1</f>
        <v/>
      </c>
      <c r="E129" s="2">
        <f>MOD(A129-1,4)+1</f>
        <v/>
      </c>
      <c r="F129" s="20">
        <f>축시작+INT((A129-1)/32)</f>
        <v/>
      </c>
      <c r="G129" s="20">
        <f>F129+H129</f>
        <v/>
      </c>
      <c r="H129" s="5" t="n">
        <v>6</v>
      </c>
      <c r="I129" s="2">
        <f>ROUND(INDEX(가맹점!$P$2:$P$9,D129)*INDEX(가맹점!$J$2:$M$9,D129,E129),0)</f>
        <v/>
      </c>
      <c r="J129" s="2">
        <f>ROUND(I129*(1-할인율),0)</f>
        <v/>
      </c>
      <c r="K129" s="2">
        <f>ROUNDDOWN(I129*할인율,0)</f>
        <v/>
      </c>
      <c r="L129" s="2">
        <f>ROUND(I129*INDEX(미지급률범위,E129),0)</f>
        <v/>
      </c>
      <c r="M129" s="2">
        <f>ROUND(I129*INDEX(과지급률범위,E129),0)</f>
        <v/>
      </c>
      <c r="N129" s="2">
        <f>MAX(0,L129-M129)</f>
        <v/>
      </c>
      <c r="O129" s="2">
        <f>K129-N129</f>
        <v/>
      </c>
      <c r="P129" s="2">
        <f>I129-N129</f>
        <v/>
      </c>
      <c r="Q129" s="5">
        <f>IF(G129&gt;기준일,1,0)</f>
        <v/>
      </c>
      <c r="R129" s="5">
        <f>IF(G129&lt;=기준일,1,0)</f>
        <v/>
      </c>
      <c r="S129" s="2">
        <f>J129*H129</f>
        <v/>
      </c>
      <c r="T129" s="5">
        <f>IF(AND(F129&gt;=표본시작,F129&lt;=표본종료),1,0)</f>
        <v/>
      </c>
      <c r="U129" s="5">
        <f>IF(AND(G129&gt;=조회시작,G129&lt;=조회종료),1,0)</f>
        <v/>
      </c>
    </row>
    <row r="130">
      <c r="A130" s="2">
        <f>ROW()-1</f>
        <v/>
      </c>
      <c r="B130" s="5">
        <f>INDEX(상호범위,D130)</f>
        <v/>
      </c>
      <c r="C130" s="5">
        <f>INDEX(플랫폼명범위,E130)</f>
        <v/>
      </c>
      <c r="D130" s="2">
        <f>MOD(INT((A130-1)/4),8)+1</f>
        <v/>
      </c>
      <c r="E130" s="2">
        <f>MOD(A130-1,4)+1</f>
        <v/>
      </c>
      <c r="F130" s="20">
        <f>축시작+INT((A130-1)/32)</f>
        <v/>
      </c>
      <c r="G130" s="20">
        <f>F130+H130</f>
        <v/>
      </c>
      <c r="H130" s="5" t="n">
        <v>1</v>
      </c>
      <c r="I130" s="2">
        <f>ROUND(INDEX(가맹점!$P$2:$P$9,D130)*INDEX(가맹점!$J$2:$M$9,D130,E130),0)</f>
        <v/>
      </c>
      <c r="J130" s="2">
        <f>ROUND(I130*(1-할인율),0)</f>
        <v/>
      </c>
      <c r="K130" s="2">
        <f>ROUNDDOWN(I130*할인율,0)</f>
        <v/>
      </c>
      <c r="L130" s="2">
        <f>ROUND(I130*INDEX(미지급률범위,E130),0)</f>
        <v/>
      </c>
      <c r="M130" s="2">
        <f>ROUND(I130*INDEX(과지급률범위,E130),0)</f>
        <v/>
      </c>
      <c r="N130" s="2">
        <f>MAX(0,L130-M130)</f>
        <v/>
      </c>
      <c r="O130" s="2">
        <f>K130-N130</f>
        <v/>
      </c>
      <c r="P130" s="2">
        <f>I130-N130</f>
        <v/>
      </c>
      <c r="Q130" s="5">
        <f>IF(G130&gt;기준일,1,0)</f>
        <v/>
      </c>
      <c r="R130" s="5">
        <f>IF(G130&lt;=기준일,1,0)</f>
        <v/>
      </c>
      <c r="S130" s="2">
        <f>J130*H130</f>
        <v/>
      </c>
      <c r="T130" s="5">
        <f>IF(AND(F130&gt;=표본시작,F130&lt;=표본종료),1,0)</f>
        <v/>
      </c>
      <c r="U130" s="5">
        <f>IF(AND(G130&gt;=조회시작,G130&lt;=조회종료),1,0)</f>
        <v/>
      </c>
    </row>
    <row r="131">
      <c r="A131" s="2">
        <f>ROW()-1</f>
        <v/>
      </c>
      <c r="B131" s="5">
        <f>INDEX(상호범위,D131)</f>
        <v/>
      </c>
      <c r="C131" s="5">
        <f>INDEX(플랫폼명범위,E131)</f>
        <v/>
      </c>
      <c r="D131" s="2">
        <f>MOD(INT((A131-1)/4),8)+1</f>
        <v/>
      </c>
      <c r="E131" s="2">
        <f>MOD(A131-1,4)+1</f>
        <v/>
      </c>
      <c r="F131" s="20">
        <f>축시작+INT((A131-1)/32)</f>
        <v/>
      </c>
      <c r="G131" s="20">
        <f>F131+H131</f>
        <v/>
      </c>
      <c r="H131" s="5" t="n">
        <v>2</v>
      </c>
      <c r="I131" s="2">
        <f>ROUND(INDEX(가맹점!$P$2:$P$9,D131)*INDEX(가맹점!$J$2:$M$9,D131,E131),0)</f>
        <v/>
      </c>
      <c r="J131" s="2">
        <f>ROUND(I131*(1-할인율),0)</f>
        <v/>
      </c>
      <c r="K131" s="2">
        <f>ROUNDDOWN(I131*할인율,0)</f>
        <v/>
      </c>
      <c r="L131" s="2">
        <f>ROUND(I131*INDEX(미지급률범위,E131),0)</f>
        <v/>
      </c>
      <c r="M131" s="2">
        <f>ROUND(I131*INDEX(과지급률범위,E131),0)</f>
        <v/>
      </c>
      <c r="N131" s="2">
        <f>MAX(0,L131-M131)</f>
        <v/>
      </c>
      <c r="O131" s="2">
        <f>K131-N131</f>
        <v/>
      </c>
      <c r="P131" s="2">
        <f>I131-N131</f>
        <v/>
      </c>
      <c r="Q131" s="5">
        <f>IF(G131&gt;기준일,1,0)</f>
        <v/>
      </c>
      <c r="R131" s="5">
        <f>IF(G131&lt;=기준일,1,0)</f>
        <v/>
      </c>
      <c r="S131" s="2">
        <f>J131*H131</f>
        <v/>
      </c>
      <c r="T131" s="5">
        <f>IF(AND(F131&gt;=표본시작,F131&lt;=표본종료),1,0)</f>
        <v/>
      </c>
      <c r="U131" s="5">
        <f>IF(AND(G131&gt;=조회시작,G131&lt;=조회종료),1,0)</f>
        <v/>
      </c>
    </row>
    <row r="132">
      <c r="A132" s="2">
        <f>ROW()-1</f>
        <v/>
      </c>
      <c r="B132" s="5">
        <f>INDEX(상호범위,D132)</f>
        <v/>
      </c>
      <c r="C132" s="5">
        <f>INDEX(플랫폼명범위,E132)</f>
        <v/>
      </c>
      <c r="D132" s="2">
        <f>MOD(INT((A132-1)/4),8)+1</f>
        <v/>
      </c>
      <c r="E132" s="2">
        <f>MOD(A132-1,4)+1</f>
        <v/>
      </c>
      <c r="F132" s="20">
        <f>축시작+INT((A132-1)/32)</f>
        <v/>
      </c>
      <c r="G132" s="20">
        <f>F132+H132</f>
        <v/>
      </c>
      <c r="H132" s="5" t="n">
        <v>8</v>
      </c>
      <c r="I132" s="2">
        <f>ROUND(INDEX(가맹점!$P$2:$P$9,D132)*INDEX(가맹점!$J$2:$M$9,D132,E132),0)</f>
        <v/>
      </c>
      <c r="J132" s="2">
        <f>ROUND(I132*(1-할인율),0)</f>
        <v/>
      </c>
      <c r="K132" s="2">
        <f>ROUNDDOWN(I132*할인율,0)</f>
        <v/>
      </c>
      <c r="L132" s="2">
        <f>ROUND(I132*INDEX(미지급률범위,E132),0)</f>
        <v/>
      </c>
      <c r="M132" s="2">
        <f>ROUND(I132*INDEX(과지급률범위,E132),0)</f>
        <v/>
      </c>
      <c r="N132" s="2">
        <f>MAX(0,L132-M132)</f>
        <v/>
      </c>
      <c r="O132" s="2">
        <f>K132-N132</f>
        <v/>
      </c>
      <c r="P132" s="2">
        <f>I132-N132</f>
        <v/>
      </c>
      <c r="Q132" s="5">
        <f>IF(G132&gt;기준일,1,0)</f>
        <v/>
      </c>
      <c r="R132" s="5">
        <f>IF(G132&lt;=기준일,1,0)</f>
        <v/>
      </c>
      <c r="S132" s="2">
        <f>J132*H132</f>
        <v/>
      </c>
      <c r="T132" s="5">
        <f>IF(AND(F132&gt;=표본시작,F132&lt;=표본종료),1,0)</f>
        <v/>
      </c>
      <c r="U132" s="5">
        <f>IF(AND(G132&gt;=조회시작,G132&lt;=조회종료),1,0)</f>
        <v/>
      </c>
    </row>
    <row r="133">
      <c r="A133" s="2">
        <f>ROW()-1</f>
        <v/>
      </c>
      <c r="B133" s="5">
        <f>INDEX(상호범위,D133)</f>
        <v/>
      </c>
      <c r="C133" s="5">
        <f>INDEX(플랫폼명범위,E133)</f>
        <v/>
      </c>
      <c r="D133" s="2">
        <f>MOD(INT((A133-1)/4),8)+1</f>
        <v/>
      </c>
      <c r="E133" s="2">
        <f>MOD(A133-1,4)+1</f>
        <v/>
      </c>
      <c r="F133" s="20">
        <f>축시작+INT((A133-1)/32)</f>
        <v/>
      </c>
      <c r="G133" s="20">
        <f>F133+H133</f>
        <v/>
      </c>
      <c r="H133" s="5" t="n">
        <v>6</v>
      </c>
      <c r="I133" s="2">
        <f>ROUND(INDEX(가맹점!$P$2:$P$9,D133)*INDEX(가맹점!$J$2:$M$9,D133,E133),0)</f>
        <v/>
      </c>
      <c r="J133" s="2">
        <f>ROUND(I133*(1-할인율),0)</f>
        <v/>
      </c>
      <c r="K133" s="2">
        <f>ROUNDDOWN(I133*할인율,0)</f>
        <v/>
      </c>
      <c r="L133" s="2">
        <f>ROUND(I133*INDEX(미지급률범위,E133),0)</f>
        <v/>
      </c>
      <c r="M133" s="2">
        <f>ROUND(I133*INDEX(과지급률범위,E133),0)</f>
        <v/>
      </c>
      <c r="N133" s="2">
        <f>MAX(0,L133-M133)</f>
        <v/>
      </c>
      <c r="O133" s="2">
        <f>K133-N133</f>
        <v/>
      </c>
      <c r="P133" s="2">
        <f>I133-N133</f>
        <v/>
      </c>
      <c r="Q133" s="5">
        <f>IF(G133&gt;기준일,1,0)</f>
        <v/>
      </c>
      <c r="R133" s="5">
        <f>IF(G133&lt;=기준일,1,0)</f>
        <v/>
      </c>
      <c r="S133" s="2">
        <f>J133*H133</f>
        <v/>
      </c>
      <c r="T133" s="5">
        <f>IF(AND(F133&gt;=표본시작,F133&lt;=표본종료),1,0)</f>
        <v/>
      </c>
      <c r="U133" s="5">
        <f>IF(AND(G133&gt;=조회시작,G133&lt;=조회종료),1,0)</f>
        <v/>
      </c>
    </row>
    <row r="134">
      <c r="A134" s="2">
        <f>ROW()-1</f>
        <v/>
      </c>
      <c r="B134" s="5">
        <f>INDEX(상호범위,D134)</f>
        <v/>
      </c>
      <c r="C134" s="5">
        <f>INDEX(플랫폼명범위,E134)</f>
        <v/>
      </c>
      <c r="D134" s="2">
        <f>MOD(INT((A134-1)/4),8)+1</f>
        <v/>
      </c>
      <c r="E134" s="2">
        <f>MOD(A134-1,4)+1</f>
        <v/>
      </c>
      <c r="F134" s="20">
        <f>축시작+INT((A134-1)/32)</f>
        <v/>
      </c>
      <c r="G134" s="20">
        <f>F134+H134</f>
        <v/>
      </c>
      <c r="H134" s="5" t="n">
        <v>8</v>
      </c>
      <c r="I134" s="2">
        <f>ROUND(INDEX(가맹점!$P$2:$P$9,D134)*INDEX(가맹점!$J$2:$M$9,D134,E134),0)</f>
        <v/>
      </c>
      <c r="J134" s="2">
        <f>ROUND(I134*(1-할인율),0)</f>
        <v/>
      </c>
      <c r="K134" s="2">
        <f>ROUNDDOWN(I134*할인율,0)</f>
        <v/>
      </c>
      <c r="L134" s="2">
        <f>ROUND(I134*INDEX(미지급률범위,E134),0)</f>
        <v/>
      </c>
      <c r="M134" s="2">
        <f>ROUND(I134*INDEX(과지급률범위,E134),0)</f>
        <v/>
      </c>
      <c r="N134" s="2">
        <f>MAX(0,L134-M134)</f>
        <v/>
      </c>
      <c r="O134" s="2">
        <f>K134-N134</f>
        <v/>
      </c>
      <c r="P134" s="2">
        <f>I134-N134</f>
        <v/>
      </c>
      <c r="Q134" s="5">
        <f>IF(G134&gt;기준일,1,0)</f>
        <v/>
      </c>
      <c r="R134" s="5">
        <f>IF(G134&lt;=기준일,1,0)</f>
        <v/>
      </c>
      <c r="S134" s="2">
        <f>J134*H134</f>
        <v/>
      </c>
      <c r="T134" s="5">
        <f>IF(AND(F134&gt;=표본시작,F134&lt;=표본종료),1,0)</f>
        <v/>
      </c>
      <c r="U134" s="5">
        <f>IF(AND(G134&gt;=조회시작,G134&lt;=조회종료),1,0)</f>
        <v/>
      </c>
    </row>
    <row r="135">
      <c r="A135" s="2">
        <f>ROW()-1</f>
        <v/>
      </c>
      <c r="B135" s="5">
        <f>INDEX(상호범위,D135)</f>
        <v/>
      </c>
      <c r="C135" s="5">
        <f>INDEX(플랫폼명범위,E135)</f>
        <v/>
      </c>
      <c r="D135" s="2">
        <f>MOD(INT((A135-1)/4),8)+1</f>
        <v/>
      </c>
      <c r="E135" s="2">
        <f>MOD(A135-1,4)+1</f>
        <v/>
      </c>
      <c r="F135" s="20">
        <f>축시작+INT((A135-1)/32)</f>
        <v/>
      </c>
      <c r="G135" s="20">
        <f>F135+H135</f>
        <v/>
      </c>
      <c r="H135" s="5" t="n">
        <v>2</v>
      </c>
      <c r="I135" s="2">
        <f>ROUND(INDEX(가맹점!$P$2:$P$9,D135)*INDEX(가맹점!$J$2:$M$9,D135,E135),0)</f>
        <v/>
      </c>
      <c r="J135" s="2">
        <f>ROUND(I135*(1-할인율),0)</f>
        <v/>
      </c>
      <c r="K135" s="2">
        <f>ROUNDDOWN(I135*할인율,0)</f>
        <v/>
      </c>
      <c r="L135" s="2">
        <f>ROUND(I135*INDEX(미지급률범위,E135),0)</f>
        <v/>
      </c>
      <c r="M135" s="2">
        <f>ROUND(I135*INDEX(과지급률범위,E135),0)</f>
        <v/>
      </c>
      <c r="N135" s="2">
        <f>MAX(0,L135-M135)</f>
        <v/>
      </c>
      <c r="O135" s="2">
        <f>K135-N135</f>
        <v/>
      </c>
      <c r="P135" s="2">
        <f>I135-N135</f>
        <v/>
      </c>
      <c r="Q135" s="5">
        <f>IF(G135&gt;기준일,1,0)</f>
        <v/>
      </c>
      <c r="R135" s="5">
        <f>IF(G135&lt;=기준일,1,0)</f>
        <v/>
      </c>
      <c r="S135" s="2">
        <f>J135*H135</f>
        <v/>
      </c>
      <c r="T135" s="5">
        <f>IF(AND(F135&gt;=표본시작,F135&lt;=표본종료),1,0)</f>
        <v/>
      </c>
      <c r="U135" s="5">
        <f>IF(AND(G135&gt;=조회시작,G135&lt;=조회종료),1,0)</f>
        <v/>
      </c>
    </row>
    <row r="136">
      <c r="A136" s="2">
        <f>ROW()-1</f>
        <v/>
      </c>
      <c r="B136" s="5">
        <f>INDEX(상호범위,D136)</f>
        <v/>
      </c>
      <c r="C136" s="5">
        <f>INDEX(플랫폼명범위,E136)</f>
        <v/>
      </c>
      <c r="D136" s="2">
        <f>MOD(INT((A136-1)/4),8)+1</f>
        <v/>
      </c>
      <c r="E136" s="2">
        <f>MOD(A136-1,4)+1</f>
        <v/>
      </c>
      <c r="F136" s="20">
        <f>축시작+INT((A136-1)/32)</f>
        <v/>
      </c>
      <c r="G136" s="20">
        <f>F136+H136</f>
        <v/>
      </c>
      <c r="H136" s="5" t="n">
        <v>5</v>
      </c>
      <c r="I136" s="2">
        <f>ROUND(INDEX(가맹점!$P$2:$P$9,D136)*INDEX(가맹점!$J$2:$M$9,D136,E136),0)</f>
        <v/>
      </c>
      <c r="J136" s="2">
        <f>ROUND(I136*(1-할인율),0)</f>
        <v/>
      </c>
      <c r="K136" s="2">
        <f>ROUNDDOWN(I136*할인율,0)</f>
        <v/>
      </c>
      <c r="L136" s="2">
        <f>ROUND(I136*INDEX(미지급률범위,E136),0)</f>
        <v/>
      </c>
      <c r="M136" s="2">
        <f>ROUND(I136*INDEX(과지급률범위,E136),0)</f>
        <v/>
      </c>
      <c r="N136" s="2">
        <f>MAX(0,L136-M136)</f>
        <v/>
      </c>
      <c r="O136" s="2">
        <f>K136-N136</f>
        <v/>
      </c>
      <c r="P136" s="2">
        <f>I136-N136</f>
        <v/>
      </c>
      <c r="Q136" s="5">
        <f>IF(G136&gt;기준일,1,0)</f>
        <v/>
      </c>
      <c r="R136" s="5">
        <f>IF(G136&lt;=기준일,1,0)</f>
        <v/>
      </c>
      <c r="S136" s="2">
        <f>J136*H136</f>
        <v/>
      </c>
      <c r="T136" s="5">
        <f>IF(AND(F136&gt;=표본시작,F136&lt;=표본종료),1,0)</f>
        <v/>
      </c>
      <c r="U136" s="5">
        <f>IF(AND(G136&gt;=조회시작,G136&lt;=조회종료),1,0)</f>
        <v/>
      </c>
    </row>
    <row r="137">
      <c r="A137" s="2">
        <f>ROW()-1</f>
        <v/>
      </c>
      <c r="B137" s="5">
        <f>INDEX(상호범위,D137)</f>
        <v/>
      </c>
      <c r="C137" s="5">
        <f>INDEX(플랫폼명범위,E137)</f>
        <v/>
      </c>
      <c r="D137" s="2">
        <f>MOD(INT((A137-1)/4),8)+1</f>
        <v/>
      </c>
      <c r="E137" s="2">
        <f>MOD(A137-1,4)+1</f>
        <v/>
      </c>
      <c r="F137" s="20">
        <f>축시작+INT((A137-1)/32)</f>
        <v/>
      </c>
      <c r="G137" s="20">
        <f>F137+H137</f>
        <v/>
      </c>
      <c r="H137" s="5" t="n">
        <v>6</v>
      </c>
      <c r="I137" s="2">
        <f>ROUND(INDEX(가맹점!$P$2:$P$9,D137)*INDEX(가맹점!$J$2:$M$9,D137,E137),0)</f>
        <v/>
      </c>
      <c r="J137" s="2">
        <f>ROUND(I137*(1-할인율),0)</f>
        <v/>
      </c>
      <c r="K137" s="2">
        <f>ROUNDDOWN(I137*할인율,0)</f>
        <v/>
      </c>
      <c r="L137" s="2">
        <f>ROUND(I137*INDEX(미지급률범위,E137),0)</f>
        <v/>
      </c>
      <c r="M137" s="2">
        <f>ROUND(I137*INDEX(과지급률범위,E137),0)</f>
        <v/>
      </c>
      <c r="N137" s="2">
        <f>MAX(0,L137-M137)</f>
        <v/>
      </c>
      <c r="O137" s="2">
        <f>K137-N137</f>
        <v/>
      </c>
      <c r="P137" s="2">
        <f>I137-N137</f>
        <v/>
      </c>
      <c r="Q137" s="5">
        <f>IF(G137&gt;기준일,1,0)</f>
        <v/>
      </c>
      <c r="R137" s="5">
        <f>IF(G137&lt;=기준일,1,0)</f>
        <v/>
      </c>
      <c r="S137" s="2">
        <f>J137*H137</f>
        <v/>
      </c>
      <c r="T137" s="5">
        <f>IF(AND(F137&gt;=표본시작,F137&lt;=표본종료),1,0)</f>
        <v/>
      </c>
      <c r="U137" s="5">
        <f>IF(AND(G137&gt;=조회시작,G137&lt;=조회종료),1,0)</f>
        <v/>
      </c>
    </row>
    <row r="138">
      <c r="A138" s="2">
        <f>ROW()-1</f>
        <v/>
      </c>
      <c r="B138" s="5">
        <f>INDEX(상호범위,D138)</f>
        <v/>
      </c>
      <c r="C138" s="5">
        <f>INDEX(플랫폼명범위,E138)</f>
        <v/>
      </c>
      <c r="D138" s="2">
        <f>MOD(INT((A138-1)/4),8)+1</f>
        <v/>
      </c>
      <c r="E138" s="2">
        <f>MOD(A138-1,4)+1</f>
        <v/>
      </c>
      <c r="F138" s="20">
        <f>축시작+INT((A138-1)/32)</f>
        <v/>
      </c>
      <c r="G138" s="20">
        <f>F138+H138</f>
        <v/>
      </c>
      <c r="H138" s="5" t="n">
        <v>1</v>
      </c>
      <c r="I138" s="2">
        <f>ROUND(INDEX(가맹점!$P$2:$P$9,D138)*INDEX(가맹점!$J$2:$M$9,D138,E138),0)</f>
        <v/>
      </c>
      <c r="J138" s="2">
        <f>ROUND(I138*(1-할인율),0)</f>
        <v/>
      </c>
      <c r="K138" s="2">
        <f>ROUNDDOWN(I138*할인율,0)</f>
        <v/>
      </c>
      <c r="L138" s="2">
        <f>ROUND(I138*INDEX(미지급률범위,E138),0)</f>
        <v/>
      </c>
      <c r="M138" s="2">
        <f>ROUND(I138*INDEX(과지급률범위,E138),0)</f>
        <v/>
      </c>
      <c r="N138" s="2">
        <f>MAX(0,L138-M138)</f>
        <v/>
      </c>
      <c r="O138" s="2">
        <f>K138-N138</f>
        <v/>
      </c>
      <c r="P138" s="2">
        <f>I138-N138</f>
        <v/>
      </c>
      <c r="Q138" s="5">
        <f>IF(G138&gt;기준일,1,0)</f>
        <v/>
      </c>
      <c r="R138" s="5">
        <f>IF(G138&lt;=기준일,1,0)</f>
        <v/>
      </c>
      <c r="S138" s="2">
        <f>J138*H138</f>
        <v/>
      </c>
      <c r="T138" s="5">
        <f>IF(AND(F138&gt;=표본시작,F138&lt;=표본종료),1,0)</f>
        <v/>
      </c>
      <c r="U138" s="5">
        <f>IF(AND(G138&gt;=조회시작,G138&lt;=조회종료),1,0)</f>
        <v/>
      </c>
    </row>
    <row r="139">
      <c r="A139" s="2">
        <f>ROW()-1</f>
        <v/>
      </c>
      <c r="B139" s="5">
        <f>INDEX(상호범위,D139)</f>
        <v/>
      </c>
      <c r="C139" s="5">
        <f>INDEX(플랫폼명범위,E139)</f>
        <v/>
      </c>
      <c r="D139" s="2">
        <f>MOD(INT((A139-1)/4),8)+1</f>
        <v/>
      </c>
      <c r="E139" s="2">
        <f>MOD(A139-1,4)+1</f>
        <v/>
      </c>
      <c r="F139" s="20">
        <f>축시작+INT((A139-1)/32)</f>
        <v/>
      </c>
      <c r="G139" s="20">
        <f>F139+H139</f>
        <v/>
      </c>
      <c r="H139" s="5" t="n">
        <v>2</v>
      </c>
      <c r="I139" s="2">
        <f>ROUND(INDEX(가맹점!$P$2:$P$9,D139)*INDEX(가맹점!$J$2:$M$9,D139,E139),0)</f>
        <v/>
      </c>
      <c r="J139" s="2">
        <f>ROUND(I139*(1-할인율),0)</f>
        <v/>
      </c>
      <c r="K139" s="2">
        <f>ROUNDDOWN(I139*할인율,0)</f>
        <v/>
      </c>
      <c r="L139" s="2">
        <f>ROUND(I139*INDEX(미지급률범위,E139),0)</f>
        <v/>
      </c>
      <c r="M139" s="2">
        <f>ROUND(I139*INDEX(과지급률범위,E139),0)</f>
        <v/>
      </c>
      <c r="N139" s="2">
        <f>MAX(0,L139-M139)</f>
        <v/>
      </c>
      <c r="O139" s="2">
        <f>K139-N139</f>
        <v/>
      </c>
      <c r="P139" s="2">
        <f>I139-N139</f>
        <v/>
      </c>
      <c r="Q139" s="5">
        <f>IF(G139&gt;기준일,1,0)</f>
        <v/>
      </c>
      <c r="R139" s="5">
        <f>IF(G139&lt;=기준일,1,0)</f>
        <v/>
      </c>
      <c r="S139" s="2">
        <f>J139*H139</f>
        <v/>
      </c>
      <c r="T139" s="5">
        <f>IF(AND(F139&gt;=표본시작,F139&lt;=표본종료),1,0)</f>
        <v/>
      </c>
      <c r="U139" s="5">
        <f>IF(AND(G139&gt;=조회시작,G139&lt;=조회종료),1,0)</f>
        <v/>
      </c>
    </row>
    <row r="140">
      <c r="A140" s="2">
        <f>ROW()-1</f>
        <v/>
      </c>
      <c r="B140" s="5">
        <f>INDEX(상호범위,D140)</f>
        <v/>
      </c>
      <c r="C140" s="5">
        <f>INDEX(플랫폼명범위,E140)</f>
        <v/>
      </c>
      <c r="D140" s="2">
        <f>MOD(INT((A140-1)/4),8)+1</f>
        <v/>
      </c>
      <c r="E140" s="2">
        <f>MOD(A140-1,4)+1</f>
        <v/>
      </c>
      <c r="F140" s="20">
        <f>축시작+INT((A140-1)/32)</f>
        <v/>
      </c>
      <c r="G140" s="20">
        <f>F140+H140</f>
        <v/>
      </c>
      <c r="H140" s="5" t="n">
        <v>5</v>
      </c>
      <c r="I140" s="2">
        <f>ROUND(INDEX(가맹점!$P$2:$P$9,D140)*INDEX(가맹점!$J$2:$M$9,D140,E140),0)</f>
        <v/>
      </c>
      <c r="J140" s="2">
        <f>ROUND(I140*(1-할인율),0)</f>
        <v/>
      </c>
      <c r="K140" s="2">
        <f>ROUNDDOWN(I140*할인율,0)</f>
        <v/>
      </c>
      <c r="L140" s="2">
        <f>ROUND(I140*INDEX(미지급률범위,E140),0)</f>
        <v/>
      </c>
      <c r="M140" s="2">
        <f>ROUND(I140*INDEX(과지급률범위,E140),0)</f>
        <v/>
      </c>
      <c r="N140" s="2">
        <f>MAX(0,L140-M140)</f>
        <v/>
      </c>
      <c r="O140" s="2">
        <f>K140-N140</f>
        <v/>
      </c>
      <c r="P140" s="2">
        <f>I140-N140</f>
        <v/>
      </c>
      <c r="Q140" s="5">
        <f>IF(G140&gt;기준일,1,0)</f>
        <v/>
      </c>
      <c r="R140" s="5">
        <f>IF(G140&lt;=기준일,1,0)</f>
        <v/>
      </c>
      <c r="S140" s="2">
        <f>J140*H140</f>
        <v/>
      </c>
      <c r="T140" s="5">
        <f>IF(AND(F140&gt;=표본시작,F140&lt;=표본종료),1,0)</f>
        <v/>
      </c>
      <c r="U140" s="5">
        <f>IF(AND(G140&gt;=조회시작,G140&lt;=조회종료),1,0)</f>
        <v/>
      </c>
    </row>
    <row r="141">
      <c r="A141" s="2">
        <f>ROW()-1</f>
        <v/>
      </c>
      <c r="B141" s="5">
        <f>INDEX(상호범위,D141)</f>
        <v/>
      </c>
      <c r="C141" s="5">
        <f>INDEX(플랫폼명범위,E141)</f>
        <v/>
      </c>
      <c r="D141" s="2">
        <f>MOD(INT((A141-1)/4),8)+1</f>
        <v/>
      </c>
      <c r="E141" s="2">
        <f>MOD(A141-1,4)+1</f>
        <v/>
      </c>
      <c r="F141" s="20">
        <f>축시작+INT((A141-1)/32)</f>
        <v/>
      </c>
      <c r="G141" s="20">
        <f>F141+H141</f>
        <v/>
      </c>
      <c r="H141" s="5" t="n">
        <v>8</v>
      </c>
      <c r="I141" s="2">
        <f>ROUND(INDEX(가맹점!$P$2:$P$9,D141)*INDEX(가맹점!$J$2:$M$9,D141,E141),0)</f>
        <v/>
      </c>
      <c r="J141" s="2">
        <f>ROUND(I141*(1-할인율),0)</f>
        <v/>
      </c>
      <c r="K141" s="2">
        <f>ROUNDDOWN(I141*할인율,0)</f>
        <v/>
      </c>
      <c r="L141" s="2">
        <f>ROUND(I141*INDEX(미지급률범위,E141),0)</f>
        <v/>
      </c>
      <c r="M141" s="2">
        <f>ROUND(I141*INDEX(과지급률범위,E141),0)</f>
        <v/>
      </c>
      <c r="N141" s="2">
        <f>MAX(0,L141-M141)</f>
        <v/>
      </c>
      <c r="O141" s="2">
        <f>K141-N141</f>
        <v/>
      </c>
      <c r="P141" s="2">
        <f>I141-N141</f>
        <v/>
      </c>
      <c r="Q141" s="5">
        <f>IF(G141&gt;기준일,1,0)</f>
        <v/>
      </c>
      <c r="R141" s="5">
        <f>IF(G141&lt;=기준일,1,0)</f>
        <v/>
      </c>
      <c r="S141" s="2">
        <f>J141*H141</f>
        <v/>
      </c>
      <c r="T141" s="5">
        <f>IF(AND(F141&gt;=표본시작,F141&lt;=표본종료),1,0)</f>
        <v/>
      </c>
      <c r="U141" s="5">
        <f>IF(AND(G141&gt;=조회시작,G141&lt;=조회종료),1,0)</f>
        <v/>
      </c>
    </row>
    <row r="142">
      <c r="A142" s="2">
        <f>ROW()-1</f>
        <v/>
      </c>
      <c r="B142" s="5">
        <f>INDEX(상호범위,D142)</f>
        <v/>
      </c>
      <c r="C142" s="5">
        <f>INDEX(플랫폼명범위,E142)</f>
        <v/>
      </c>
      <c r="D142" s="2">
        <f>MOD(INT((A142-1)/4),8)+1</f>
        <v/>
      </c>
      <c r="E142" s="2">
        <f>MOD(A142-1,4)+1</f>
        <v/>
      </c>
      <c r="F142" s="20">
        <f>축시작+INT((A142-1)/32)</f>
        <v/>
      </c>
      <c r="G142" s="20">
        <f>F142+H142</f>
        <v/>
      </c>
      <c r="H142" s="5" t="n">
        <v>1</v>
      </c>
      <c r="I142" s="2">
        <f>ROUND(INDEX(가맹점!$P$2:$P$9,D142)*INDEX(가맹점!$J$2:$M$9,D142,E142),0)</f>
        <v/>
      </c>
      <c r="J142" s="2">
        <f>ROUND(I142*(1-할인율),0)</f>
        <v/>
      </c>
      <c r="K142" s="2">
        <f>ROUNDDOWN(I142*할인율,0)</f>
        <v/>
      </c>
      <c r="L142" s="2">
        <f>ROUND(I142*INDEX(미지급률범위,E142),0)</f>
        <v/>
      </c>
      <c r="M142" s="2">
        <f>ROUND(I142*INDEX(과지급률범위,E142),0)</f>
        <v/>
      </c>
      <c r="N142" s="2">
        <f>MAX(0,L142-M142)</f>
        <v/>
      </c>
      <c r="O142" s="2">
        <f>K142-N142</f>
        <v/>
      </c>
      <c r="P142" s="2">
        <f>I142-N142</f>
        <v/>
      </c>
      <c r="Q142" s="5">
        <f>IF(G142&gt;기준일,1,0)</f>
        <v/>
      </c>
      <c r="R142" s="5">
        <f>IF(G142&lt;=기준일,1,0)</f>
        <v/>
      </c>
      <c r="S142" s="2">
        <f>J142*H142</f>
        <v/>
      </c>
      <c r="T142" s="5">
        <f>IF(AND(F142&gt;=표본시작,F142&lt;=표본종료),1,0)</f>
        <v/>
      </c>
      <c r="U142" s="5">
        <f>IF(AND(G142&gt;=조회시작,G142&lt;=조회종료),1,0)</f>
        <v/>
      </c>
    </row>
    <row r="143">
      <c r="A143" s="2">
        <f>ROW()-1</f>
        <v/>
      </c>
      <c r="B143" s="5">
        <f>INDEX(상호범위,D143)</f>
        <v/>
      </c>
      <c r="C143" s="5">
        <f>INDEX(플랫폼명범위,E143)</f>
        <v/>
      </c>
      <c r="D143" s="2">
        <f>MOD(INT((A143-1)/4),8)+1</f>
        <v/>
      </c>
      <c r="E143" s="2">
        <f>MOD(A143-1,4)+1</f>
        <v/>
      </c>
      <c r="F143" s="20">
        <f>축시작+INT((A143-1)/32)</f>
        <v/>
      </c>
      <c r="G143" s="20">
        <f>F143+H143</f>
        <v/>
      </c>
      <c r="H143" s="5" t="n">
        <v>2</v>
      </c>
      <c r="I143" s="2">
        <f>ROUND(INDEX(가맹점!$P$2:$P$9,D143)*INDEX(가맹점!$J$2:$M$9,D143,E143),0)</f>
        <v/>
      </c>
      <c r="J143" s="2">
        <f>ROUND(I143*(1-할인율),0)</f>
        <v/>
      </c>
      <c r="K143" s="2">
        <f>ROUNDDOWN(I143*할인율,0)</f>
        <v/>
      </c>
      <c r="L143" s="2">
        <f>ROUND(I143*INDEX(미지급률범위,E143),0)</f>
        <v/>
      </c>
      <c r="M143" s="2">
        <f>ROUND(I143*INDEX(과지급률범위,E143),0)</f>
        <v/>
      </c>
      <c r="N143" s="2">
        <f>MAX(0,L143-M143)</f>
        <v/>
      </c>
      <c r="O143" s="2">
        <f>K143-N143</f>
        <v/>
      </c>
      <c r="P143" s="2">
        <f>I143-N143</f>
        <v/>
      </c>
      <c r="Q143" s="5">
        <f>IF(G143&gt;기준일,1,0)</f>
        <v/>
      </c>
      <c r="R143" s="5">
        <f>IF(G143&lt;=기준일,1,0)</f>
        <v/>
      </c>
      <c r="S143" s="2">
        <f>J143*H143</f>
        <v/>
      </c>
      <c r="T143" s="5">
        <f>IF(AND(F143&gt;=표본시작,F143&lt;=표본종료),1,0)</f>
        <v/>
      </c>
      <c r="U143" s="5">
        <f>IF(AND(G143&gt;=조회시작,G143&lt;=조회종료),1,0)</f>
        <v/>
      </c>
    </row>
    <row r="144">
      <c r="A144" s="2">
        <f>ROW()-1</f>
        <v/>
      </c>
      <c r="B144" s="5">
        <f>INDEX(상호범위,D144)</f>
        <v/>
      </c>
      <c r="C144" s="5">
        <f>INDEX(플랫폼명범위,E144)</f>
        <v/>
      </c>
      <c r="D144" s="2">
        <f>MOD(INT((A144-1)/4),8)+1</f>
        <v/>
      </c>
      <c r="E144" s="2">
        <f>MOD(A144-1,4)+1</f>
        <v/>
      </c>
      <c r="F144" s="20">
        <f>축시작+INT((A144-1)/32)</f>
        <v/>
      </c>
      <c r="G144" s="20">
        <f>F144+H144</f>
        <v/>
      </c>
      <c r="H144" s="5" t="n">
        <v>3</v>
      </c>
      <c r="I144" s="2">
        <f>ROUND(INDEX(가맹점!$P$2:$P$9,D144)*INDEX(가맹점!$J$2:$M$9,D144,E144),0)</f>
        <v/>
      </c>
      <c r="J144" s="2">
        <f>ROUND(I144*(1-할인율),0)</f>
        <v/>
      </c>
      <c r="K144" s="2">
        <f>ROUNDDOWN(I144*할인율,0)</f>
        <v/>
      </c>
      <c r="L144" s="2">
        <f>ROUND(I144*INDEX(미지급률범위,E144),0)</f>
        <v/>
      </c>
      <c r="M144" s="2">
        <f>ROUND(I144*INDEX(과지급률범위,E144),0)</f>
        <v/>
      </c>
      <c r="N144" s="2">
        <f>MAX(0,L144-M144)</f>
        <v/>
      </c>
      <c r="O144" s="2">
        <f>K144-N144</f>
        <v/>
      </c>
      <c r="P144" s="2">
        <f>I144-N144</f>
        <v/>
      </c>
      <c r="Q144" s="5">
        <f>IF(G144&gt;기준일,1,0)</f>
        <v/>
      </c>
      <c r="R144" s="5">
        <f>IF(G144&lt;=기준일,1,0)</f>
        <v/>
      </c>
      <c r="S144" s="2">
        <f>J144*H144</f>
        <v/>
      </c>
      <c r="T144" s="5">
        <f>IF(AND(F144&gt;=표본시작,F144&lt;=표본종료),1,0)</f>
        <v/>
      </c>
      <c r="U144" s="5">
        <f>IF(AND(G144&gt;=조회시작,G144&lt;=조회종료),1,0)</f>
        <v/>
      </c>
    </row>
    <row r="145">
      <c r="A145" s="2">
        <f>ROW()-1</f>
        <v/>
      </c>
      <c r="B145" s="5">
        <f>INDEX(상호범위,D145)</f>
        <v/>
      </c>
      <c r="C145" s="5">
        <f>INDEX(플랫폼명범위,E145)</f>
        <v/>
      </c>
      <c r="D145" s="2">
        <f>MOD(INT((A145-1)/4),8)+1</f>
        <v/>
      </c>
      <c r="E145" s="2">
        <f>MOD(A145-1,4)+1</f>
        <v/>
      </c>
      <c r="F145" s="20">
        <f>축시작+INT((A145-1)/32)</f>
        <v/>
      </c>
      <c r="G145" s="20">
        <f>F145+H145</f>
        <v/>
      </c>
      <c r="H145" s="5" t="n">
        <v>4</v>
      </c>
      <c r="I145" s="2">
        <f>ROUND(INDEX(가맹점!$P$2:$P$9,D145)*INDEX(가맹점!$J$2:$M$9,D145,E145),0)</f>
        <v/>
      </c>
      <c r="J145" s="2">
        <f>ROUND(I145*(1-할인율),0)</f>
        <v/>
      </c>
      <c r="K145" s="2">
        <f>ROUNDDOWN(I145*할인율,0)</f>
        <v/>
      </c>
      <c r="L145" s="2">
        <f>ROUND(I145*INDEX(미지급률범위,E145),0)</f>
        <v/>
      </c>
      <c r="M145" s="2">
        <f>ROUND(I145*INDEX(과지급률범위,E145),0)</f>
        <v/>
      </c>
      <c r="N145" s="2">
        <f>MAX(0,L145-M145)</f>
        <v/>
      </c>
      <c r="O145" s="2">
        <f>K145-N145</f>
        <v/>
      </c>
      <c r="P145" s="2">
        <f>I145-N145</f>
        <v/>
      </c>
      <c r="Q145" s="5">
        <f>IF(G145&gt;기준일,1,0)</f>
        <v/>
      </c>
      <c r="R145" s="5">
        <f>IF(G145&lt;=기준일,1,0)</f>
        <v/>
      </c>
      <c r="S145" s="2">
        <f>J145*H145</f>
        <v/>
      </c>
      <c r="T145" s="5">
        <f>IF(AND(F145&gt;=표본시작,F145&lt;=표본종료),1,0)</f>
        <v/>
      </c>
      <c r="U145" s="5">
        <f>IF(AND(G145&gt;=조회시작,G145&lt;=조회종료),1,0)</f>
        <v/>
      </c>
    </row>
    <row r="146">
      <c r="A146" s="2">
        <f>ROW()-1</f>
        <v/>
      </c>
      <c r="B146" s="5">
        <f>INDEX(상호범위,D146)</f>
        <v/>
      </c>
      <c r="C146" s="5">
        <f>INDEX(플랫폼명범위,E146)</f>
        <v/>
      </c>
      <c r="D146" s="2">
        <f>MOD(INT((A146-1)/4),8)+1</f>
        <v/>
      </c>
      <c r="E146" s="2">
        <f>MOD(A146-1,4)+1</f>
        <v/>
      </c>
      <c r="F146" s="20">
        <f>축시작+INT((A146-1)/32)</f>
        <v/>
      </c>
      <c r="G146" s="20">
        <f>F146+H146</f>
        <v/>
      </c>
      <c r="H146" s="5" t="n">
        <v>1</v>
      </c>
      <c r="I146" s="2">
        <f>ROUND(INDEX(가맹점!$P$2:$P$9,D146)*INDEX(가맹점!$J$2:$M$9,D146,E146),0)</f>
        <v/>
      </c>
      <c r="J146" s="2">
        <f>ROUND(I146*(1-할인율),0)</f>
        <v/>
      </c>
      <c r="K146" s="2">
        <f>ROUNDDOWN(I146*할인율,0)</f>
        <v/>
      </c>
      <c r="L146" s="2">
        <f>ROUND(I146*INDEX(미지급률범위,E146),0)</f>
        <v/>
      </c>
      <c r="M146" s="2">
        <f>ROUND(I146*INDEX(과지급률범위,E146),0)</f>
        <v/>
      </c>
      <c r="N146" s="2">
        <f>MAX(0,L146-M146)</f>
        <v/>
      </c>
      <c r="O146" s="2">
        <f>K146-N146</f>
        <v/>
      </c>
      <c r="P146" s="2">
        <f>I146-N146</f>
        <v/>
      </c>
      <c r="Q146" s="5">
        <f>IF(G146&gt;기준일,1,0)</f>
        <v/>
      </c>
      <c r="R146" s="5">
        <f>IF(G146&lt;=기준일,1,0)</f>
        <v/>
      </c>
      <c r="S146" s="2">
        <f>J146*H146</f>
        <v/>
      </c>
      <c r="T146" s="5">
        <f>IF(AND(F146&gt;=표본시작,F146&lt;=표본종료),1,0)</f>
        <v/>
      </c>
      <c r="U146" s="5">
        <f>IF(AND(G146&gt;=조회시작,G146&lt;=조회종료),1,0)</f>
        <v/>
      </c>
    </row>
    <row r="147">
      <c r="A147" s="2">
        <f>ROW()-1</f>
        <v/>
      </c>
      <c r="B147" s="5">
        <f>INDEX(상호범위,D147)</f>
        <v/>
      </c>
      <c r="C147" s="5">
        <f>INDEX(플랫폼명범위,E147)</f>
        <v/>
      </c>
      <c r="D147" s="2">
        <f>MOD(INT((A147-1)/4),8)+1</f>
        <v/>
      </c>
      <c r="E147" s="2">
        <f>MOD(A147-1,4)+1</f>
        <v/>
      </c>
      <c r="F147" s="20">
        <f>축시작+INT((A147-1)/32)</f>
        <v/>
      </c>
      <c r="G147" s="20">
        <f>F147+H147</f>
        <v/>
      </c>
      <c r="H147" s="5" t="n">
        <v>6</v>
      </c>
      <c r="I147" s="2">
        <f>ROUND(INDEX(가맹점!$P$2:$P$9,D147)*INDEX(가맹점!$J$2:$M$9,D147,E147),0)</f>
        <v/>
      </c>
      <c r="J147" s="2">
        <f>ROUND(I147*(1-할인율),0)</f>
        <v/>
      </c>
      <c r="K147" s="2">
        <f>ROUNDDOWN(I147*할인율,0)</f>
        <v/>
      </c>
      <c r="L147" s="2">
        <f>ROUND(I147*INDEX(미지급률범위,E147),0)</f>
        <v/>
      </c>
      <c r="M147" s="2">
        <f>ROUND(I147*INDEX(과지급률범위,E147),0)</f>
        <v/>
      </c>
      <c r="N147" s="2">
        <f>MAX(0,L147-M147)</f>
        <v/>
      </c>
      <c r="O147" s="2">
        <f>K147-N147</f>
        <v/>
      </c>
      <c r="P147" s="2">
        <f>I147-N147</f>
        <v/>
      </c>
      <c r="Q147" s="5">
        <f>IF(G147&gt;기준일,1,0)</f>
        <v/>
      </c>
      <c r="R147" s="5">
        <f>IF(G147&lt;=기준일,1,0)</f>
        <v/>
      </c>
      <c r="S147" s="2">
        <f>J147*H147</f>
        <v/>
      </c>
      <c r="T147" s="5">
        <f>IF(AND(F147&gt;=표본시작,F147&lt;=표본종료),1,0)</f>
        <v/>
      </c>
      <c r="U147" s="5">
        <f>IF(AND(G147&gt;=조회시작,G147&lt;=조회종료),1,0)</f>
        <v/>
      </c>
    </row>
    <row r="148">
      <c r="A148" s="2">
        <f>ROW()-1</f>
        <v/>
      </c>
      <c r="B148" s="5">
        <f>INDEX(상호범위,D148)</f>
        <v/>
      </c>
      <c r="C148" s="5">
        <f>INDEX(플랫폼명범위,E148)</f>
        <v/>
      </c>
      <c r="D148" s="2">
        <f>MOD(INT((A148-1)/4),8)+1</f>
        <v/>
      </c>
      <c r="E148" s="2">
        <f>MOD(A148-1,4)+1</f>
        <v/>
      </c>
      <c r="F148" s="20">
        <f>축시작+INT((A148-1)/32)</f>
        <v/>
      </c>
      <c r="G148" s="20">
        <f>F148+H148</f>
        <v/>
      </c>
      <c r="H148" s="5" t="n">
        <v>4</v>
      </c>
      <c r="I148" s="2">
        <f>ROUND(INDEX(가맹점!$P$2:$P$9,D148)*INDEX(가맹점!$J$2:$M$9,D148,E148),0)</f>
        <v/>
      </c>
      <c r="J148" s="2">
        <f>ROUND(I148*(1-할인율),0)</f>
        <v/>
      </c>
      <c r="K148" s="2">
        <f>ROUNDDOWN(I148*할인율,0)</f>
        <v/>
      </c>
      <c r="L148" s="2">
        <f>ROUND(I148*INDEX(미지급률범위,E148),0)</f>
        <v/>
      </c>
      <c r="M148" s="2">
        <f>ROUND(I148*INDEX(과지급률범위,E148),0)</f>
        <v/>
      </c>
      <c r="N148" s="2">
        <f>MAX(0,L148-M148)</f>
        <v/>
      </c>
      <c r="O148" s="2">
        <f>K148-N148</f>
        <v/>
      </c>
      <c r="P148" s="2">
        <f>I148-N148</f>
        <v/>
      </c>
      <c r="Q148" s="5">
        <f>IF(G148&gt;기준일,1,0)</f>
        <v/>
      </c>
      <c r="R148" s="5">
        <f>IF(G148&lt;=기준일,1,0)</f>
        <v/>
      </c>
      <c r="S148" s="2">
        <f>J148*H148</f>
        <v/>
      </c>
      <c r="T148" s="5">
        <f>IF(AND(F148&gt;=표본시작,F148&lt;=표본종료),1,0)</f>
        <v/>
      </c>
      <c r="U148" s="5">
        <f>IF(AND(G148&gt;=조회시작,G148&lt;=조회종료),1,0)</f>
        <v/>
      </c>
    </row>
    <row r="149">
      <c r="A149" s="2">
        <f>ROW()-1</f>
        <v/>
      </c>
      <c r="B149" s="5">
        <f>INDEX(상호범위,D149)</f>
        <v/>
      </c>
      <c r="C149" s="5">
        <f>INDEX(플랫폼명범위,E149)</f>
        <v/>
      </c>
      <c r="D149" s="2">
        <f>MOD(INT((A149-1)/4),8)+1</f>
        <v/>
      </c>
      <c r="E149" s="2">
        <f>MOD(A149-1,4)+1</f>
        <v/>
      </c>
      <c r="F149" s="20">
        <f>축시작+INT((A149-1)/32)</f>
        <v/>
      </c>
      <c r="G149" s="20">
        <f>F149+H149</f>
        <v/>
      </c>
      <c r="H149" s="5" t="n">
        <v>8</v>
      </c>
      <c r="I149" s="2">
        <f>ROUND(INDEX(가맹점!$P$2:$P$9,D149)*INDEX(가맹점!$J$2:$M$9,D149,E149),0)</f>
        <v/>
      </c>
      <c r="J149" s="2">
        <f>ROUND(I149*(1-할인율),0)</f>
        <v/>
      </c>
      <c r="K149" s="2">
        <f>ROUNDDOWN(I149*할인율,0)</f>
        <v/>
      </c>
      <c r="L149" s="2">
        <f>ROUND(I149*INDEX(미지급률범위,E149),0)</f>
        <v/>
      </c>
      <c r="M149" s="2">
        <f>ROUND(I149*INDEX(과지급률범위,E149),0)</f>
        <v/>
      </c>
      <c r="N149" s="2">
        <f>MAX(0,L149-M149)</f>
        <v/>
      </c>
      <c r="O149" s="2">
        <f>K149-N149</f>
        <v/>
      </c>
      <c r="P149" s="2">
        <f>I149-N149</f>
        <v/>
      </c>
      <c r="Q149" s="5">
        <f>IF(G149&gt;기준일,1,0)</f>
        <v/>
      </c>
      <c r="R149" s="5">
        <f>IF(G149&lt;=기준일,1,0)</f>
        <v/>
      </c>
      <c r="S149" s="2">
        <f>J149*H149</f>
        <v/>
      </c>
      <c r="T149" s="5">
        <f>IF(AND(F149&gt;=표본시작,F149&lt;=표본종료),1,0)</f>
        <v/>
      </c>
      <c r="U149" s="5">
        <f>IF(AND(G149&gt;=조회시작,G149&lt;=조회종료),1,0)</f>
        <v/>
      </c>
    </row>
    <row r="150">
      <c r="A150" s="2">
        <f>ROW()-1</f>
        <v/>
      </c>
      <c r="B150" s="5">
        <f>INDEX(상호범위,D150)</f>
        <v/>
      </c>
      <c r="C150" s="5">
        <f>INDEX(플랫폼명범위,E150)</f>
        <v/>
      </c>
      <c r="D150" s="2">
        <f>MOD(INT((A150-1)/4),8)+1</f>
        <v/>
      </c>
      <c r="E150" s="2">
        <f>MOD(A150-1,4)+1</f>
        <v/>
      </c>
      <c r="F150" s="20">
        <f>축시작+INT((A150-1)/32)</f>
        <v/>
      </c>
      <c r="G150" s="20">
        <f>F150+H150</f>
        <v/>
      </c>
      <c r="H150" s="5" t="n">
        <v>1</v>
      </c>
      <c r="I150" s="2">
        <f>ROUND(INDEX(가맹점!$P$2:$P$9,D150)*INDEX(가맹점!$J$2:$M$9,D150,E150),0)</f>
        <v/>
      </c>
      <c r="J150" s="2">
        <f>ROUND(I150*(1-할인율),0)</f>
        <v/>
      </c>
      <c r="K150" s="2">
        <f>ROUNDDOWN(I150*할인율,0)</f>
        <v/>
      </c>
      <c r="L150" s="2">
        <f>ROUND(I150*INDEX(미지급률범위,E150),0)</f>
        <v/>
      </c>
      <c r="M150" s="2">
        <f>ROUND(I150*INDEX(과지급률범위,E150),0)</f>
        <v/>
      </c>
      <c r="N150" s="2">
        <f>MAX(0,L150-M150)</f>
        <v/>
      </c>
      <c r="O150" s="2">
        <f>K150-N150</f>
        <v/>
      </c>
      <c r="P150" s="2">
        <f>I150-N150</f>
        <v/>
      </c>
      <c r="Q150" s="5">
        <f>IF(G150&gt;기준일,1,0)</f>
        <v/>
      </c>
      <c r="R150" s="5">
        <f>IF(G150&lt;=기준일,1,0)</f>
        <v/>
      </c>
      <c r="S150" s="2">
        <f>J150*H150</f>
        <v/>
      </c>
      <c r="T150" s="5">
        <f>IF(AND(F150&gt;=표본시작,F150&lt;=표본종료),1,0)</f>
        <v/>
      </c>
      <c r="U150" s="5">
        <f>IF(AND(G150&gt;=조회시작,G150&lt;=조회종료),1,0)</f>
        <v/>
      </c>
    </row>
    <row r="151">
      <c r="A151" s="2">
        <f>ROW()-1</f>
        <v/>
      </c>
      <c r="B151" s="5">
        <f>INDEX(상호범위,D151)</f>
        <v/>
      </c>
      <c r="C151" s="5">
        <f>INDEX(플랫폼명범위,E151)</f>
        <v/>
      </c>
      <c r="D151" s="2">
        <f>MOD(INT((A151-1)/4),8)+1</f>
        <v/>
      </c>
      <c r="E151" s="2">
        <f>MOD(A151-1,4)+1</f>
        <v/>
      </c>
      <c r="F151" s="20">
        <f>축시작+INT((A151-1)/32)</f>
        <v/>
      </c>
      <c r="G151" s="20">
        <f>F151+H151</f>
        <v/>
      </c>
      <c r="H151" s="5" t="n">
        <v>4</v>
      </c>
      <c r="I151" s="2">
        <f>ROUND(INDEX(가맹점!$P$2:$P$9,D151)*INDEX(가맹점!$J$2:$M$9,D151,E151),0)</f>
        <v/>
      </c>
      <c r="J151" s="2">
        <f>ROUND(I151*(1-할인율),0)</f>
        <v/>
      </c>
      <c r="K151" s="2">
        <f>ROUNDDOWN(I151*할인율,0)</f>
        <v/>
      </c>
      <c r="L151" s="2">
        <f>ROUND(I151*INDEX(미지급률범위,E151),0)</f>
        <v/>
      </c>
      <c r="M151" s="2">
        <f>ROUND(I151*INDEX(과지급률범위,E151),0)</f>
        <v/>
      </c>
      <c r="N151" s="2">
        <f>MAX(0,L151-M151)</f>
        <v/>
      </c>
      <c r="O151" s="2">
        <f>K151-N151</f>
        <v/>
      </c>
      <c r="P151" s="2">
        <f>I151-N151</f>
        <v/>
      </c>
      <c r="Q151" s="5">
        <f>IF(G151&gt;기준일,1,0)</f>
        <v/>
      </c>
      <c r="R151" s="5">
        <f>IF(G151&lt;=기준일,1,0)</f>
        <v/>
      </c>
      <c r="S151" s="2">
        <f>J151*H151</f>
        <v/>
      </c>
      <c r="T151" s="5">
        <f>IF(AND(F151&gt;=표본시작,F151&lt;=표본종료),1,0)</f>
        <v/>
      </c>
      <c r="U151" s="5">
        <f>IF(AND(G151&gt;=조회시작,G151&lt;=조회종료),1,0)</f>
        <v/>
      </c>
    </row>
    <row r="152">
      <c r="A152" s="2">
        <f>ROW()-1</f>
        <v/>
      </c>
      <c r="B152" s="5">
        <f>INDEX(상호범위,D152)</f>
        <v/>
      </c>
      <c r="C152" s="5">
        <f>INDEX(플랫폼명범위,E152)</f>
        <v/>
      </c>
      <c r="D152" s="2">
        <f>MOD(INT((A152-1)/4),8)+1</f>
        <v/>
      </c>
      <c r="E152" s="2">
        <f>MOD(A152-1,4)+1</f>
        <v/>
      </c>
      <c r="F152" s="20">
        <f>축시작+INT((A152-1)/32)</f>
        <v/>
      </c>
      <c r="G152" s="20">
        <f>F152+H152</f>
        <v/>
      </c>
      <c r="H152" s="5" t="n">
        <v>3</v>
      </c>
      <c r="I152" s="2">
        <f>ROUND(INDEX(가맹점!$P$2:$P$9,D152)*INDEX(가맹점!$J$2:$M$9,D152,E152),0)</f>
        <v/>
      </c>
      <c r="J152" s="2">
        <f>ROUND(I152*(1-할인율),0)</f>
        <v/>
      </c>
      <c r="K152" s="2">
        <f>ROUNDDOWN(I152*할인율,0)</f>
        <v/>
      </c>
      <c r="L152" s="2">
        <f>ROUND(I152*INDEX(미지급률범위,E152),0)</f>
        <v/>
      </c>
      <c r="M152" s="2">
        <f>ROUND(I152*INDEX(과지급률범위,E152),0)</f>
        <v/>
      </c>
      <c r="N152" s="2">
        <f>MAX(0,L152-M152)</f>
        <v/>
      </c>
      <c r="O152" s="2">
        <f>K152-N152</f>
        <v/>
      </c>
      <c r="P152" s="2">
        <f>I152-N152</f>
        <v/>
      </c>
      <c r="Q152" s="5">
        <f>IF(G152&gt;기준일,1,0)</f>
        <v/>
      </c>
      <c r="R152" s="5">
        <f>IF(G152&lt;=기준일,1,0)</f>
        <v/>
      </c>
      <c r="S152" s="2">
        <f>J152*H152</f>
        <v/>
      </c>
      <c r="T152" s="5">
        <f>IF(AND(F152&gt;=표본시작,F152&lt;=표본종료),1,0)</f>
        <v/>
      </c>
      <c r="U152" s="5">
        <f>IF(AND(G152&gt;=조회시작,G152&lt;=조회종료),1,0)</f>
        <v/>
      </c>
    </row>
    <row r="153">
      <c r="A153" s="2">
        <f>ROW()-1</f>
        <v/>
      </c>
      <c r="B153" s="5">
        <f>INDEX(상호범위,D153)</f>
        <v/>
      </c>
      <c r="C153" s="5">
        <f>INDEX(플랫폼명범위,E153)</f>
        <v/>
      </c>
      <c r="D153" s="2">
        <f>MOD(INT((A153-1)/4),8)+1</f>
        <v/>
      </c>
      <c r="E153" s="2">
        <f>MOD(A153-1,4)+1</f>
        <v/>
      </c>
      <c r="F153" s="20">
        <f>축시작+INT((A153-1)/32)</f>
        <v/>
      </c>
      <c r="G153" s="20">
        <f>F153+H153</f>
        <v/>
      </c>
      <c r="H153" s="5" t="n">
        <v>8</v>
      </c>
      <c r="I153" s="2">
        <f>ROUND(INDEX(가맹점!$P$2:$P$9,D153)*INDEX(가맹점!$J$2:$M$9,D153,E153),0)</f>
        <v/>
      </c>
      <c r="J153" s="2">
        <f>ROUND(I153*(1-할인율),0)</f>
        <v/>
      </c>
      <c r="K153" s="2">
        <f>ROUNDDOWN(I153*할인율,0)</f>
        <v/>
      </c>
      <c r="L153" s="2">
        <f>ROUND(I153*INDEX(미지급률범위,E153),0)</f>
        <v/>
      </c>
      <c r="M153" s="2">
        <f>ROUND(I153*INDEX(과지급률범위,E153),0)</f>
        <v/>
      </c>
      <c r="N153" s="2">
        <f>MAX(0,L153-M153)</f>
        <v/>
      </c>
      <c r="O153" s="2">
        <f>K153-N153</f>
        <v/>
      </c>
      <c r="P153" s="2">
        <f>I153-N153</f>
        <v/>
      </c>
      <c r="Q153" s="5">
        <f>IF(G153&gt;기준일,1,0)</f>
        <v/>
      </c>
      <c r="R153" s="5">
        <f>IF(G153&lt;=기준일,1,0)</f>
        <v/>
      </c>
      <c r="S153" s="2">
        <f>J153*H153</f>
        <v/>
      </c>
      <c r="T153" s="5">
        <f>IF(AND(F153&gt;=표본시작,F153&lt;=표본종료),1,0)</f>
        <v/>
      </c>
      <c r="U153" s="5">
        <f>IF(AND(G153&gt;=조회시작,G153&lt;=조회종료),1,0)</f>
        <v/>
      </c>
    </row>
    <row r="154">
      <c r="A154" s="2">
        <f>ROW()-1</f>
        <v/>
      </c>
      <c r="B154" s="5">
        <f>INDEX(상호범위,D154)</f>
        <v/>
      </c>
      <c r="C154" s="5">
        <f>INDEX(플랫폼명범위,E154)</f>
        <v/>
      </c>
      <c r="D154" s="2">
        <f>MOD(INT((A154-1)/4),8)+1</f>
        <v/>
      </c>
      <c r="E154" s="2">
        <f>MOD(A154-1,4)+1</f>
        <v/>
      </c>
      <c r="F154" s="20">
        <f>축시작+INT((A154-1)/32)</f>
        <v/>
      </c>
      <c r="G154" s="20">
        <f>F154+H154</f>
        <v/>
      </c>
      <c r="H154" s="5" t="n">
        <v>7</v>
      </c>
      <c r="I154" s="2">
        <f>ROUND(INDEX(가맹점!$P$2:$P$9,D154)*INDEX(가맹점!$J$2:$M$9,D154,E154),0)</f>
        <v/>
      </c>
      <c r="J154" s="2">
        <f>ROUND(I154*(1-할인율),0)</f>
        <v/>
      </c>
      <c r="K154" s="2">
        <f>ROUNDDOWN(I154*할인율,0)</f>
        <v/>
      </c>
      <c r="L154" s="2">
        <f>ROUND(I154*INDEX(미지급률범위,E154),0)</f>
        <v/>
      </c>
      <c r="M154" s="2">
        <f>ROUND(I154*INDEX(과지급률범위,E154),0)</f>
        <v/>
      </c>
      <c r="N154" s="2">
        <f>MAX(0,L154-M154)</f>
        <v/>
      </c>
      <c r="O154" s="2">
        <f>K154-N154</f>
        <v/>
      </c>
      <c r="P154" s="2">
        <f>I154-N154</f>
        <v/>
      </c>
      <c r="Q154" s="5">
        <f>IF(G154&gt;기준일,1,0)</f>
        <v/>
      </c>
      <c r="R154" s="5">
        <f>IF(G154&lt;=기준일,1,0)</f>
        <v/>
      </c>
      <c r="S154" s="2">
        <f>J154*H154</f>
        <v/>
      </c>
      <c r="T154" s="5">
        <f>IF(AND(F154&gt;=표본시작,F154&lt;=표본종료),1,0)</f>
        <v/>
      </c>
      <c r="U154" s="5">
        <f>IF(AND(G154&gt;=조회시작,G154&lt;=조회종료),1,0)</f>
        <v/>
      </c>
    </row>
    <row r="155">
      <c r="A155" s="2">
        <f>ROW()-1</f>
        <v/>
      </c>
      <c r="B155" s="5">
        <f>INDEX(상호범위,D155)</f>
        <v/>
      </c>
      <c r="C155" s="5">
        <f>INDEX(플랫폼명범위,E155)</f>
        <v/>
      </c>
      <c r="D155" s="2">
        <f>MOD(INT((A155-1)/4),8)+1</f>
        <v/>
      </c>
      <c r="E155" s="2">
        <f>MOD(A155-1,4)+1</f>
        <v/>
      </c>
      <c r="F155" s="20">
        <f>축시작+INT((A155-1)/32)</f>
        <v/>
      </c>
      <c r="G155" s="20">
        <f>F155+H155</f>
        <v/>
      </c>
      <c r="H155" s="5" t="n">
        <v>3</v>
      </c>
      <c r="I155" s="2">
        <f>ROUND(INDEX(가맹점!$P$2:$P$9,D155)*INDEX(가맹점!$J$2:$M$9,D155,E155),0)</f>
        <v/>
      </c>
      <c r="J155" s="2">
        <f>ROUND(I155*(1-할인율),0)</f>
        <v/>
      </c>
      <c r="K155" s="2">
        <f>ROUNDDOWN(I155*할인율,0)</f>
        <v/>
      </c>
      <c r="L155" s="2">
        <f>ROUND(I155*INDEX(미지급률범위,E155),0)</f>
        <v/>
      </c>
      <c r="M155" s="2">
        <f>ROUND(I155*INDEX(과지급률범위,E155),0)</f>
        <v/>
      </c>
      <c r="N155" s="2">
        <f>MAX(0,L155-M155)</f>
        <v/>
      </c>
      <c r="O155" s="2">
        <f>K155-N155</f>
        <v/>
      </c>
      <c r="P155" s="2">
        <f>I155-N155</f>
        <v/>
      </c>
      <c r="Q155" s="5">
        <f>IF(G155&gt;기준일,1,0)</f>
        <v/>
      </c>
      <c r="R155" s="5">
        <f>IF(G155&lt;=기준일,1,0)</f>
        <v/>
      </c>
      <c r="S155" s="2">
        <f>J155*H155</f>
        <v/>
      </c>
      <c r="T155" s="5">
        <f>IF(AND(F155&gt;=표본시작,F155&lt;=표본종료),1,0)</f>
        <v/>
      </c>
      <c r="U155" s="5">
        <f>IF(AND(G155&gt;=조회시작,G155&lt;=조회종료),1,0)</f>
        <v/>
      </c>
    </row>
    <row r="156">
      <c r="A156" s="2">
        <f>ROW()-1</f>
        <v/>
      </c>
      <c r="B156" s="5">
        <f>INDEX(상호범위,D156)</f>
        <v/>
      </c>
      <c r="C156" s="5">
        <f>INDEX(플랫폼명범위,E156)</f>
        <v/>
      </c>
      <c r="D156" s="2">
        <f>MOD(INT((A156-1)/4),8)+1</f>
        <v/>
      </c>
      <c r="E156" s="2">
        <f>MOD(A156-1,4)+1</f>
        <v/>
      </c>
      <c r="F156" s="20">
        <f>축시작+INT((A156-1)/32)</f>
        <v/>
      </c>
      <c r="G156" s="20">
        <f>F156+H156</f>
        <v/>
      </c>
      <c r="H156" s="5" t="n">
        <v>5</v>
      </c>
      <c r="I156" s="2">
        <f>ROUND(INDEX(가맹점!$P$2:$P$9,D156)*INDEX(가맹점!$J$2:$M$9,D156,E156),0)</f>
        <v/>
      </c>
      <c r="J156" s="2">
        <f>ROUND(I156*(1-할인율),0)</f>
        <v/>
      </c>
      <c r="K156" s="2">
        <f>ROUNDDOWN(I156*할인율,0)</f>
        <v/>
      </c>
      <c r="L156" s="2">
        <f>ROUND(I156*INDEX(미지급률범위,E156),0)</f>
        <v/>
      </c>
      <c r="M156" s="2">
        <f>ROUND(I156*INDEX(과지급률범위,E156),0)</f>
        <v/>
      </c>
      <c r="N156" s="2">
        <f>MAX(0,L156-M156)</f>
        <v/>
      </c>
      <c r="O156" s="2">
        <f>K156-N156</f>
        <v/>
      </c>
      <c r="P156" s="2">
        <f>I156-N156</f>
        <v/>
      </c>
      <c r="Q156" s="5">
        <f>IF(G156&gt;기준일,1,0)</f>
        <v/>
      </c>
      <c r="R156" s="5">
        <f>IF(G156&lt;=기준일,1,0)</f>
        <v/>
      </c>
      <c r="S156" s="2">
        <f>J156*H156</f>
        <v/>
      </c>
      <c r="T156" s="5">
        <f>IF(AND(F156&gt;=표본시작,F156&lt;=표본종료),1,0)</f>
        <v/>
      </c>
      <c r="U156" s="5">
        <f>IF(AND(G156&gt;=조회시작,G156&lt;=조회종료),1,0)</f>
        <v/>
      </c>
    </row>
    <row r="157">
      <c r="A157" s="2">
        <f>ROW()-1</f>
        <v/>
      </c>
      <c r="B157" s="5">
        <f>INDEX(상호범위,D157)</f>
        <v/>
      </c>
      <c r="C157" s="5">
        <f>INDEX(플랫폼명범위,E157)</f>
        <v/>
      </c>
      <c r="D157" s="2">
        <f>MOD(INT((A157-1)/4),8)+1</f>
        <v/>
      </c>
      <c r="E157" s="2">
        <f>MOD(A157-1,4)+1</f>
        <v/>
      </c>
      <c r="F157" s="20">
        <f>축시작+INT((A157-1)/32)</f>
        <v/>
      </c>
      <c r="G157" s="20">
        <f>F157+H157</f>
        <v/>
      </c>
      <c r="H157" s="5" t="n">
        <v>6</v>
      </c>
      <c r="I157" s="2">
        <f>ROUND(INDEX(가맹점!$P$2:$P$9,D157)*INDEX(가맹점!$J$2:$M$9,D157,E157),0)</f>
        <v/>
      </c>
      <c r="J157" s="2">
        <f>ROUND(I157*(1-할인율),0)</f>
        <v/>
      </c>
      <c r="K157" s="2">
        <f>ROUNDDOWN(I157*할인율,0)</f>
        <v/>
      </c>
      <c r="L157" s="2">
        <f>ROUND(I157*INDEX(미지급률범위,E157),0)</f>
        <v/>
      </c>
      <c r="M157" s="2">
        <f>ROUND(I157*INDEX(과지급률범위,E157),0)</f>
        <v/>
      </c>
      <c r="N157" s="2">
        <f>MAX(0,L157-M157)</f>
        <v/>
      </c>
      <c r="O157" s="2">
        <f>K157-N157</f>
        <v/>
      </c>
      <c r="P157" s="2">
        <f>I157-N157</f>
        <v/>
      </c>
      <c r="Q157" s="5">
        <f>IF(G157&gt;기준일,1,0)</f>
        <v/>
      </c>
      <c r="R157" s="5">
        <f>IF(G157&lt;=기준일,1,0)</f>
        <v/>
      </c>
      <c r="S157" s="2">
        <f>J157*H157</f>
        <v/>
      </c>
      <c r="T157" s="5">
        <f>IF(AND(F157&gt;=표본시작,F157&lt;=표본종료),1,0)</f>
        <v/>
      </c>
      <c r="U157" s="5">
        <f>IF(AND(G157&gt;=조회시작,G157&lt;=조회종료),1,0)</f>
        <v/>
      </c>
    </row>
    <row r="158">
      <c r="A158" s="2">
        <f>ROW()-1</f>
        <v/>
      </c>
      <c r="B158" s="5">
        <f>INDEX(상호범위,D158)</f>
        <v/>
      </c>
      <c r="C158" s="5">
        <f>INDEX(플랫폼명범위,E158)</f>
        <v/>
      </c>
      <c r="D158" s="2">
        <f>MOD(INT((A158-1)/4),8)+1</f>
        <v/>
      </c>
      <c r="E158" s="2">
        <f>MOD(A158-1,4)+1</f>
        <v/>
      </c>
      <c r="F158" s="20">
        <f>축시작+INT((A158-1)/32)</f>
        <v/>
      </c>
      <c r="G158" s="20">
        <f>F158+H158</f>
        <v/>
      </c>
      <c r="H158" s="5" t="n">
        <v>8</v>
      </c>
      <c r="I158" s="2">
        <f>ROUND(INDEX(가맹점!$P$2:$P$9,D158)*INDEX(가맹점!$J$2:$M$9,D158,E158),0)</f>
        <v/>
      </c>
      <c r="J158" s="2">
        <f>ROUND(I158*(1-할인율),0)</f>
        <v/>
      </c>
      <c r="K158" s="2">
        <f>ROUNDDOWN(I158*할인율,0)</f>
        <v/>
      </c>
      <c r="L158" s="2">
        <f>ROUND(I158*INDEX(미지급률범위,E158),0)</f>
        <v/>
      </c>
      <c r="M158" s="2">
        <f>ROUND(I158*INDEX(과지급률범위,E158),0)</f>
        <v/>
      </c>
      <c r="N158" s="2">
        <f>MAX(0,L158-M158)</f>
        <v/>
      </c>
      <c r="O158" s="2">
        <f>K158-N158</f>
        <v/>
      </c>
      <c r="P158" s="2">
        <f>I158-N158</f>
        <v/>
      </c>
      <c r="Q158" s="5">
        <f>IF(G158&gt;기준일,1,0)</f>
        <v/>
      </c>
      <c r="R158" s="5">
        <f>IF(G158&lt;=기준일,1,0)</f>
        <v/>
      </c>
      <c r="S158" s="2">
        <f>J158*H158</f>
        <v/>
      </c>
      <c r="T158" s="5">
        <f>IF(AND(F158&gt;=표본시작,F158&lt;=표본종료),1,0)</f>
        <v/>
      </c>
      <c r="U158" s="5">
        <f>IF(AND(G158&gt;=조회시작,G158&lt;=조회종료),1,0)</f>
        <v/>
      </c>
    </row>
    <row r="159">
      <c r="A159" s="2">
        <f>ROW()-1</f>
        <v/>
      </c>
      <c r="B159" s="5">
        <f>INDEX(상호범위,D159)</f>
        <v/>
      </c>
      <c r="C159" s="5">
        <f>INDEX(플랫폼명범위,E159)</f>
        <v/>
      </c>
      <c r="D159" s="2">
        <f>MOD(INT((A159-1)/4),8)+1</f>
        <v/>
      </c>
      <c r="E159" s="2">
        <f>MOD(A159-1,4)+1</f>
        <v/>
      </c>
      <c r="F159" s="20">
        <f>축시작+INT((A159-1)/32)</f>
        <v/>
      </c>
      <c r="G159" s="20">
        <f>F159+H159</f>
        <v/>
      </c>
      <c r="H159" s="5" t="n">
        <v>4</v>
      </c>
      <c r="I159" s="2">
        <f>ROUND(INDEX(가맹점!$P$2:$P$9,D159)*INDEX(가맹점!$J$2:$M$9,D159,E159),0)</f>
        <v/>
      </c>
      <c r="J159" s="2">
        <f>ROUND(I159*(1-할인율),0)</f>
        <v/>
      </c>
      <c r="K159" s="2">
        <f>ROUNDDOWN(I159*할인율,0)</f>
        <v/>
      </c>
      <c r="L159" s="2">
        <f>ROUND(I159*INDEX(미지급률범위,E159),0)</f>
        <v/>
      </c>
      <c r="M159" s="2">
        <f>ROUND(I159*INDEX(과지급률범위,E159),0)</f>
        <v/>
      </c>
      <c r="N159" s="2">
        <f>MAX(0,L159-M159)</f>
        <v/>
      </c>
      <c r="O159" s="2">
        <f>K159-N159</f>
        <v/>
      </c>
      <c r="P159" s="2">
        <f>I159-N159</f>
        <v/>
      </c>
      <c r="Q159" s="5">
        <f>IF(G159&gt;기준일,1,0)</f>
        <v/>
      </c>
      <c r="R159" s="5">
        <f>IF(G159&lt;=기준일,1,0)</f>
        <v/>
      </c>
      <c r="S159" s="2">
        <f>J159*H159</f>
        <v/>
      </c>
      <c r="T159" s="5">
        <f>IF(AND(F159&gt;=표본시작,F159&lt;=표본종료),1,0)</f>
        <v/>
      </c>
      <c r="U159" s="5">
        <f>IF(AND(G159&gt;=조회시작,G159&lt;=조회종료),1,0)</f>
        <v/>
      </c>
    </row>
    <row r="160">
      <c r="A160" s="2">
        <f>ROW()-1</f>
        <v/>
      </c>
      <c r="B160" s="5">
        <f>INDEX(상호범위,D160)</f>
        <v/>
      </c>
      <c r="C160" s="5">
        <f>INDEX(플랫폼명범위,E160)</f>
        <v/>
      </c>
      <c r="D160" s="2">
        <f>MOD(INT((A160-1)/4),8)+1</f>
        <v/>
      </c>
      <c r="E160" s="2">
        <f>MOD(A160-1,4)+1</f>
        <v/>
      </c>
      <c r="F160" s="20">
        <f>축시작+INT((A160-1)/32)</f>
        <v/>
      </c>
      <c r="G160" s="20">
        <f>F160+H160</f>
        <v/>
      </c>
      <c r="H160" s="5" t="n">
        <v>3</v>
      </c>
      <c r="I160" s="2">
        <f>ROUND(INDEX(가맹점!$P$2:$P$9,D160)*INDEX(가맹점!$J$2:$M$9,D160,E160),0)</f>
        <v/>
      </c>
      <c r="J160" s="2">
        <f>ROUND(I160*(1-할인율),0)</f>
        <v/>
      </c>
      <c r="K160" s="2">
        <f>ROUNDDOWN(I160*할인율,0)</f>
        <v/>
      </c>
      <c r="L160" s="2">
        <f>ROUND(I160*INDEX(미지급률범위,E160),0)</f>
        <v/>
      </c>
      <c r="M160" s="2">
        <f>ROUND(I160*INDEX(과지급률범위,E160),0)</f>
        <v/>
      </c>
      <c r="N160" s="2">
        <f>MAX(0,L160-M160)</f>
        <v/>
      </c>
      <c r="O160" s="2">
        <f>K160-N160</f>
        <v/>
      </c>
      <c r="P160" s="2">
        <f>I160-N160</f>
        <v/>
      </c>
      <c r="Q160" s="5">
        <f>IF(G160&gt;기준일,1,0)</f>
        <v/>
      </c>
      <c r="R160" s="5">
        <f>IF(G160&lt;=기준일,1,0)</f>
        <v/>
      </c>
      <c r="S160" s="2">
        <f>J160*H160</f>
        <v/>
      </c>
      <c r="T160" s="5">
        <f>IF(AND(F160&gt;=표본시작,F160&lt;=표본종료),1,0)</f>
        <v/>
      </c>
      <c r="U160" s="5">
        <f>IF(AND(G160&gt;=조회시작,G160&lt;=조회종료),1,0)</f>
        <v/>
      </c>
    </row>
    <row r="161">
      <c r="A161" s="2">
        <f>ROW()-1</f>
        <v/>
      </c>
      <c r="B161" s="5">
        <f>INDEX(상호범위,D161)</f>
        <v/>
      </c>
      <c r="C161" s="5">
        <f>INDEX(플랫폼명범위,E161)</f>
        <v/>
      </c>
      <c r="D161" s="2">
        <f>MOD(INT((A161-1)/4),8)+1</f>
        <v/>
      </c>
      <c r="E161" s="2">
        <f>MOD(A161-1,4)+1</f>
        <v/>
      </c>
      <c r="F161" s="20">
        <f>축시작+INT((A161-1)/32)</f>
        <v/>
      </c>
      <c r="G161" s="20">
        <f>F161+H161</f>
        <v/>
      </c>
      <c r="H161" s="5" t="n">
        <v>6</v>
      </c>
      <c r="I161" s="2">
        <f>ROUND(INDEX(가맹점!$P$2:$P$9,D161)*INDEX(가맹점!$J$2:$M$9,D161,E161),0)</f>
        <v/>
      </c>
      <c r="J161" s="2">
        <f>ROUND(I161*(1-할인율),0)</f>
        <v/>
      </c>
      <c r="K161" s="2">
        <f>ROUNDDOWN(I161*할인율,0)</f>
        <v/>
      </c>
      <c r="L161" s="2">
        <f>ROUND(I161*INDEX(미지급률범위,E161),0)</f>
        <v/>
      </c>
      <c r="M161" s="2">
        <f>ROUND(I161*INDEX(과지급률범위,E161),0)</f>
        <v/>
      </c>
      <c r="N161" s="2">
        <f>MAX(0,L161-M161)</f>
        <v/>
      </c>
      <c r="O161" s="2">
        <f>K161-N161</f>
        <v/>
      </c>
      <c r="P161" s="2">
        <f>I161-N161</f>
        <v/>
      </c>
      <c r="Q161" s="5">
        <f>IF(G161&gt;기준일,1,0)</f>
        <v/>
      </c>
      <c r="R161" s="5">
        <f>IF(G161&lt;=기준일,1,0)</f>
        <v/>
      </c>
      <c r="S161" s="2">
        <f>J161*H161</f>
        <v/>
      </c>
      <c r="T161" s="5">
        <f>IF(AND(F161&gt;=표본시작,F161&lt;=표본종료),1,0)</f>
        <v/>
      </c>
      <c r="U161" s="5">
        <f>IF(AND(G161&gt;=조회시작,G161&lt;=조회종료),1,0)</f>
        <v/>
      </c>
    </row>
    <row r="162">
      <c r="A162" s="2">
        <f>ROW()-1</f>
        <v/>
      </c>
      <c r="B162" s="5">
        <f>INDEX(상호범위,D162)</f>
        <v/>
      </c>
      <c r="C162" s="5">
        <f>INDEX(플랫폼명범위,E162)</f>
        <v/>
      </c>
      <c r="D162" s="2">
        <f>MOD(INT((A162-1)/4),8)+1</f>
        <v/>
      </c>
      <c r="E162" s="2">
        <f>MOD(A162-1,4)+1</f>
        <v/>
      </c>
      <c r="F162" s="20">
        <f>축시작+INT((A162-1)/32)</f>
        <v/>
      </c>
      <c r="G162" s="20">
        <f>F162+H162</f>
        <v/>
      </c>
      <c r="H162" s="5" t="n">
        <v>1</v>
      </c>
      <c r="I162" s="2">
        <f>ROUND(INDEX(가맹점!$P$2:$P$9,D162)*INDEX(가맹점!$J$2:$M$9,D162,E162),0)</f>
        <v/>
      </c>
      <c r="J162" s="2">
        <f>ROUND(I162*(1-할인율),0)</f>
        <v/>
      </c>
      <c r="K162" s="2">
        <f>ROUNDDOWN(I162*할인율,0)</f>
        <v/>
      </c>
      <c r="L162" s="2">
        <f>ROUND(I162*INDEX(미지급률범위,E162),0)</f>
        <v/>
      </c>
      <c r="M162" s="2">
        <f>ROUND(I162*INDEX(과지급률범위,E162),0)</f>
        <v/>
      </c>
      <c r="N162" s="2">
        <f>MAX(0,L162-M162)</f>
        <v/>
      </c>
      <c r="O162" s="2">
        <f>K162-N162</f>
        <v/>
      </c>
      <c r="P162" s="2">
        <f>I162-N162</f>
        <v/>
      </c>
      <c r="Q162" s="5">
        <f>IF(G162&gt;기준일,1,0)</f>
        <v/>
      </c>
      <c r="R162" s="5">
        <f>IF(G162&lt;=기준일,1,0)</f>
        <v/>
      </c>
      <c r="S162" s="2">
        <f>J162*H162</f>
        <v/>
      </c>
      <c r="T162" s="5">
        <f>IF(AND(F162&gt;=표본시작,F162&lt;=표본종료),1,0)</f>
        <v/>
      </c>
      <c r="U162" s="5">
        <f>IF(AND(G162&gt;=조회시작,G162&lt;=조회종료),1,0)</f>
        <v/>
      </c>
    </row>
    <row r="163">
      <c r="A163" s="2">
        <f>ROW()-1</f>
        <v/>
      </c>
      <c r="B163" s="5">
        <f>INDEX(상호범위,D163)</f>
        <v/>
      </c>
      <c r="C163" s="5">
        <f>INDEX(플랫폼명범위,E163)</f>
        <v/>
      </c>
      <c r="D163" s="2">
        <f>MOD(INT((A163-1)/4),8)+1</f>
        <v/>
      </c>
      <c r="E163" s="2">
        <f>MOD(A163-1,4)+1</f>
        <v/>
      </c>
      <c r="F163" s="20">
        <f>축시작+INT((A163-1)/32)</f>
        <v/>
      </c>
      <c r="G163" s="20">
        <f>F163+H163</f>
        <v/>
      </c>
      <c r="H163" s="5" t="n">
        <v>2</v>
      </c>
      <c r="I163" s="2">
        <f>ROUND(INDEX(가맹점!$P$2:$P$9,D163)*INDEX(가맹점!$J$2:$M$9,D163,E163),0)</f>
        <v/>
      </c>
      <c r="J163" s="2">
        <f>ROUND(I163*(1-할인율),0)</f>
        <v/>
      </c>
      <c r="K163" s="2">
        <f>ROUNDDOWN(I163*할인율,0)</f>
        <v/>
      </c>
      <c r="L163" s="2">
        <f>ROUND(I163*INDEX(미지급률범위,E163),0)</f>
        <v/>
      </c>
      <c r="M163" s="2">
        <f>ROUND(I163*INDEX(과지급률범위,E163),0)</f>
        <v/>
      </c>
      <c r="N163" s="2">
        <f>MAX(0,L163-M163)</f>
        <v/>
      </c>
      <c r="O163" s="2">
        <f>K163-N163</f>
        <v/>
      </c>
      <c r="P163" s="2">
        <f>I163-N163</f>
        <v/>
      </c>
      <c r="Q163" s="5">
        <f>IF(G163&gt;기준일,1,0)</f>
        <v/>
      </c>
      <c r="R163" s="5">
        <f>IF(G163&lt;=기준일,1,0)</f>
        <v/>
      </c>
      <c r="S163" s="2">
        <f>J163*H163</f>
        <v/>
      </c>
      <c r="T163" s="5">
        <f>IF(AND(F163&gt;=표본시작,F163&lt;=표본종료),1,0)</f>
        <v/>
      </c>
      <c r="U163" s="5">
        <f>IF(AND(G163&gt;=조회시작,G163&lt;=조회종료),1,0)</f>
        <v/>
      </c>
    </row>
    <row r="164">
      <c r="A164" s="2">
        <f>ROW()-1</f>
        <v/>
      </c>
      <c r="B164" s="5">
        <f>INDEX(상호범위,D164)</f>
        <v/>
      </c>
      <c r="C164" s="5">
        <f>INDEX(플랫폼명범위,E164)</f>
        <v/>
      </c>
      <c r="D164" s="2">
        <f>MOD(INT((A164-1)/4),8)+1</f>
        <v/>
      </c>
      <c r="E164" s="2">
        <f>MOD(A164-1,4)+1</f>
        <v/>
      </c>
      <c r="F164" s="20">
        <f>축시작+INT((A164-1)/32)</f>
        <v/>
      </c>
      <c r="G164" s="20">
        <f>F164+H164</f>
        <v/>
      </c>
      <c r="H164" s="5" t="n">
        <v>5</v>
      </c>
      <c r="I164" s="2">
        <f>ROUND(INDEX(가맹점!$P$2:$P$9,D164)*INDEX(가맹점!$J$2:$M$9,D164,E164),0)</f>
        <v/>
      </c>
      <c r="J164" s="2">
        <f>ROUND(I164*(1-할인율),0)</f>
        <v/>
      </c>
      <c r="K164" s="2">
        <f>ROUNDDOWN(I164*할인율,0)</f>
        <v/>
      </c>
      <c r="L164" s="2">
        <f>ROUND(I164*INDEX(미지급률범위,E164),0)</f>
        <v/>
      </c>
      <c r="M164" s="2">
        <f>ROUND(I164*INDEX(과지급률범위,E164),0)</f>
        <v/>
      </c>
      <c r="N164" s="2">
        <f>MAX(0,L164-M164)</f>
        <v/>
      </c>
      <c r="O164" s="2">
        <f>K164-N164</f>
        <v/>
      </c>
      <c r="P164" s="2">
        <f>I164-N164</f>
        <v/>
      </c>
      <c r="Q164" s="5">
        <f>IF(G164&gt;기준일,1,0)</f>
        <v/>
      </c>
      <c r="R164" s="5">
        <f>IF(G164&lt;=기준일,1,0)</f>
        <v/>
      </c>
      <c r="S164" s="2">
        <f>J164*H164</f>
        <v/>
      </c>
      <c r="T164" s="5">
        <f>IF(AND(F164&gt;=표본시작,F164&lt;=표본종료),1,0)</f>
        <v/>
      </c>
      <c r="U164" s="5">
        <f>IF(AND(G164&gt;=조회시작,G164&lt;=조회종료),1,0)</f>
        <v/>
      </c>
    </row>
    <row r="165">
      <c r="A165" s="2">
        <f>ROW()-1</f>
        <v/>
      </c>
      <c r="B165" s="5">
        <f>INDEX(상호범위,D165)</f>
        <v/>
      </c>
      <c r="C165" s="5">
        <f>INDEX(플랫폼명범위,E165)</f>
        <v/>
      </c>
      <c r="D165" s="2">
        <f>MOD(INT((A165-1)/4),8)+1</f>
        <v/>
      </c>
      <c r="E165" s="2">
        <f>MOD(A165-1,4)+1</f>
        <v/>
      </c>
      <c r="F165" s="20">
        <f>축시작+INT((A165-1)/32)</f>
        <v/>
      </c>
      <c r="G165" s="20">
        <f>F165+H165</f>
        <v/>
      </c>
      <c r="H165" s="5" t="n">
        <v>6</v>
      </c>
      <c r="I165" s="2">
        <f>ROUND(INDEX(가맹점!$P$2:$P$9,D165)*INDEX(가맹점!$J$2:$M$9,D165,E165),0)</f>
        <v/>
      </c>
      <c r="J165" s="2">
        <f>ROUND(I165*(1-할인율),0)</f>
        <v/>
      </c>
      <c r="K165" s="2">
        <f>ROUNDDOWN(I165*할인율,0)</f>
        <v/>
      </c>
      <c r="L165" s="2">
        <f>ROUND(I165*INDEX(미지급률범위,E165),0)</f>
        <v/>
      </c>
      <c r="M165" s="2">
        <f>ROUND(I165*INDEX(과지급률범위,E165),0)</f>
        <v/>
      </c>
      <c r="N165" s="2">
        <f>MAX(0,L165-M165)</f>
        <v/>
      </c>
      <c r="O165" s="2">
        <f>K165-N165</f>
        <v/>
      </c>
      <c r="P165" s="2">
        <f>I165-N165</f>
        <v/>
      </c>
      <c r="Q165" s="5">
        <f>IF(G165&gt;기준일,1,0)</f>
        <v/>
      </c>
      <c r="R165" s="5">
        <f>IF(G165&lt;=기준일,1,0)</f>
        <v/>
      </c>
      <c r="S165" s="2">
        <f>J165*H165</f>
        <v/>
      </c>
      <c r="T165" s="5">
        <f>IF(AND(F165&gt;=표본시작,F165&lt;=표본종료),1,0)</f>
        <v/>
      </c>
      <c r="U165" s="5">
        <f>IF(AND(G165&gt;=조회시작,G165&lt;=조회종료),1,0)</f>
        <v/>
      </c>
    </row>
    <row r="166">
      <c r="A166" s="2">
        <f>ROW()-1</f>
        <v/>
      </c>
      <c r="B166" s="5">
        <f>INDEX(상호범위,D166)</f>
        <v/>
      </c>
      <c r="C166" s="5">
        <f>INDEX(플랫폼명범위,E166)</f>
        <v/>
      </c>
      <c r="D166" s="2">
        <f>MOD(INT((A166-1)/4),8)+1</f>
        <v/>
      </c>
      <c r="E166" s="2">
        <f>MOD(A166-1,4)+1</f>
        <v/>
      </c>
      <c r="F166" s="20">
        <f>축시작+INT((A166-1)/32)</f>
        <v/>
      </c>
      <c r="G166" s="20">
        <f>F166+H166</f>
        <v/>
      </c>
      <c r="H166" s="5" t="n">
        <v>1</v>
      </c>
      <c r="I166" s="2">
        <f>ROUND(INDEX(가맹점!$P$2:$P$9,D166)*INDEX(가맹점!$J$2:$M$9,D166,E166),0)</f>
        <v/>
      </c>
      <c r="J166" s="2">
        <f>ROUND(I166*(1-할인율),0)</f>
        <v/>
      </c>
      <c r="K166" s="2">
        <f>ROUNDDOWN(I166*할인율,0)</f>
        <v/>
      </c>
      <c r="L166" s="2">
        <f>ROUND(I166*INDEX(미지급률범위,E166),0)</f>
        <v/>
      </c>
      <c r="M166" s="2">
        <f>ROUND(I166*INDEX(과지급률범위,E166),0)</f>
        <v/>
      </c>
      <c r="N166" s="2">
        <f>MAX(0,L166-M166)</f>
        <v/>
      </c>
      <c r="O166" s="2">
        <f>K166-N166</f>
        <v/>
      </c>
      <c r="P166" s="2">
        <f>I166-N166</f>
        <v/>
      </c>
      <c r="Q166" s="5">
        <f>IF(G166&gt;기준일,1,0)</f>
        <v/>
      </c>
      <c r="R166" s="5">
        <f>IF(G166&lt;=기준일,1,0)</f>
        <v/>
      </c>
      <c r="S166" s="2">
        <f>J166*H166</f>
        <v/>
      </c>
      <c r="T166" s="5">
        <f>IF(AND(F166&gt;=표본시작,F166&lt;=표본종료),1,0)</f>
        <v/>
      </c>
      <c r="U166" s="5">
        <f>IF(AND(G166&gt;=조회시작,G166&lt;=조회종료),1,0)</f>
        <v/>
      </c>
    </row>
    <row r="167">
      <c r="A167" s="2">
        <f>ROW()-1</f>
        <v/>
      </c>
      <c r="B167" s="5">
        <f>INDEX(상호범위,D167)</f>
        <v/>
      </c>
      <c r="C167" s="5">
        <f>INDEX(플랫폼명범위,E167)</f>
        <v/>
      </c>
      <c r="D167" s="2">
        <f>MOD(INT((A167-1)/4),8)+1</f>
        <v/>
      </c>
      <c r="E167" s="2">
        <f>MOD(A167-1,4)+1</f>
        <v/>
      </c>
      <c r="F167" s="20">
        <f>축시작+INT((A167-1)/32)</f>
        <v/>
      </c>
      <c r="G167" s="20">
        <f>F167+H167</f>
        <v/>
      </c>
      <c r="H167" s="5" t="n">
        <v>2</v>
      </c>
      <c r="I167" s="2">
        <f>ROUND(INDEX(가맹점!$P$2:$P$9,D167)*INDEX(가맹점!$J$2:$M$9,D167,E167),0)</f>
        <v/>
      </c>
      <c r="J167" s="2">
        <f>ROUND(I167*(1-할인율),0)</f>
        <v/>
      </c>
      <c r="K167" s="2">
        <f>ROUNDDOWN(I167*할인율,0)</f>
        <v/>
      </c>
      <c r="L167" s="2">
        <f>ROUND(I167*INDEX(미지급률범위,E167),0)</f>
        <v/>
      </c>
      <c r="M167" s="2">
        <f>ROUND(I167*INDEX(과지급률범위,E167),0)</f>
        <v/>
      </c>
      <c r="N167" s="2">
        <f>MAX(0,L167-M167)</f>
        <v/>
      </c>
      <c r="O167" s="2">
        <f>K167-N167</f>
        <v/>
      </c>
      <c r="P167" s="2">
        <f>I167-N167</f>
        <v/>
      </c>
      <c r="Q167" s="5">
        <f>IF(G167&gt;기준일,1,0)</f>
        <v/>
      </c>
      <c r="R167" s="5">
        <f>IF(G167&lt;=기준일,1,0)</f>
        <v/>
      </c>
      <c r="S167" s="2">
        <f>J167*H167</f>
        <v/>
      </c>
      <c r="T167" s="5">
        <f>IF(AND(F167&gt;=표본시작,F167&lt;=표본종료),1,0)</f>
        <v/>
      </c>
      <c r="U167" s="5">
        <f>IF(AND(G167&gt;=조회시작,G167&lt;=조회종료),1,0)</f>
        <v/>
      </c>
    </row>
    <row r="168">
      <c r="A168" s="2">
        <f>ROW()-1</f>
        <v/>
      </c>
      <c r="B168" s="5">
        <f>INDEX(상호범위,D168)</f>
        <v/>
      </c>
      <c r="C168" s="5">
        <f>INDEX(플랫폼명범위,E168)</f>
        <v/>
      </c>
      <c r="D168" s="2">
        <f>MOD(INT((A168-1)/4),8)+1</f>
        <v/>
      </c>
      <c r="E168" s="2">
        <f>MOD(A168-1,4)+1</f>
        <v/>
      </c>
      <c r="F168" s="20">
        <f>축시작+INT((A168-1)/32)</f>
        <v/>
      </c>
      <c r="G168" s="20">
        <f>F168+H168</f>
        <v/>
      </c>
      <c r="H168" s="5" t="n">
        <v>3</v>
      </c>
      <c r="I168" s="2">
        <f>ROUND(INDEX(가맹점!$P$2:$P$9,D168)*INDEX(가맹점!$J$2:$M$9,D168,E168),0)</f>
        <v/>
      </c>
      <c r="J168" s="2">
        <f>ROUND(I168*(1-할인율),0)</f>
        <v/>
      </c>
      <c r="K168" s="2">
        <f>ROUNDDOWN(I168*할인율,0)</f>
        <v/>
      </c>
      <c r="L168" s="2">
        <f>ROUND(I168*INDEX(미지급률범위,E168),0)</f>
        <v/>
      </c>
      <c r="M168" s="2">
        <f>ROUND(I168*INDEX(과지급률범위,E168),0)</f>
        <v/>
      </c>
      <c r="N168" s="2">
        <f>MAX(0,L168-M168)</f>
        <v/>
      </c>
      <c r="O168" s="2">
        <f>K168-N168</f>
        <v/>
      </c>
      <c r="P168" s="2">
        <f>I168-N168</f>
        <v/>
      </c>
      <c r="Q168" s="5">
        <f>IF(G168&gt;기준일,1,0)</f>
        <v/>
      </c>
      <c r="R168" s="5">
        <f>IF(G168&lt;=기준일,1,0)</f>
        <v/>
      </c>
      <c r="S168" s="2">
        <f>J168*H168</f>
        <v/>
      </c>
      <c r="T168" s="5">
        <f>IF(AND(F168&gt;=표본시작,F168&lt;=표본종료),1,0)</f>
        <v/>
      </c>
      <c r="U168" s="5">
        <f>IF(AND(G168&gt;=조회시작,G168&lt;=조회종료),1,0)</f>
        <v/>
      </c>
    </row>
    <row r="169">
      <c r="A169" s="2">
        <f>ROW()-1</f>
        <v/>
      </c>
      <c r="B169" s="5">
        <f>INDEX(상호범위,D169)</f>
        <v/>
      </c>
      <c r="C169" s="5">
        <f>INDEX(플랫폼명범위,E169)</f>
        <v/>
      </c>
      <c r="D169" s="2">
        <f>MOD(INT((A169-1)/4),8)+1</f>
        <v/>
      </c>
      <c r="E169" s="2">
        <f>MOD(A169-1,4)+1</f>
        <v/>
      </c>
      <c r="F169" s="20">
        <f>축시작+INT((A169-1)/32)</f>
        <v/>
      </c>
      <c r="G169" s="20">
        <f>F169+H169</f>
        <v/>
      </c>
      <c r="H169" s="5" t="n">
        <v>6</v>
      </c>
      <c r="I169" s="2">
        <f>ROUND(INDEX(가맹점!$P$2:$P$9,D169)*INDEX(가맹점!$J$2:$M$9,D169,E169),0)</f>
        <v/>
      </c>
      <c r="J169" s="2">
        <f>ROUND(I169*(1-할인율),0)</f>
        <v/>
      </c>
      <c r="K169" s="2">
        <f>ROUNDDOWN(I169*할인율,0)</f>
        <v/>
      </c>
      <c r="L169" s="2">
        <f>ROUND(I169*INDEX(미지급률범위,E169),0)</f>
        <v/>
      </c>
      <c r="M169" s="2">
        <f>ROUND(I169*INDEX(과지급률범위,E169),0)</f>
        <v/>
      </c>
      <c r="N169" s="2">
        <f>MAX(0,L169-M169)</f>
        <v/>
      </c>
      <c r="O169" s="2">
        <f>K169-N169</f>
        <v/>
      </c>
      <c r="P169" s="2">
        <f>I169-N169</f>
        <v/>
      </c>
      <c r="Q169" s="5">
        <f>IF(G169&gt;기준일,1,0)</f>
        <v/>
      </c>
      <c r="R169" s="5">
        <f>IF(G169&lt;=기준일,1,0)</f>
        <v/>
      </c>
      <c r="S169" s="2">
        <f>J169*H169</f>
        <v/>
      </c>
      <c r="T169" s="5">
        <f>IF(AND(F169&gt;=표본시작,F169&lt;=표본종료),1,0)</f>
        <v/>
      </c>
      <c r="U169" s="5">
        <f>IF(AND(G169&gt;=조회시작,G169&lt;=조회종료),1,0)</f>
        <v/>
      </c>
    </row>
    <row r="170">
      <c r="A170" s="2">
        <f>ROW()-1</f>
        <v/>
      </c>
      <c r="B170" s="5">
        <f>INDEX(상호범위,D170)</f>
        <v/>
      </c>
      <c r="C170" s="5">
        <f>INDEX(플랫폼명범위,E170)</f>
        <v/>
      </c>
      <c r="D170" s="2">
        <f>MOD(INT((A170-1)/4),8)+1</f>
        <v/>
      </c>
      <c r="E170" s="2">
        <f>MOD(A170-1,4)+1</f>
        <v/>
      </c>
      <c r="F170" s="20">
        <f>축시작+INT((A170-1)/32)</f>
        <v/>
      </c>
      <c r="G170" s="20">
        <f>F170+H170</f>
        <v/>
      </c>
      <c r="H170" s="5" t="n">
        <v>1</v>
      </c>
      <c r="I170" s="2">
        <f>ROUND(INDEX(가맹점!$P$2:$P$9,D170)*INDEX(가맹점!$J$2:$M$9,D170,E170),0)</f>
        <v/>
      </c>
      <c r="J170" s="2">
        <f>ROUND(I170*(1-할인율),0)</f>
        <v/>
      </c>
      <c r="K170" s="2">
        <f>ROUNDDOWN(I170*할인율,0)</f>
        <v/>
      </c>
      <c r="L170" s="2">
        <f>ROUND(I170*INDEX(미지급률범위,E170),0)</f>
        <v/>
      </c>
      <c r="M170" s="2">
        <f>ROUND(I170*INDEX(과지급률범위,E170),0)</f>
        <v/>
      </c>
      <c r="N170" s="2">
        <f>MAX(0,L170-M170)</f>
        <v/>
      </c>
      <c r="O170" s="2">
        <f>K170-N170</f>
        <v/>
      </c>
      <c r="P170" s="2">
        <f>I170-N170</f>
        <v/>
      </c>
      <c r="Q170" s="5">
        <f>IF(G170&gt;기준일,1,0)</f>
        <v/>
      </c>
      <c r="R170" s="5">
        <f>IF(G170&lt;=기준일,1,0)</f>
        <v/>
      </c>
      <c r="S170" s="2">
        <f>J170*H170</f>
        <v/>
      </c>
      <c r="T170" s="5">
        <f>IF(AND(F170&gt;=표본시작,F170&lt;=표본종료),1,0)</f>
        <v/>
      </c>
      <c r="U170" s="5">
        <f>IF(AND(G170&gt;=조회시작,G170&lt;=조회종료),1,0)</f>
        <v/>
      </c>
    </row>
    <row r="171">
      <c r="A171" s="2">
        <f>ROW()-1</f>
        <v/>
      </c>
      <c r="B171" s="5">
        <f>INDEX(상호범위,D171)</f>
        <v/>
      </c>
      <c r="C171" s="5">
        <f>INDEX(플랫폼명범위,E171)</f>
        <v/>
      </c>
      <c r="D171" s="2">
        <f>MOD(INT((A171-1)/4),8)+1</f>
        <v/>
      </c>
      <c r="E171" s="2">
        <f>MOD(A171-1,4)+1</f>
        <v/>
      </c>
      <c r="F171" s="20">
        <f>축시작+INT((A171-1)/32)</f>
        <v/>
      </c>
      <c r="G171" s="20">
        <f>F171+H171</f>
        <v/>
      </c>
      <c r="H171" s="5" t="n">
        <v>3</v>
      </c>
      <c r="I171" s="2">
        <f>ROUND(INDEX(가맹점!$P$2:$P$9,D171)*INDEX(가맹점!$J$2:$M$9,D171,E171),0)</f>
        <v/>
      </c>
      <c r="J171" s="2">
        <f>ROUND(I171*(1-할인율),0)</f>
        <v/>
      </c>
      <c r="K171" s="2">
        <f>ROUNDDOWN(I171*할인율,0)</f>
        <v/>
      </c>
      <c r="L171" s="2">
        <f>ROUND(I171*INDEX(미지급률범위,E171),0)</f>
        <v/>
      </c>
      <c r="M171" s="2">
        <f>ROUND(I171*INDEX(과지급률범위,E171),0)</f>
        <v/>
      </c>
      <c r="N171" s="2">
        <f>MAX(0,L171-M171)</f>
        <v/>
      </c>
      <c r="O171" s="2">
        <f>K171-N171</f>
        <v/>
      </c>
      <c r="P171" s="2">
        <f>I171-N171</f>
        <v/>
      </c>
      <c r="Q171" s="5">
        <f>IF(G171&gt;기준일,1,0)</f>
        <v/>
      </c>
      <c r="R171" s="5">
        <f>IF(G171&lt;=기준일,1,0)</f>
        <v/>
      </c>
      <c r="S171" s="2">
        <f>J171*H171</f>
        <v/>
      </c>
      <c r="T171" s="5">
        <f>IF(AND(F171&gt;=표본시작,F171&lt;=표본종료),1,0)</f>
        <v/>
      </c>
      <c r="U171" s="5">
        <f>IF(AND(G171&gt;=조회시작,G171&lt;=조회종료),1,0)</f>
        <v/>
      </c>
    </row>
    <row r="172">
      <c r="A172" s="2">
        <f>ROW()-1</f>
        <v/>
      </c>
      <c r="B172" s="5">
        <f>INDEX(상호범위,D172)</f>
        <v/>
      </c>
      <c r="C172" s="5">
        <f>INDEX(플랫폼명범위,E172)</f>
        <v/>
      </c>
      <c r="D172" s="2">
        <f>MOD(INT((A172-1)/4),8)+1</f>
        <v/>
      </c>
      <c r="E172" s="2">
        <f>MOD(A172-1,4)+1</f>
        <v/>
      </c>
      <c r="F172" s="20">
        <f>축시작+INT((A172-1)/32)</f>
        <v/>
      </c>
      <c r="G172" s="20">
        <f>F172+H172</f>
        <v/>
      </c>
      <c r="H172" s="5" t="n">
        <v>7</v>
      </c>
      <c r="I172" s="2">
        <f>ROUND(INDEX(가맹점!$P$2:$P$9,D172)*INDEX(가맹점!$J$2:$M$9,D172,E172),0)</f>
        <v/>
      </c>
      <c r="J172" s="2">
        <f>ROUND(I172*(1-할인율),0)</f>
        <v/>
      </c>
      <c r="K172" s="2">
        <f>ROUNDDOWN(I172*할인율,0)</f>
        <v/>
      </c>
      <c r="L172" s="2">
        <f>ROUND(I172*INDEX(미지급률범위,E172),0)</f>
        <v/>
      </c>
      <c r="M172" s="2">
        <f>ROUND(I172*INDEX(과지급률범위,E172),0)</f>
        <v/>
      </c>
      <c r="N172" s="2">
        <f>MAX(0,L172-M172)</f>
        <v/>
      </c>
      <c r="O172" s="2">
        <f>K172-N172</f>
        <v/>
      </c>
      <c r="P172" s="2">
        <f>I172-N172</f>
        <v/>
      </c>
      <c r="Q172" s="5">
        <f>IF(G172&gt;기준일,1,0)</f>
        <v/>
      </c>
      <c r="R172" s="5">
        <f>IF(G172&lt;=기준일,1,0)</f>
        <v/>
      </c>
      <c r="S172" s="2">
        <f>J172*H172</f>
        <v/>
      </c>
      <c r="T172" s="5">
        <f>IF(AND(F172&gt;=표본시작,F172&lt;=표본종료),1,0)</f>
        <v/>
      </c>
      <c r="U172" s="5">
        <f>IF(AND(G172&gt;=조회시작,G172&lt;=조회종료),1,0)</f>
        <v/>
      </c>
    </row>
    <row r="173">
      <c r="A173" s="2">
        <f>ROW()-1</f>
        <v/>
      </c>
      <c r="B173" s="5">
        <f>INDEX(상호범위,D173)</f>
        <v/>
      </c>
      <c r="C173" s="5">
        <f>INDEX(플랫폼명범위,E173)</f>
        <v/>
      </c>
      <c r="D173" s="2">
        <f>MOD(INT((A173-1)/4),8)+1</f>
        <v/>
      </c>
      <c r="E173" s="2">
        <f>MOD(A173-1,4)+1</f>
        <v/>
      </c>
      <c r="F173" s="20">
        <f>축시작+INT((A173-1)/32)</f>
        <v/>
      </c>
      <c r="G173" s="20">
        <f>F173+H173</f>
        <v/>
      </c>
      <c r="H173" s="5" t="n">
        <v>6</v>
      </c>
      <c r="I173" s="2">
        <f>ROUND(INDEX(가맹점!$P$2:$P$9,D173)*INDEX(가맹점!$J$2:$M$9,D173,E173),0)</f>
        <v/>
      </c>
      <c r="J173" s="2">
        <f>ROUND(I173*(1-할인율),0)</f>
        <v/>
      </c>
      <c r="K173" s="2">
        <f>ROUNDDOWN(I173*할인율,0)</f>
        <v/>
      </c>
      <c r="L173" s="2">
        <f>ROUND(I173*INDEX(미지급률범위,E173),0)</f>
        <v/>
      </c>
      <c r="M173" s="2">
        <f>ROUND(I173*INDEX(과지급률범위,E173),0)</f>
        <v/>
      </c>
      <c r="N173" s="2">
        <f>MAX(0,L173-M173)</f>
        <v/>
      </c>
      <c r="O173" s="2">
        <f>K173-N173</f>
        <v/>
      </c>
      <c r="P173" s="2">
        <f>I173-N173</f>
        <v/>
      </c>
      <c r="Q173" s="5">
        <f>IF(G173&gt;기준일,1,0)</f>
        <v/>
      </c>
      <c r="R173" s="5">
        <f>IF(G173&lt;=기준일,1,0)</f>
        <v/>
      </c>
      <c r="S173" s="2">
        <f>J173*H173</f>
        <v/>
      </c>
      <c r="T173" s="5">
        <f>IF(AND(F173&gt;=표본시작,F173&lt;=표본종료),1,0)</f>
        <v/>
      </c>
      <c r="U173" s="5">
        <f>IF(AND(G173&gt;=조회시작,G173&lt;=조회종료),1,0)</f>
        <v/>
      </c>
    </row>
    <row r="174">
      <c r="A174" s="2">
        <f>ROW()-1</f>
        <v/>
      </c>
      <c r="B174" s="5">
        <f>INDEX(상호범위,D174)</f>
        <v/>
      </c>
      <c r="C174" s="5">
        <f>INDEX(플랫폼명범위,E174)</f>
        <v/>
      </c>
      <c r="D174" s="2">
        <f>MOD(INT((A174-1)/4),8)+1</f>
        <v/>
      </c>
      <c r="E174" s="2">
        <f>MOD(A174-1,4)+1</f>
        <v/>
      </c>
      <c r="F174" s="20">
        <f>축시작+INT((A174-1)/32)</f>
        <v/>
      </c>
      <c r="G174" s="20">
        <f>F174+H174</f>
        <v/>
      </c>
      <c r="H174" s="5" t="n">
        <v>3</v>
      </c>
      <c r="I174" s="2">
        <f>ROUND(INDEX(가맹점!$P$2:$P$9,D174)*INDEX(가맹점!$J$2:$M$9,D174,E174),0)</f>
        <v/>
      </c>
      <c r="J174" s="2">
        <f>ROUND(I174*(1-할인율),0)</f>
        <v/>
      </c>
      <c r="K174" s="2">
        <f>ROUNDDOWN(I174*할인율,0)</f>
        <v/>
      </c>
      <c r="L174" s="2">
        <f>ROUND(I174*INDEX(미지급률범위,E174),0)</f>
        <v/>
      </c>
      <c r="M174" s="2">
        <f>ROUND(I174*INDEX(과지급률범위,E174),0)</f>
        <v/>
      </c>
      <c r="N174" s="2">
        <f>MAX(0,L174-M174)</f>
        <v/>
      </c>
      <c r="O174" s="2">
        <f>K174-N174</f>
        <v/>
      </c>
      <c r="P174" s="2">
        <f>I174-N174</f>
        <v/>
      </c>
      <c r="Q174" s="5">
        <f>IF(G174&gt;기준일,1,0)</f>
        <v/>
      </c>
      <c r="R174" s="5">
        <f>IF(G174&lt;=기준일,1,0)</f>
        <v/>
      </c>
      <c r="S174" s="2">
        <f>J174*H174</f>
        <v/>
      </c>
      <c r="T174" s="5">
        <f>IF(AND(F174&gt;=표본시작,F174&lt;=표본종료),1,0)</f>
        <v/>
      </c>
      <c r="U174" s="5">
        <f>IF(AND(G174&gt;=조회시작,G174&lt;=조회종료),1,0)</f>
        <v/>
      </c>
    </row>
    <row r="175">
      <c r="A175" s="2">
        <f>ROW()-1</f>
        <v/>
      </c>
      <c r="B175" s="5">
        <f>INDEX(상호범위,D175)</f>
        <v/>
      </c>
      <c r="C175" s="5">
        <f>INDEX(플랫폼명범위,E175)</f>
        <v/>
      </c>
      <c r="D175" s="2">
        <f>MOD(INT((A175-1)/4),8)+1</f>
        <v/>
      </c>
      <c r="E175" s="2">
        <f>MOD(A175-1,4)+1</f>
        <v/>
      </c>
      <c r="F175" s="20">
        <f>축시작+INT((A175-1)/32)</f>
        <v/>
      </c>
      <c r="G175" s="20">
        <f>F175+H175</f>
        <v/>
      </c>
      <c r="H175" s="5" t="n">
        <v>7</v>
      </c>
      <c r="I175" s="2">
        <f>ROUND(INDEX(가맹점!$P$2:$P$9,D175)*INDEX(가맹점!$J$2:$M$9,D175,E175),0)</f>
        <v/>
      </c>
      <c r="J175" s="2">
        <f>ROUND(I175*(1-할인율),0)</f>
        <v/>
      </c>
      <c r="K175" s="2">
        <f>ROUNDDOWN(I175*할인율,0)</f>
        <v/>
      </c>
      <c r="L175" s="2">
        <f>ROUND(I175*INDEX(미지급률범위,E175),0)</f>
        <v/>
      </c>
      <c r="M175" s="2">
        <f>ROUND(I175*INDEX(과지급률범위,E175),0)</f>
        <v/>
      </c>
      <c r="N175" s="2">
        <f>MAX(0,L175-M175)</f>
        <v/>
      </c>
      <c r="O175" s="2">
        <f>K175-N175</f>
        <v/>
      </c>
      <c r="P175" s="2">
        <f>I175-N175</f>
        <v/>
      </c>
      <c r="Q175" s="5">
        <f>IF(G175&gt;기준일,1,0)</f>
        <v/>
      </c>
      <c r="R175" s="5">
        <f>IF(G175&lt;=기준일,1,0)</f>
        <v/>
      </c>
      <c r="S175" s="2">
        <f>J175*H175</f>
        <v/>
      </c>
      <c r="T175" s="5">
        <f>IF(AND(F175&gt;=표본시작,F175&lt;=표본종료),1,0)</f>
        <v/>
      </c>
      <c r="U175" s="5">
        <f>IF(AND(G175&gt;=조회시작,G175&lt;=조회종료),1,0)</f>
        <v/>
      </c>
    </row>
    <row r="176">
      <c r="A176" s="2">
        <f>ROW()-1</f>
        <v/>
      </c>
      <c r="B176" s="5">
        <f>INDEX(상호범위,D176)</f>
        <v/>
      </c>
      <c r="C176" s="5">
        <f>INDEX(플랫폼명범위,E176)</f>
        <v/>
      </c>
      <c r="D176" s="2">
        <f>MOD(INT((A176-1)/4),8)+1</f>
        <v/>
      </c>
      <c r="E176" s="2">
        <f>MOD(A176-1,4)+1</f>
        <v/>
      </c>
      <c r="F176" s="20">
        <f>축시작+INT((A176-1)/32)</f>
        <v/>
      </c>
      <c r="G176" s="20">
        <f>F176+H176</f>
        <v/>
      </c>
      <c r="H176" s="5" t="n">
        <v>7</v>
      </c>
      <c r="I176" s="2">
        <f>ROUND(INDEX(가맹점!$P$2:$P$9,D176)*INDEX(가맹점!$J$2:$M$9,D176,E176),0)</f>
        <v/>
      </c>
      <c r="J176" s="2">
        <f>ROUND(I176*(1-할인율),0)</f>
        <v/>
      </c>
      <c r="K176" s="2">
        <f>ROUNDDOWN(I176*할인율,0)</f>
        <v/>
      </c>
      <c r="L176" s="2">
        <f>ROUND(I176*INDEX(미지급률범위,E176),0)</f>
        <v/>
      </c>
      <c r="M176" s="2">
        <f>ROUND(I176*INDEX(과지급률범위,E176),0)</f>
        <v/>
      </c>
      <c r="N176" s="2">
        <f>MAX(0,L176-M176)</f>
        <v/>
      </c>
      <c r="O176" s="2">
        <f>K176-N176</f>
        <v/>
      </c>
      <c r="P176" s="2">
        <f>I176-N176</f>
        <v/>
      </c>
      <c r="Q176" s="5">
        <f>IF(G176&gt;기준일,1,0)</f>
        <v/>
      </c>
      <c r="R176" s="5">
        <f>IF(G176&lt;=기준일,1,0)</f>
        <v/>
      </c>
      <c r="S176" s="2">
        <f>J176*H176</f>
        <v/>
      </c>
      <c r="T176" s="5">
        <f>IF(AND(F176&gt;=표본시작,F176&lt;=표본종료),1,0)</f>
        <v/>
      </c>
      <c r="U176" s="5">
        <f>IF(AND(G176&gt;=조회시작,G176&lt;=조회종료),1,0)</f>
        <v/>
      </c>
    </row>
    <row r="177">
      <c r="A177" s="2">
        <f>ROW()-1</f>
        <v/>
      </c>
      <c r="B177" s="5">
        <f>INDEX(상호범위,D177)</f>
        <v/>
      </c>
      <c r="C177" s="5">
        <f>INDEX(플랫폼명범위,E177)</f>
        <v/>
      </c>
      <c r="D177" s="2">
        <f>MOD(INT((A177-1)/4),8)+1</f>
        <v/>
      </c>
      <c r="E177" s="2">
        <f>MOD(A177-1,4)+1</f>
        <v/>
      </c>
      <c r="F177" s="20">
        <f>축시작+INT((A177-1)/32)</f>
        <v/>
      </c>
      <c r="G177" s="20">
        <f>F177+H177</f>
        <v/>
      </c>
      <c r="H177" s="5" t="n">
        <v>6</v>
      </c>
      <c r="I177" s="2">
        <f>ROUND(INDEX(가맹점!$P$2:$P$9,D177)*INDEX(가맹점!$J$2:$M$9,D177,E177),0)</f>
        <v/>
      </c>
      <c r="J177" s="2">
        <f>ROUND(I177*(1-할인율),0)</f>
        <v/>
      </c>
      <c r="K177" s="2">
        <f>ROUNDDOWN(I177*할인율,0)</f>
        <v/>
      </c>
      <c r="L177" s="2">
        <f>ROUND(I177*INDEX(미지급률범위,E177),0)</f>
        <v/>
      </c>
      <c r="M177" s="2">
        <f>ROUND(I177*INDEX(과지급률범위,E177),0)</f>
        <v/>
      </c>
      <c r="N177" s="2">
        <f>MAX(0,L177-M177)</f>
        <v/>
      </c>
      <c r="O177" s="2">
        <f>K177-N177</f>
        <v/>
      </c>
      <c r="P177" s="2">
        <f>I177-N177</f>
        <v/>
      </c>
      <c r="Q177" s="5">
        <f>IF(G177&gt;기준일,1,0)</f>
        <v/>
      </c>
      <c r="R177" s="5">
        <f>IF(G177&lt;=기준일,1,0)</f>
        <v/>
      </c>
      <c r="S177" s="2">
        <f>J177*H177</f>
        <v/>
      </c>
      <c r="T177" s="5">
        <f>IF(AND(F177&gt;=표본시작,F177&lt;=표본종료),1,0)</f>
        <v/>
      </c>
      <c r="U177" s="5">
        <f>IF(AND(G177&gt;=조회시작,G177&lt;=조회종료),1,0)</f>
        <v/>
      </c>
    </row>
    <row r="178">
      <c r="A178" s="2">
        <f>ROW()-1</f>
        <v/>
      </c>
      <c r="B178" s="5">
        <f>INDEX(상호범위,D178)</f>
        <v/>
      </c>
      <c r="C178" s="5">
        <f>INDEX(플랫폼명범위,E178)</f>
        <v/>
      </c>
      <c r="D178" s="2">
        <f>MOD(INT((A178-1)/4),8)+1</f>
        <v/>
      </c>
      <c r="E178" s="2">
        <f>MOD(A178-1,4)+1</f>
        <v/>
      </c>
      <c r="F178" s="20">
        <f>축시작+INT((A178-1)/32)</f>
        <v/>
      </c>
      <c r="G178" s="20">
        <f>F178+H178</f>
        <v/>
      </c>
      <c r="H178" s="5" t="n">
        <v>1</v>
      </c>
      <c r="I178" s="2">
        <f>ROUND(INDEX(가맹점!$P$2:$P$9,D178)*INDEX(가맹점!$J$2:$M$9,D178,E178),0)</f>
        <v/>
      </c>
      <c r="J178" s="2">
        <f>ROUND(I178*(1-할인율),0)</f>
        <v/>
      </c>
      <c r="K178" s="2">
        <f>ROUNDDOWN(I178*할인율,0)</f>
        <v/>
      </c>
      <c r="L178" s="2">
        <f>ROUND(I178*INDEX(미지급률범위,E178),0)</f>
        <v/>
      </c>
      <c r="M178" s="2">
        <f>ROUND(I178*INDEX(과지급률범위,E178),0)</f>
        <v/>
      </c>
      <c r="N178" s="2">
        <f>MAX(0,L178-M178)</f>
        <v/>
      </c>
      <c r="O178" s="2">
        <f>K178-N178</f>
        <v/>
      </c>
      <c r="P178" s="2">
        <f>I178-N178</f>
        <v/>
      </c>
      <c r="Q178" s="5">
        <f>IF(G178&gt;기준일,1,0)</f>
        <v/>
      </c>
      <c r="R178" s="5">
        <f>IF(G178&lt;=기준일,1,0)</f>
        <v/>
      </c>
      <c r="S178" s="2">
        <f>J178*H178</f>
        <v/>
      </c>
      <c r="T178" s="5">
        <f>IF(AND(F178&gt;=표본시작,F178&lt;=표본종료),1,0)</f>
        <v/>
      </c>
      <c r="U178" s="5">
        <f>IF(AND(G178&gt;=조회시작,G178&lt;=조회종료),1,0)</f>
        <v/>
      </c>
    </row>
    <row r="179">
      <c r="A179" s="2">
        <f>ROW()-1</f>
        <v/>
      </c>
      <c r="B179" s="5">
        <f>INDEX(상호범위,D179)</f>
        <v/>
      </c>
      <c r="C179" s="5">
        <f>INDEX(플랫폼명범위,E179)</f>
        <v/>
      </c>
      <c r="D179" s="2">
        <f>MOD(INT((A179-1)/4),8)+1</f>
        <v/>
      </c>
      <c r="E179" s="2">
        <f>MOD(A179-1,4)+1</f>
        <v/>
      </c>
      <c r="F179" s="20">
        <f>축시작+INT((A179-1)/32)</f>
        <v/>
      </c>
      <c r="G179" s="20">
        <f>F179+H179</f>
        <v/>
      </c>
      <c r="H179" s="5" t="n">
        <v>2</v>
      </c>
      <c r="I179" s="2">
        <f>ROUND(INDEX(가맹점!$P$2:$P$9,D179)*INDEX(가맹점!$J$2:$M$9,D179,E179),0)</f>
        <v/>
      </c>
      <c r="J179" s="2">
        <f>ROUND(I179*(1-할인율),0)</f>
        <v/>
      </c>
      <c r="K179" s="2">
        <f>ROUNDDOWN(I179*할인율,0)</f>
        <v/>
      </c>
      <c r="L179" s="2">
        <f>ROUND(I179*INDEX(미지급률범위,E179),0)</f>
        <v/>
      </c>
      <c r="M179" s="2">
        <f>ROUND(I179*INDEX(과지급률범위,E179),0)</f>
        <v/>
      </c>
      <c r="N179" s="2">
        <f>MAX(0,L179-M179)</f>
        <v/>
      </c>
      <c r="O179" s="2">
        <f>K179-N179</f>
        <v/>
      </c>
      <c r="P179" s="2">
        <f>I179-N179</f>
        <v/>
      </c>
      <c r="Q179" s="5">
        <f>IF(G179&gt;기준일,1,0)</f>
        <v/>
      </c>
      <c r="R179" s="5">
        <f>IF(G179&lt;=기준일,1,0)</f>
        <v/>
      </c>
      <c r="S179" s="2">
        <f>J179*H179</f>
        <v/>
      </c>
      <c r="T179" s="5">
        <f>IF(AND(F179&gt;=표본시작,F179&lt;=표본종료),1,0)</f>
        <v/>
      </c>
      <c r="U179" s="5">
        <f>IF(AND(G179&gt;=조회시작,G179&lt;=조회종료),1,0)</f>
        <v/>
      </c>
    </row>
    <row r="180">
      <c r="A180" s="2">
        <f>ROW()-1</f>
        <v/>
      </c>
      <c r="B180" s="5">
        <f>INDEX(상호범위,D180)</f>
        <v/>
      </c>
      <c r="C180" s="5">
        <f>INDEX(플랫폼명범위,E180)</f>
        <v/>
      </c>
      <c r="D180" s="2">
        <f>MOD(INT((A180-1)/4),8)+1</f>
        <v/>
      </c>
      <c r="E180" s="2">
        <f>MOD(A180-1,4)+1</f>
        <v/>
      </c>
      <c r="F180" s="20">
        <f>축시작+INT((A180-1)/32)</f>
        <v/>
      </c>
      <c r="G180" s="20">
        <f>F180+H180</f>
        <v/>
      </c>
      <c r="H180" s="5" t="n">
        <v>5</v>
      </c>
      <c r="I180" s="2">
        <f>ROUND(INDEX(가맹점!$P$2:$P$9,D180)*INDEX(가맹점!$J$2:$M$9,D180,E180),0)</f>
        <v/>
      </c>
      <c r="J180" s="2">
        <f>ROUND(I180*(1-할인율),0)</f>
        <v/>
      </c>
      <c r="K180" s="2">
        <f>ROUNDDOWN(I180*할인율,0)</f>
        <v/>
      </c>
      <c r="L180" s="2">
        <f>ROUND(I180*INDEX(미지급률범위,E180),0)</f>
        <v/>
      </c>
      <c r="M180" s="2">
        <f>ROUND(I180*INDEX(과지급률범위,E180),0)</f>
        <v/>
      </c>
      <c r="N180" s="2">
        <f>MAX(0,L180-M180)</f>
        <v/>
      </c>
      <c r="O180" s="2">
        <f>K180-N180</f>
        <v/>
      </c>
      <c r="P180" s="2">
        <f>I180-N180</f>
        <v/>
      </c>
      <c r="Q180" s="5">
        <f>IF(G180&gt;기준일,1,0)</f>
        <v/>
      </c>
      <c r="R180" s="5">
        <f>IF(G180&lt;=기준일,1,0)</f>
        <v/>
      </c>
      <c r="S180" s="2">
        <f>J180*H180</f>
        <v/>
      </c>
      <c r="T180" s="5">
        <f>IF(AND(F180&gt;=표본시작,F180&lt;=표본종료),1,0)</f>
        <v/>
      </c>
      <c r="U180" s="5">
        <f>IF(AND(G180&gt;=조회시작,G180&lt;=조회종료),1,0)</f>
        <v/>
      </c>
    </row>
    <row r="181">
      <c r="A181" s="2">
        <f>ROW()-1</f>
        <v/>
      </c>
      <c r="B181" s="5">
        <f>INDEX(상호범위,D181)</f>
        <v/>
      </c>
      <c r="C181" s="5">
        <f>INDEX(플랫폼명범위,E181)</f>
        <v/>
      </c>
      <c r="D181" s="2">
        <f>MOD(INT((A181-1)/4),8)+1</f>
        <v/>
      </c>
      <c r="E181" s="2">
        <f>MOD(A181-1,4)+1</f>
        <v/>
      </c>
      <c r="F181" s="20">
        <f>축시작+INT((A181-1)/32)</f>
        <v/>
      </c>
      <c r="G181" s="20">
        <f>F181+H181</f>
        <v/>
      </c>
      <c r="H181" s="5" t="n">
        <v>7</v>
      </c>
      <c r="I181" s="2">
        <f>ROUND(INDEX(가맹점!$P$2:$P$9,D181)*INDEX(가맹점!$J$2:$M$9,D181,E181),0)</f>
        <v/>
      </c>
      <c r="J181" s="2">
        <f>ROUND(I181*(1-할인율),0)</f>
        <v/>
      </c>
      <c r="K181" s="2">
        <f>ROUNDDOWN(I181*할인율,0)</f>
        <v/>
      </c>
      <c r="L181" s="2">
        <f>ROUND(I181*INDEX(미지급률범위,E181),0)</f>
        <v/>
      </c>
      <c r="M181" s="2">
        <f>ROUND(I181*INDEX(과지급률범위,E181),0)</f>
        <v/>
      </c>
      <c r="N181" s="2">
        <f>MAX(0,L181-M181)</f>
        <v/>
      </c>
      <c r="O181" s="2">
        <f>K181-N181</f>
        <v/>
      </c>
      <c r="P181" s="2">
        <f>I181-N181</f>
        <v/>
      </c>
      <c r="Q181" s="5">
        <f>IF(G181&gt;기준일,1,0)</f>
        <v/>
      </c>
      <c r="R181" s="5">
        <f>IF(G181&lt;=기준일,1,0)</f>
        <v/>
      </c>
      <c r="S181" s="2">
        <f>J181*H181</f>
        <v/>
      </c>
      <c r="T181" s="5">
        <f>IF(AND(F181&gt;=표본시작,F181&lt;=표본종료),1,0)</f>
        <v/>
      </c>
      <c r="U181" s="5">
        <f>IF(AND(G181&gt;=조회시작,G181&lt;=조회종료),1,0)</f>
        <v/>
      </c>
    </row>
    <row r="182">
      <c r="A182" s="2">
        <f>ROW()-1</f>
        <v/>
      </c>
      <c r="B182" s="5">
        <f>INDEX(상호범위,D182)</f>
        <v/>
      </c>
      <c r="C182" s="5">
        <f>INDEX(플랫폼명범위,E182)</f>
        <v/>
      </c>
      <c r="D182" s="2">
        <f>MOD(INT((A182-1)/4),8)+1</f>
        <v/>
      </c>
      <c r="E182" s="2">
        <f>MOD(A182-1,4)+1</f>
        <v/>
      </c>
      <c r="F182" s="20">
        <f>축시작+INT((A182-1)/32)</f>
        <v/>
      </c>
      <c r="G182" s="20">
        <f>F182+H182</f>
        <v/>
      </c>
      <c r="H182" s="5" t="n">
        <v>5</v>
      </c>
      <c r="I182" s="2">
        <f>ROUND(INDEX(가맹점!$P$2:$P$9,D182)*INDEX(가맹점!$J$2:$M$9,D182,E182),0)</f>
        <v/>
      </c>
      <c r="J182" s="2">
        <f>ROUND(I182*(1-할인율),0)</f>
        <v/>
      </c>
      <c r="K182" s="2">
        <f>ROUNDDOWN(I182*할인율,0)</f>
        <v/>
      </c>
      <c r="L182" s="2">
        <f>ROUND(I182*INDEX(미지급률범위,E182),0)</f>
        <v/>
      </c>
      <c r="M182" s="2">
        <f>ROUND(I182*INDEX(과지급률범위,E182),0)</f>
        <v/>
      </c>
      <c r="N182" s="2">
        <f>MAX(0,L182-M182)</f>
        <v/>
      </c>
      <c r="O182" s="2">
        <f>K182-N182</f>
        <v/>
      </c>
      <c r="P182" s="2">
        <f>I182-N182</f>
        <v/>
      </c>
      <c r="Q182" s="5">
        <f>IF(G182&gt;기준일,1,0)</f>
        <v/>
      </c>
      <c r="R182" s="5">
        <f>IF(G182&lt;=기준일,1,0)</f>
        <v/>
      </c>
      <c r="S182" s="2">
        <f>J182*H182</f>
        <v/>
      </c>
      <c r="T182" s="5">
        <f>IF(AND(F182&gt;=표본시작,F182&lt;=표본종료),1,0)</f>
        <v/>
      </c>
      <c r="U182" s="5">
        <f>IF(AND(G182&gt;=조회시작,G182&lt;=조회종료),1,0)</f>
        <v/>
      </c>
    </row>
    <row r="183">
      <c r="A183" s="2">
        <f>ROW()-1</f>
        <v/>
      </c>
      <c r="B183" s="5">
        <f>INDEX(상호범위,D183)</f>
        <v/>
      </c>
      <c r="C183" s="5">
        <f>INDEX(플랫폼명범위,E183)</f>
        <v/>
      </c>
      <c r="D183" s="2">
        <f>MOD(INT((A183-1)/4),8)+1</f>
        <v/>
      </c>
      <c r="E183" s="2">
        <f>MOD(A183-1,4)+1</f>
        <v/>
      </c>
      <c r="F183" s="20">
        <f>축시작+INT((A183-1)/32)</f>
        <v/>
      </c>
      <c r="G183" s="20">
        <f>F183+H183</f>
        <v/>
      </c>
      <c r="H183" s="5" t="n">
        <v>2</v>
      </c>
      <c r="I183" s="2">
        <f>ROUND(INDEX(가맹점!$P$2:$P$9,D183)*INDEX(가맹점!$J$2:$M$9,D183,E183),0)</f>
        <v/>
      </c>
      <c r="J183" s="2">
        <f>ROUND(I183*(1-할인율),0)</f>
        <v/>
      </c>
      <c r="K183" s="2">
        <f>ROUNDDOWN(I183*할인율,0)</f>
        <v/>
      </c>
      <c r="L183" s="2">
        <f>ROUND(I183*INDEX(미지급률범위,E183),0)</f>
        <v/>
      </c>
      <c r="M183" s="2">
        <f>ROUND(I183*INDEX(과지급률범위,E183),0)</f>
        <v/>
      </c>
      <c r="N183" s="2">
        <f>MAX(0,L183-M183)</f>
        <v/>
      </c>
      <c r="O183" s="2">
        <f>K183-N183</f>
        <v/>
      </c>
      <c r="P183" s="2">
        <f>I183-N183</f>
        <v/>
      </c>
      <c r="Q183" s="5">
        <f>IF(G183&gt;기준일,1,0)</f>
        <v/>
      </c>
      <c r="R183" s="5">
        <f>IF(G183&lt;=기준일,1,0)</f>
        <v/>
      </c>
      <c r="S183" s="2">
        <f>J183*H183</f>
        <v/>
      </c>
      <c r="T183" s="5">
        <f>IF(AND(F183&gt;=표본시작,F183&lt;=표본종료),1,0)</f>
        <v/>
      </c>
      <c r="U183" s="5">
        <f>IF(AND(G183&gt;=조회시작,G183&lt;=조회종료),1,0)</f>
        <v/>
      </c>
    </row>
    <row r="184">
      <c r="A184" s="2">
        <f>ROW()-1</f>
        <v/>
      </c>
      <c r="B184" s="5">
        <f>INDEX(상호범위,D184)</f>
        <v/>
      </c>
      <c r="C184" s="5">
        <f>INDEX(플랫폼명범위,E184)</f>
        <v/>
      </c>
      <c r="D184" s="2">
        <f>MOD(INT((A184-1)/4),8)+1</f>
        <v/>
      </c>
      <c r="E184" s="2">
        <f>MOD(A184-1,4)+1</f>
        <v/>
      </c>
      <c r="F184" s="20">
        <f>축시작+INT((A184-1)/32)</f>
        <v/>
      </c>
      <c r="G184" s="20">
        <f>F184+H184</f>
        <v/>
      </c>
      <c r="H184" s="5" t="n">
        <v>5</v>
      </c>
      <c r="I184" s="2">
        <f>ROUND(INDEX(가맹점!$P$2:$P$9,D184)*INDEX(가맹점!$J$2:$M$9,D184,E184),0)</f>
        <v/>
      </c>
      <c r="J184" s="2">
        <f>ROUND(I184*(1-할인율),0)</f>
        <v/>
      </c>
      <c r="K184" s="2">
        <f>ROUNDDOWN(I184*할인율,0)</f>
        <v/>
      </c>
      <c r="L184" s="2">
        <f>ROUND(I184*INDEX(미지급률범위,E184),0)</f>
        <v/>
      </c>
      <c r="M184" s="2">
        <f>ROUND(I184*INDEX(과지급률범위,E184),0)</f>
        <v/>
      </c>
      <c r="N184" s="2">
        <f>MAX(0,L184-M184)</f>
        <v/>
      </c>
      <c r="O184" s="2">
        <f>K184-N184</f>
        <v/>
      </c>
      <c r="P184" s="2">
        <f>I184-N184</f>
        <v/>
      </c>
      <c r="Q184" s="5">
        <f>IF(G184&gt;기준일,1,0)</f>
        <v/>
      </c>
      <c r="R184" s="5">
        <f>IF(G184&lt;=기준일,1,0)</f>
        <v/>
      </c>
      <c r="S184" s="2">
        <f>J184*H184</f>
        <v/>
      </c>
      <c r="T184" s="5">
        <f>IF(AND(F184&gt;=표본시작,F184&lt;=표본종료),1,0)</f>
        <v/>
      </c>
      <c r="U184" s="5">
        <f>IF(AND(G184&gt;=조회시작,G184&lt;=조회종료),1,0)</f>
        <v/>
      </c>
    </row>
    <row r="185">
      <c r="A185" s="2">
        <f>ROW()-1</f>
        <v/>
      </c>
      <c r="B185" s="5">
        <f>INDEX(상호범위,D185)</f>
        <v/>
      </c>
      <c r="C185" s="5">
        <f>INDEX(플랫폼명범위,E185)</f>
        <v/>
      </c>
      <c r="D185" s="2">
        <f>MOD(INT((A185-1)/4),8)+1</f>
        <v/>
      </c>
      <c r="E185" s="2">
        <f>MOD(A185-1,4)+1</f>
        <v/>
      </c>
      <c r="F185" s="20">
        <f>축시작+INT((A185-1)/32)</f>
        <v/>
      </c>
      <c r="G185" s="20">
        <f>F185+H185</f>
        <v/>
      </c>
      <c r="H185" s="5" t="n">
        <v>6</v>
      </c>
      <c r="I185" s="2">
        <f>ROUND(INDEX(가맹점!$P$2:$P$9,D185)*INDEX(가맹점!$J$2:$M$9,D185,E185),0)</f>
        <v/>
      </c>
      <c r="J185" s="2">
        <f>ROUND(I185*(1-할인율),0)</f>
        <v/>
      </c>
      <c r="K185" s="2">
        <f>ROUNDDOWN(I185*할인율,0)</f>
        <v/>
      </c>
      <c r="L185" s="2">
        <f>ROUND(I185*INDEX(미지급률범위,E185),0)</f>
        <v/>
      </c>
      <c r="M185" s="2">
        <f>ROUND(I185*INDEX(과지급률범위,E185),0)</f>
        <v/>
      </c>
      <c r="N185" s="2">
        <f>MAX(0,L185-M185)</f>
        <v/>
      </c>
      <c r="O185" s="2">
        <f>K185-N185</f>
        <v/>
      </c>
      <c r="P185" s="2">
        <f>I185-N185</f>
        <v/>
      </c>
      <c r="Q185" s="5">
        <f>IF(G185&gt;기준일,1,0)</f>
        <v/>
      </c>
      <c r="R185" s="5">
        <f>IF(G185&lt;=기준일,1,0)</f>
        <v/>
      </c>
      <c r="S185" s="2">
        <f>J185*H185</f>
        <v/>
      </c>
      <c r="T185" s="5">
        <f>IF(AND(F185&gt;=표본시작,F185&lt;=표본종료),1,0)</f>
        <v/>
      </c>
      <c r="U185" s="5">
        <f>IF(AND(G185&gt;=조회시작,G185&lt;=조회종료),1,0)</f>
        <v/>
      </c>
    </row>
    <row r="186">
      <c r="A186" s="2">
        <f>ROW()-1</f>
        <v/>
      </c>
      <c r="B186" s="5">
        <f>INDEX(상호범위,D186)</f>
        <v/>
      </c>
      <c r="C186" s="5">
        <f>INDEX(플랫폼명범위,E186)</f>
        <v/>
      </c>
      <c r="D186" s="2">
        <f>MOD(INT((A186-1)/4),8)+1</f>
        <v/>
      </c>
      <c r="E186" s="2">
        <f>MOD(A186-1,4)+1</f>
        <v/>
      </c>
      <c r="F186" s="20">
        <f>축시작+INT((A186-1)/32)</f>
        <v/>
      </c>
      <c r="G186" s="20">
        <f>F186+H186</f>
        <v/>
      </c>
      <c r="H186" s="5" t="n">
        <v>3</v>
      </c>
      <c r="I186" s="2">
        <f>ROUND(INDEX(가맹점!$P$2:$P$9,D186)*INDEX(가맹점!$J$2:$M$9,D186,E186),0)</f>
        <v/>
      </c>
      <c r="J186" s="2">
        <f>ROUND(I186*(1-할인율),0)</f>
        <v/>
      </c>
      <c r="K186" s="2">
        <f>ROUNDDOWN(I186*할인율,0)</f>
        <v/>
      </c>
      <c r="L186" s="2">
        <f>ROUND(I186*INDEX(미지급률범위,E186),0)</f>
        <v/>
      </c>
      <c r="M186" s="2">
        <f>ROUND(I186*INDEX(과지급률범위,E186),0)</f>
        <v/>
      </c>
      <c r="N186" s="2">
        <f>MAX(0,L186-M186)</f>
        <v/>
      </c>
      <c r="O186" s="2">
        <f>K186-N186</f>
        <v/>
      </c>
      <c r="P186" s="2">
        <f>I186-N186</f>
        <v/>
      </c>
      <c r="Q186" s="5">
        <f>IF(G186&gt;기준일,1,0)</f>
        <v/>
      </c>
      <c r="R186" s="5">
        <f>IF(G186&lt;=기준일,1,0)</f>
        <v/>
      </c>
      <c r="S186" s="2">
        <f>J186*H186</f>
        <v/>
      </c>
      <c r="T186" s="5">
        <f>IF(AND(F186&gt;=표본시작,F186&lt;=표본종료),1,0)</f>
        <v/>
      </c>
      <c r="U186" s="5">
        <f>IF(AND(G186&gt;=조회시작,G186&lt;=조회종료),1,0)</f>
        <v/>
      </c>
    </row>
    <row r="187">
      <c r="A187" s="2">
        <f>ROW()-1</f>
        <v/>
      </c>
      <c r="B187" s="5">
        <f>INDEX(상호범위,D187)</f>
        <v/>
      </c>
      <c r="C187" s="5">
        <f>INDEX(플랫폼명범위,E187)</f>
        <v/>
      </c>
      <c r="D187" s="2">
        <f>MOD(INT((A187-1)/4),8)+1</f>
        <v/>
      </c>
      <c r="E187" s="2">
        <f>MOD(A187-1,4)+1</f>
        <v/>
      </c>
      <c r="F187" s="20">
        <f>축시작+INT((A187-1)/32)</f>
        <v/>
      </c>
      <c r="G187" s="20">
        <f>F187+H187</f>
        <v/>
      </c>
      <c r="H187" s="5" t="n">
        <v>6</v>
      </c>
      <c r="I187" s="2">
        <f>ROUND(INDEX(가맹점!$P$2:$P$9,D187)*INDEX(가맹점!$J$2:$M$9,D187,E187),0)</f>
        <v/>
      </c>
      <c r="J187" s="2">
        <f>ROUND(I187*(1-할인율),0)</f>
        <v/>
      </c>
      <c r="K187" s="2">
        <f>ROUNDDOWN(I187*할인율,0)</f>
        <v/>
      </c>
      <c r="L187" s="2">
        <f>ROUND(I187*INDEX(미지급률범위,E187),0)</f>
        <v/>
      </c>
      <c r="M187" s="2">
        <f>ROUND(I187*INDEX(과지급률범위,E187),0)</f>
        <v/>
      </c>
      <c r="N187" s="2">
        <f>MAX(0,L187-M187)</f>
        <v/>
      </c>
      <c r="O187" s="2">
        <f>K187-N187</f>
        <v/>
      </c>
      <c r="P187" s="2">
        <f>I187-N187</f>
        <v/>
      </c>
      <c r="Q187" s="5">
        <f>IF(G187&gt;기준일,1,0)</f>
        <v/>
      </c>
      <c r="R187" s="5">
        <f>IF(G187&lt;=기준일,1,0)</f>
        <v/>
      </c>
      <c r="S187" s="2">
        <f>J187*H187</f>
        <v/>
      </c>
      <c r="T187" s="5">
        <f>IF(AND(F187&gt;=표본시작,F187&lt;=표본종료),1,0)</f>
        <v/>
      </c>
      <c r="U187" s="5">
        <f>IF(AND(G187&gt;=조회시작,G187&lt;=조회종료),1,0)</f>
        <v/>
      </c>
    </row>
    <row r="188">
      <c r="A188" s="2">
        <f>ROW()-1</f>
        <v/>
      </c>
      <c r="B188" s="5">
        <f>INDEX(상호범위,D188)</f>
        <v/>
      </c>
      <c r="C188" s="5">
        <f>INDEX(플랫폼명범위,E188)</f>
        <v/>
      </c>
      <c r="D188" s="2">
        <f>MOD(INT((A188-1)/4),8)+1</f>
        <v/>
      </c>
      <c r="E188" s="2">
        <f>MOD(A188-1,4)+1</f>
        <v/>
      </c>
      <c r="F188" s="20">
        <f>축시작+INT((A188-1)/32)</f>
        <v/>
      </c>
      <c r="G188" s="20">
        <f>F188+H188</f>
        <v/>
      </c>
      <c r="H188" s="5" t="n">
        <v>5</v>
      </c>
      <c r="I188" s="2">
        <f>ROUND(INDEX(가맹점!$P$2:$P$9,D188)*INDEX(가맹점!$J$2:$M$9,D188,E188),0)</f>
        <v/>
      </c>
      <c r="J188" s="2">
        <f>ROUND(I188*(1-할인율),0)</f>
        <v/>
      </c>
      <c r="K188" s="2">
        <f>ROUNDDOWN(I188*할인율,0)</f>
        <v/>
      </c>
      <c r="L188" s="2">
        <f>ROUND(I188*INDEX(미지급률범위,E188),0)</f>
        <v/>
      </c>
      <c r="M188" s="2">
        <f>ROUND(I188*INDEX(과지급률범위,E188),0)</f>
        <v/>
      </c>
      <c r="N188" s="2">
        <f>MAX(0,L188-M188)</f>
        <v/>
      </c>
      <c r="O188" s="2">
        <f>K188-N188</f>
        <v/>
      </c>
      <c r="P188" s="2">
        <f>I188-N188</f>
        <v/>
      </c>
      <c r="Q188" s="5">
        <f>IF(G188&gt;기준일,1,0)</f>
        <v/>
      </c>
      <c r="R188" s="5">
        <f>IF(G188&lt;=기준일,1,0)</f>
        <v/>
      </c>
      <c r="S188" s="2">
        <f>J188*H188</f>
        <v/>
      </c>
      <c r="T188" s="5">
        <f>IF(AND(F188&gt;=표본시작,F188&lt;=표본종료),1,0)</f>
        <v/>
      </c>
      <c r="U188" s="5">
        <f>IF(AND(G188&gt;=조회시작,G188&lt;=조회종료),1,0)</f>
        <v/>
      </c>
    </row>
    <row r="189">
      <c r="A189" s="2">
        <f>ROW()-1</f>
        <v/>
      </c>
      <c r="B189" s="5">
        <f>INDEX(상호범위,D189)</f>
        <v/>
      </c>
      <c r="C189" s="5">
        <f>INDEX(플랫폼명범위,E189)</f>
        <v/>
      </c>
      <c r="D189" s="2">
        <f>MOD(INT((A189-1)/4),8)+1</f>
        <v/>
      </c>
      <c r="E189" s="2">
        <f>MOD(A189-1,4)+1</f>
        <v/>
      </c>
      <c r="F189" s="20">
        <f>축시작+INT((A189-1)/32)</f>
        <v/>
      </c>
      <c r="G189" s="20">
        <f>F189+H189</f>
        <v/>
      </c>
      <c r="H189" s="5" t="n">
        <v>7</v>
      </c>
      <c r="I189" s="2">
        <f>ROUND(INDEX(가맹점!$P$2:$P$9,D189)*INDEX(가맹점!$J$2:$M$9,D189,E189),0)</f>
        <v/>
      </c>
      <c r="J189" s="2">
        <f>ROUND(I189*(1-할인율),0)</f>
        <v/>
      </c>
      <c r="K189" s="2">
        <f>ROUNDDOWN(I189*할인율,0)</f>
        <v/>
      </c>
      <c r="L189" s="2">
        <f>ROUND(I189*INDEX(미지급률범위,E189),0)</f>
        <v/>
      </c>
      <c r="M189" s="2">
        <f>ROUND(I189*INDEX(과지급률범위,E189),0)</f>
        <v/>
      </c>
      <c r="N189" s="2">
        <f>MAX(0,L189-M189)</f>
        <v/>
      </c>
      <c r="O189" s="2">
        <f>K189-N189</f>
        <v/>
      </c>
      <c r="P189" s="2">
        <f>I189-N189</f>
        <v/>
      </c>
      <c r="Q189" s="5">
        <f>IF(G189&gt;기준일,1,0)</f>
        <v/>
      </c>
      <c r="R189" s="5">
        <f>IF(G189&lt;=기준일,1,0)</f>
        <v/>
      </c>
      <c r="S189" s="2">
        <f>J189*H189</f>
        <v/>
      </c>
      <c r="T189" s="5">
        <f>IF(AND(F189&gt;=표본시작,F189&lt;=표본종료),1,0)</f>
        <v/>
      </c>
      <c r="U189" s="5">
        <f>IF(AND(G189&gt;=조회시작,G189&lt;=조회종료),1,0)</f>
        <v/>
      </c>
    </row>
    <row r="190">
      <c r="A190" s="2">
        <f>ROW()-1</f>
        <v/>
      </c>
      <c r="B190" s="5">
        <f>INDEX(상호범위,D190)</f>
        <v/>
      </c>
      <c r="C190" s="5">
        <f>INDEX(플랫폼명범위,E190)</f>
        <v/>
      </c>
      <c r="D190" s="2">
        <f>MOD(INT((A190-1)/4),8)+1</f>
        <v/>
      </c>
      <c r="E190" s="2">
        <f>MOD(A190-1,4)+1</f>
        <v/>
      </c>
      <c r="F190" s="20">
        <f>축시작+INT((A190-1)/32)</f>
        <v/>
      </c>
      <c r="G190" s="20">
        <f>F190+H190</f>
        <v/>
      </c>
      <c r="H190" s="5" t="n">
        <v>1</v>
      </c>
      <c r="I190" s="2">
        <f>ROUND(INDEX(가맹점!$P$2:$P$9,D190)*INDEX(가맹점!$J$2:$M$9,D190,E190),0)</f>
        <v/>
      </c>
      <c r="J190" s="2">
        <f>ROUND(I190*(1-할인율),0)</f>
        <v/>
      </c>
      <c r="K190" s="2">
        <f>ROUNDDOWN(I190*할인율,0)</f>
        <v/>
      </c>
      <c r="L190" s="2">
        <f>ROUND(I190*INDEX(미지급률범위,E190),0)</f>
        <v/>
      </c>
      <c r="M190" s="2">
        <f>ROUND(I190*INDEX(과지급률범위,E190),0)</f>
        <v/>
      </c>
      <c r="N190" s="2">
        <f>MAX(0,L190-M190)</f>
        <v/>
      </c>
      <c r="O190" s="2">
        <f>K190-N190</f>
        <v/>
      </c>
      <c r="P190" s="2">
        <f>I190-N190</f>
        <v/>
      </c>
      <c r="Q190" s="5">
        <f>IF(G190&gt;기준일,1,0)</f>
        <v/>
      </c>
      <c r="R190" s="5">
        <f>IF(G190&lt;=기준일,1,0)</f>
        <v/>
      </c>
      <c r="S190" s="2">
        <f>J190*H190</f>
        <v/>
      </c>
      <c r="T190" s="5">
        <f>IF(AND(F190&gt;=표본시작,F190&lt;=표본종료),1,0)</f>
        <v/>
      </c>
      <c r="U190" s="5">
        <f>IF(AND(G190&gt;=조회시작,G190&lt;=조회종료),1,0)</f>
        <v/>
      </c>
    </row>
    <row r="191">
      <c r="A191" s="2">
        <f>ROW()-1</f>
        <v/>
      </c>
      <c r="B191" s="5">
        <f>INDEX(상호범위,D191)</f>
        <v/>
      </c>
      <c r="C191" s="5">
        <f>INDEX(플랫폼명범위,E191)</f>
        <v/>
      </c>
      <c r="D191" s="2">
        <f>MOD(INT((A191-1)/4),8)+1</f>
        <v/>
      </c>
      <c r="E191" s="2">
        <f>MOD(A191-1,4)+1</f>
        <v/>
      </c>
      <c r="F191" s="20">
        <f>축시작+INT((A191-1)/32)</f>
        <v/>
      </c>
      <c r="G191" s="20">
        <f>F191+H191</f>
        <v/>
      </c>
      <c r="H191" s="5" t="n">
        <v>5</v>
      </c>
      <c r="I191" s="2">
        <f>ROUND(INDEX(가맹점!$P$2:$P$9,D191)*INDEX(가맹점!$J$2:$M$9,D191,E191),0)</f>
        <v/>
      </c>
      <c r="J191" s="2">
        <f>ROUND(I191*(1-할인율),0)</f>
        <v/>
      </c>
      <c r="K191" s="2">
        <f>ROUNDDOWN(I191*할인율,0)</f>
        <v/>
      </c>
      <c r="L191" s="2">
        <f>ROUND(I191*INDEX(미지급률범위,E191),0)</f>
        <v/>
      </c>
      <c r="M191" s="2">
        <f>ROUND(I191*INDEX(과지급률범위,E191),0)</f>
        <v/>
      </c>
      <c r="N191" s="2">
        <f>MAX(0,L191-M191)</f>
        <v/>
      </c>
      <c r="O191" s="2">
        <f>K191-N191</f>
        <v/>
      </c>
      <c r="P191" s="2">
        <f>I191-N191</f>
        <v/>
      </c>
      <c r="Q191" s="5">
        <f>IF(G191&gt;기준일,1,0)</f>
        <v/>
      </c>
      <c r="R191" s="5">
        <f>IF(G191&lt;=기준일,1,0)</f>
        <v/>
      </c>
      <c r="S191" s="2">
        <f>J191*H191</f>
        <v/>
      </c>
      <c r="T191" s="5">
        <f>IF(AND(F191&gt;=표본시작,F191&lt;=표본종료),1,0)</f>
        <v/>
      </c>
      <c r="U191" s="5">
        <f>IF(AND(G191&gt;=조회시작,G191&lt;=조회종료),1,0)</f>
        <v/>
      </c>
    </row>
    <row r="192">
      <c r="A192" s="2">
        <f>ROW()-1</f>
        <v/>
      </c>
      <c r="B192" s="5">
        <f>INDEX(상호범위,D192)</f>
        <v/>
      </c>
      <c r="C192" s="5">
        <f>INDEX(플랫폼명범위,E192)</f>
        <v/>
      </c>
      <c r="D192" s="2">
        <f>MOD(INT((A192-1)/4),8)+1</f>
        <v/>
      </c>
      <c r="E192" s="2">
        <f>MOD(A192-1,4)+1</f>
        <v/>
      </c>
      <c r="F192" s="20">
        <f>축시작+INT((A192-1)/32)</f>
        <v/>
      </c>
      <c r="G192" s="20">
        <f>F192+H192</f>
        <v/>
      </c>
      <c r="H192" s="5" t="n">
        <v>4</v>
      </c>
      <c r="I192" s="2">
        <f>ROUND(INDEX(가맹점!$P$2:$P$9,D192)*INDEX(가맹점!$J$2:$M$9,D192,E192),0)</f>
        <v/>
      </c>
      <c r="J192" s="2">
        <f>ROUND(I192*(1-할인율),0)</f>
        <v/>
      </c>
      <c r="K192" s="2">
        <f>ROUNDDOWN(I192*할인율,0)</f>
        <v/>
      </c>
      <c r="L192" s="2">
        <f>ROUND(I192*INDEX(미지급률범위,E192),0)</f>
        <v/>
      </c>
      <c r="M192" s="2">
        <f>ROUND(I192*INDEX(과지급률범위,E192),0)</f>
        <v/>
      </c>
      <c r="N192" s="2">
        <f>MAX(0,L192-M192)</f>
        <v/>
      </c>
      <c r="O192" s="2">
        <f>K192-N192</f>
        <v/>
      </c>
      <c r="P192" s="2">
        <f>I192-N192</f>
        <v/>
      </c>
      <c r="Q192" s="5">
        <f>IF(G192&gt;기준일,1,0)</f>
        <v/>
      </c>
      <c r="R192" s="5">
        <f>IF(G192&lt;=기준일,1,0)</f>
        <v/>
      </c>
      <c r="S192" s="2">
        <f>J192*H192</f>
        <v/>
      </c>
      <c r="T192" s="5">
        <f>IF(AND(F192&gt;=표본시작,F192&lt;=표본종료),1,0)</f>
        <v/>
      </c>
      <c r="U192" s="5">
        <f>IF(AND(G192&gt;=조회시작,G192&lt;=조회종료),1,0)</f>
        <v/>
      </c>
    </row>
    <row r="193">
      <c r="A193" s="2">
        <f>ROW()-1</f>
        <v/>
      </c>
      <c r="B193" s="5">
        <f>INDEX(상호범위,D193)</f>
        <v/>
      </c>
      <c r="C193" s="5">
        <f>INDEX(플랫폼명범위,E193)</f>
        <v/>
      </c>
      <c r="D193" s="2">
        <f>MOD(INT((A193-1)/4),8)+1</f>
        <v/>
      </c>
      <c r="E193" s="2">
        <f>MOD(A193-1,4)+1</f>
        <v/>
      </c>
      <c r="F193" s="20">
        <f>축시작+INT((A193-1)/32)</f>
        <v/>
      </c>
      <c r="G193" s="20">
        <f>F193+H193</f>
        <v/>
      </c>
      <c r="H193" s="5" t="n">
        <v>6</v>
      </c>
      <c r="I193" s="2">
        <f>ROUND(INDEX(가맹점!$P$2:$P$9,D193)*INDEX(가맹점!$J$2:$M$9,D193,E193),0)</f>
        <v/>
      </c>
      <c r="J193" s="2">
        <f>ROUND(I193*(1-할인율),0)</f>
        <v/>
      </c>
      <c r="K193" s="2">
        <f>ROUNDDOWN(I193*할인율,0)</f>
        <v/>
      </c>
      <c r="L193" s="2">
        <f>ROUND(I193*INDEX(미지급률범위,E193),0)</f>
        <v/>
      </c>
      <c r="M193" s="2">
        <f>ROUND(I193*INDEX(과지급률범위,E193),0)</f>
        <v/>
      </c>
      <c r="N193" s="2">
        <f>MAX(0,L193-M193)</f>
        <v/>
      </c>
      <c r="O193" s="2">
        <f>K193-N193</f>
        <v/>
      </c>
      <c r="P193" s="2">
        <f>I193-N193</f>
        <v/>
      </c>
      <c r="Q193" s="5">
        <f>IF(G193&gt;기준일,1,0)</f>
        <v/>
      </c>
      <c r="R193" s="5">
        <f>IF(G193&lt;=기준일,1,0)</f>
        <v/>
      </c>
      <c r="S193" s="2">
        <f>J193*H193</f>
        <v/>
      </c>
      <c r="T193" s="5">
        <f>IF(AND(F193&gt;=표본시작,F193&lt;=표본종료),1,0)</f>
        <v/>
      </c>
      <c r="U193" s="5">
        <f>IF(AND(G193&gt;=조회시작,G193&lt;=조회종료),1,0)</f>
        <v/>
      </c>
    </row>
    <row r="194">
      <c r="A194" s="2">
        <f>ROW()-1</f>
        <v/>
      </c>
      <c r="B194" s="5">
        <f>INDEX(상호범위,D194)</f>
        <v/>
      </c>
      <c r="C194" s="5">
        <f>INDEX(플랫폼명범위,E194)</f>
        <v/>
      </c>
      <c r="D194" s="2">
        <f>MOD(INT((A194-1)/4),8)+1</f>
        <v/>
      </c>
      <c r="E194" s="2">
        <f>MOD(A194-1,4)+1</f>
        <v/>
      </c>
      <c r="F194" s="20">
        <f>축시작+INT((A194-1)/32)</f>
        <v/>
      </c>
      <c r="G194" s="20">
        <f>F194+H194</f>
        <v/>
      </c>
      <c r="H194" s="5" t="n">
        <v>1</v>
      </c>
      <c r="I194" s="2">
        <f>ROUND(INDEX(가맹점!$P$2:$P$9,D194)*INDEX(가맹점!$J$2:$M$9,D194,E194),0)</f>
        <v/>
      </c>
      <c r="J194" s="2">
        <f>ROUND(I194*(1-할인율),0)</f>
        <v/>
      </c>
      <c r="K194" s="2">
        <f>ROUNDDOWN(I194*할인율,0)</f>
        <v/>
      </c>
      <c r="L194" s="2">
        <f>ROUND(I194*INDEX(미지급률범위,E194),0)</f>
        <v/>
      </c>
      <c r="M194" s="2">
        <f>ROUND(I194*INDEX(과지급률범위,E194),0)</f>
        <v/>
      </c>
      <c r="N194" s="2">
        <f>MAX(0,L194-M194)</f>
        <v/>
      </c>
      <c r="O194" s="2">
        <f>K194-N194</f>
        <v/>
      </c>
      <c r="P194" s="2">
        <f>I194-N194</f>
        <v/>
      </c>
      <c r="Q194" s="5">
        <f>IF(G194&gt;기준일,1,0)</f>
        <v/>
      </c>
      <c r="R194" s="5">
        <f>IF(G194&lt;=기준일,1,0)</f>
        <v/>
      </c>
      <c r="S194" s="2">
        <f>J194*H194</f>
        <v/>
      </c>
      <c r="T194" s="5">
        <f>IF(AND(F194&gt;=표본시작,F194&lt;=표본종료),1,0)</f>
        <v/>
      </c>
      <c r="U194" s="5">
        <f>IF(AND(G194&gt;=조회시작,G194&lt;=조회종료),1,0)</f>
        <v/>
      </c>
    </row>
    <row r="195">
      <c r="A195" s="2">
        <f>ROW()-1</f>
        <v/>
      </c>
      <c r="B195" s="5">
        <f>INDEX(상호범위,D195)</f>
        <v/>
      </c>
      <c r="C195" s="5">
        <f>INDEX(플랫폼명범위,E195)</f>
        <v/>
      </c>
      <c r="D195" s="2">
        <f>MOD(INT((A195-1)/4),8)+1</f>
        <v/>
      </c>
      <c r="E195" s="2">
        <f>MOD(A195-1,4)+1</f>
        <v/>
      </c>
      <c r="F195" s="20">
        <f>축시작+INT((A195-1)/32)</f>
        <v/>
      </c>
      <c r="G195" s="20">
        <f>F195+H195</f>
        <v/>
      </c>
      <c r="H195" s="5" t="n">
        <v>2</v>
      </c>
      <c r="I195" s="2">
        <f>ROUND(INDEX(가맹점!$P$2:$P$9,D195)*INDEX(가맹점!$J$2:$M$9,D195,E195),0)</f>
        <v/>
      </c>
      <c r="J195" s="2">
        <f>ROUND(I195*(1-할인율),0)</f>
        <v/>
      </c>
      <c r="K195" s="2">
        <f>ROUNDDOWN(I195*할인율,0)</f>
        <v/>
      </c>
      <c r="L195" s="2">
        <f>ROUND(I195*INDEX(미지급률범위,E195),0)</f>
        <v/>
      </c>
      <c r="M195" s="2">
        <f>ROUND(I195*INDEX(과지급률범위,E195),0)</f>
        <v/>
      </c>
      <c r="N195" s="2">
        <f>MAX(0,L195-M195)</f>
        <v/>
      </c>
      <c r="O195" s="2">
        <f>K195-N195</f>
        <v/>
      </c>
      <c r="P195" s="2">
        <f>I195-N195</f>
        <v/>
      </c>
      <c r="Q195" s="5">
        <f>IF(G195&gt;기준일,1,0)</f>
        <v/>
      </c>
      <c r="R195" s="5">
        <f>IF(G195&lt;=기준일,1,0)</f>
        <v/>
      </c>
      <c r="S195" s="2">
        <f>J195*H195</f>
        <v/>
      </c>
      <c r="T195" s="5">
        <f>IF(AND(F195&gt;=표본시작,F195&lt;=표본종료),1,0)</f>
        <v/>
      </c>
      <c r="U195" s="5">
        <f>IF(AND(G195&gt;=조회시작,G195&lt;=조회종료),1,0)</f>
        <v/>
      </c>
    </row>
    <row r="196">
      <c r="A196" s="2">
        <f>ROW()-1</f>
        <v/>
      </c>
      <c r="B196" s="5">
        <f>INDEX(상호범위,D196)</f>
        <v/>
      </c>
      <c r="C196" s="5">
        <f>INDEX(플랫폼명범위,E196)</f>
        <v/>
      </c>
      <c r="D196" s="2">
        <f>MOD(INT((A196-1)/4),8)+1</f>
        <v/>
      </c>
      <c r="E196" s="2">
        <f>MOD(A196-1,4)+1</f>
        <v/>
      </c>
      <c r="F196" s="20">
        <f>축시작+INT((A196-1)/32)</f>
        <v/>
      </c>
      <c r="G196" s="20">
        <f>F196+H196</f>
        <v/>
      </c>
      <c r="H196" s="5" t="n">
        <v>3</v>
      </c>
      <c r="I196" s="2">
        <f>ROUND(INDEX(가맹점!$P$2:$P$9,D196)*INDEX(가맹점!$J$2:$M$9,D196,E196),0)</f>
        <v/>
      </c>
      <c r="J196" s="2">
        <f>ROUND(I196*(1-할인율),0)</f>
        <v/>
      </c>
      <c r="K196" s="2">
        <f>ROUNDDOWN(I196*할인율,0)</f>
        <v/>
      </c>
      <c r="L196" s="2">
        <f>ROUND(I196*INDEX(미지급률범위,E196),0)</f>
        <v/>
      </c>
      <c r="M196" s="2">
        <f>ROUND(I196*INDEX(과지급률범위,E196),0)</f>
        <v/>
      </c>
      <c r="N196" s="2">
        <f>MAX(0,L196-M196)</f>
        <v/>
      </c>
      <c r="O196" s="2">
        <f>K196-N196</f>
        <v/>
      </c>
      <c r="P196" s="2">
        <f>I196-N196</f>
        <v/>
      </c>
      <c r="Q196" s="5">
        <f>IF(G196&gt;기준일,1,0)</f>
        <v/>
      </c>
      <c r="R196" s="5">
        <f>IF(G196&lt;=기준일,1,0)</f>
        <v/>
      </c>
      <c r="S196" s="2">
        <f>J196*H196</f>
        <v/>
      </c>
      <c r="T196" s="5">
        <f>IF(AND(F196&gt;=표본시작,F196&lt;=표본종료),1,0)</f>
        <v/>
      </c>
      <c r="U196" s="5">
        <f>IF(AND(G196&gt;=조회시작,G196&lt;=조회종료),1,0)</f>
        <v/>
      </c>
    </row>
    <row r="197">
      <c r="A197" s="2">
        <f>ROW()-1</f>
        <v/>
      </c>
      <c r="B197" s="5">
        <f>INDEX(상호범위,D197)</f>
        <v/>
      </c>
      <c r="C197" s="5">
        <f>INDEX(플랫폼명범위,E197)</f>
        <v/>
      </c>
      <c r="D197" s="2">
        <f>MOD(INT((A197-1)/4),8)+1</f>
        <v/>
      </c>
      <c r="E197" s="2">
        <f>MOD(A197-1,4)+1</f>
        <v/>
      </c>
      <c r="F197" s="20">
        <f>축시작+INT((A197-1)/32)</f>
        <v/>
      </c>
      <c r="G197" s="20">
        <f>F197+H197</f>
        <v/>
      </c>
      <c r="H197" s="5" t="n">
        <v>6</v>
      </c>
      <c r="I197" s="2">
        <f>ROUND(INDEX(가맹점!$P$2:$P$9,D197)*INDEX(가맹점!$J$2:$M$9,D197,E197),0)</f>
        <v/>
      </c>
      <c r="J197" s="2">
        <f>ROUND(I197*(1-할인율),0)</f>
        <v/>
      </c>
      <c r="K197" s="2">
        <f>ROUNDDOWN(I197*할인율,0)</f>
        <v/>
      </c>
      <c r="L197" s="2">
        <f>ROUND(I197*INDEX(미지급률범위,E197),0)</f>
        <v/>
      </c>
      <c r="M197" s="2">
        <f>ROUND(I197*INDEX(과지급률범위,E197),0)</f>
        <v/>
      </c>
      <c r="N197" s="2">
        <f>MAX(0,L197-M197)</f>
        <v/>
      </c>
      <c r="O197" s="2">
        <f>K197-N197</f>
        <v/>
      </c>
      <c r="P197" s="2">
        <f>I197-N197</f>
        <v/>
      </c>
      <c r="Q197" s="5">
        <f>IF(G197&gt;기준일,1,0)</f>
        <v/>
      </c>
      <c r="R197" s="5">
        <f>IF(G197&lt;=기준일,1,0)</f>
        <v/>
      </c>
      <c r="S197" s="2">
        <f>J197*H197</f>
        <v/>
      </c>
      <c r="T197" s="5">
        <f>IF(AND(F197&gt;=표본시작,F197&lt;=표본종료),1,0)</f>
        <v/>
      </c>
      <c r="U197" s="5">
        <f>IF(AND(G197&gt;=조회시작,G197&lt;=조회종료),1,0)</f>
        <v/>
      </c>
    </row>
    <row r="198">
      <c r="A198" s="2">
        <f>ROW()-1</f>
        <v/>
      </c>
      <c r="B198" s="5">
        <f>INDEX(상호범위,D198)</f>
        <v/>
      </c>
      <c r="C198" s="5">
        <f>INDEX(플랫폼명범위,E198)</f>
        <v/>
      </c>
      <c r="D198" s="2">
        <f>MOD(INT((A198-1)/4),8)+1</f>
        <v/>
      </c>
      <c r="E198" s="2">
        <f>MOD(A198-1,4)+1</f>
        <v/>
      </c>
      <c r="F198" s="20">
        <f>축시작+INT((A198-1)/32)</f>
        <v/>
      </c>
      <c r="G198" s="20">
        <f>F198+H198</f>
        <v/>
      </c>
      <c r="H198" s="5" t="n">
        <v>1</v>
      </c>
      <c r="I198" s="2">
        <f>ROUND(INDEX(가맹점!$P$2:$P$9,D198)*INDEX(가맹점!$J$2:$M$9,D198,E198),0)</f>
        <v/>
      </c>
      <c r="J198" s="2">
        <f>ROUND(I198*(1-할인율),0)</f>
        <v/>
      </c>
      <c r="K198" s="2">
        <f>ROUNDDOWN(I198*할인율,0)</f>
        <v/>
      </c>
      <c r="L198" s="2">
        <f>ROUND(I198*INDEX(미지급률범위,E198),0)</f>
        <v/>
      </c>
      <c r="M198" s="2">
        <f>ROUND(I198*INDEX(과지급률범위,E198),0)</f>
        <v/>
      </c>
      <c r="N198" s="2">
        <f>MAX(0,L198-M198)</f>
        <v/>
      </c>
      <c r="O198" s="2">
        <f>K198-N198</f>
        <v/>
      </c>
      <c r="P198" s="2">
        <f>I198-N198</f>
        <v/>
      </c>
      <c r="Q198" s="5">
        <f>IF(G198&gt;기준일,1,0)</f>
        <v/>
      </c>
      <c r="R198" s="5">
        <f>IF(G198&lt;=기준일,1,0)</f>
        <v/>
      </c>
      <c r="S198" s="2">
        <f>J198*H198</f>
        <v/>
      </c>
      <c r="T198" s="5">
        <f>IF(AND(F198&gt;=표본시작,F198&lt;=표본종료),1,0)</f>
        <v/>
      </c>
      <c r="U198" s="5">
        <f>IF(AND(G198&gt;=조회시작,G198&lt;=조회종료),1,0)</f>
        <v/>
      </c>
    </row>
    <row r="199">
      <c r="A199" s="2">
        <f>ROW()-1</f>
        <v/>
      </c>
      <c r="B199" s="5">
        <f>INDEX(상호범위,D199)</f>
        <v/>
      </c>
      <c r="C199" s="5">
        <f>INDEX(플랫폼명범위,E199)</f>
        <v/>
      </c>
      <c r="D199" s="2">
        <f>MOD(INT((A199-1)/4),8)+1</f>
        <v/>
      </c>
      <c r="E199" s="2">
        <f>MOD(A199-1,4)+1</f>
        <v/>
      </c>
      <c r="F199" s="20">
        <f>축시작+INT((A199-1)/32)</f>
        <v/>
      </c>
      <c r="G199" s="20">
        <f>F199+H199</f>
        <v/>
      </c>
      <c r="H199" s="5" t="n">
        <v>2</v>
      </c>
      <c r="I199" s="2">
        <f>ROUND(INDEX(가맹점!$P$2:$P$9,D199)*INDEX(가맹점!$J$2:$M$9,D199,E199),0)</f>
        <v/>
      </c>
      <c r="J199" s="2">
        <f>ROUND(I199*(1-할인율),0)</f>
        <v/>
      </c>
      <c r="K199" s="2">
        <f>ROUNDDOWN(I199*할인율,0)</f>
        <v/>
      </c>
      <c r="L199" s="2">
        <f>ROUND(I199*INDEX(미지급률범위,E199),0)</f>
        <v/>
      </c>
      <c r="M199" s="2">
        <f>ROUND(I199*INDEX(과지급률범위,E199),0)</f>
        <v/>
      </c>
      <c r="N199" s="2">
        <f>MAX(0,L199-M199)</f>
        <v/>
      </c>
      <c r="O199" s="2">
        <f>K199-N199</f>
        <v/>
      </c>
      <c r="P199" s="2">
        <f>I199-N199</f>
        <v/>
      </c>
      <c r="Q199" s="5">
        <f>IF(G199&gt;기준일,1,0)</f>
        <v/>
      </c>
      <c r="R199" s="5">
        <f>IF(G199&lt;=기준일,1,0)</f>
        <v/>
      </c>
      <c r="S199" s="2">
        <f>J199*H199</f>
        <v/>
      </c>
      <c r="T199" s="5">
        <f>IF(AND(F199&gt;=표본시작,F199&lt;=표본종료),1,0)</f>
        <v/>
      </c>
      <c r="U199" s="5">
        <f>IF(AND(G199&gt;=조회시작,G199&lt;=조회종료),1,0)</f>
        <v/>
      </c>
    </row>
    <row r="200">
      <c r="A200" s="2">
        <f>ROW()-1</f>
        <v/>
      </c>
      <c r="B200" s="5">
        <f>INDEX(상호범위,D200)</f>
        <v/>
      </c>
      <c r="C200" s="5">
        <f>INDEX(플랫폼명범위,E200)</f>
        <v/>
      </c>
      <c r="D200" s="2">
        <f>MOD(INT((A200-1)/4),8)+1</f>
        <v/>
      </c>
      <c r="E200" s="2">
        <f>MOD(A200-1,4)+1</f>
        <v/>
      </c>
      <c r="F200" s="20">
        <f>축시작+INT((A200-1)/32)</f>
        <v/>
      </c>
      <c r="G200" s="20">
        <f>F200+H200</f>
        <v/>
      </c>
      <c r="H200" s="5" t="n">
        <v>5</v>
      </c>
      <c r="I200" s="2">
        <f>ROUND(INDEX(가맹점!$P$2:$P$9,D200)*INDEX(가맹점!$J$2:$M$9,D200,E200),0)</f>
        <v/>
      </c>
      <c r="J200" s="2">
        <f>ROUND(I200*(1-할인율),0)</f>
        <v/>
      </c>
      <c r="K200" s="2">
        <f>ROUNDDOWN(I200*할인율,0)</f>
        <v/>
      </c>
      <c r="L200" s="2">
        <f>ROUND(I200*INDEX(미지급률범위,E200),0)</f>
        <v/>
      </c>
      <c r="M200" s="2">
        <f>ROUND(I200*INDEX(과지급률범위,E200),0)</f>
        <v/>
      </c>
      <c r="N200" s="2">
        <f>MAX(0,L200-M200)</f>
        <v/>
      </c>
      <c r="O200" s="2">
        <f>K200-N200</f>
        <v/>
      </c>
      <c r="P200" s="2">
        <f>I200-N200</f>
        <v/>
      </c>
      <c r="Q200" s="5">
        <f>IF(G200&gt;기준일,1,0)</f>
        <v/>
      </c>
      <c r="R200" s="5">
        <f>IF(G200&lt;=기준일,1,0)</f>
        <v/>
      </c>
      <c r="S200" s="2">
        <f>J200*H200</f>
        <v/>
      </c>
      <c r="T200" s="5">
        <f>IF(AND(F200&gt;=표본시작,F200&lt;=표본종료),1,0)</f>
        <v/>
      </c>
      <c r="U200" s="5">
        <f>IF(AND(G200&gt;=조회시작,G200&lt;=조회종료),1,0)</f>
        <v/>
      </c>
    </row>
    <row r="201">
      <c r="A201" s="2">
        <f>ROW()-1</f>
        <v/>
      </c>
      <c r="B201" s="5">
        <f>INDEX(상호범위,D201)</f>
        <v/>
      </c>
      <c r="C201" s="5">
        <f>INDEX(플랫폼명범위,E201)</f>
        <v/>
      </c>
      <c r="D201" s="2">
        <f>MOD(INT((A201-1)/4),8)+1</f>
        <v/>
      </c>
      <c r="E201" s="2">
        <f>MOD(A201-1,4)+1</f>
        <v/>
      </c>
      <c r="F201" s="20">
        <f>축시작+INT((A201-1)/32)</f>
        <v/>
      </c>
      <c r="G201" s="20">
        <f>F201+H201</f>
        <v/>
      </c>
      <c r="H201" s="5" t="n">
        <v>6</v>
      </c>
      <c r="I201" s="2">
        <f>ROUND(INDEX(가맹점!$P$2:$P$9,D201)*INDEX(가맹점!$J$2:$M$9,D201,E201),0)</f>
        <v/>
      </c>
      <c r="J201" s="2">
        <f>ROUND(I201*(1-할인율),0)</f>
        <v/>
      </c>
      <c r="K201" s="2">
        <f>ROUNDDOWN(I201*할인율,0)</f>
        <v/>
      </c>
      <c r="L201" s="2">
        <f>ROUND(I201*INDEX(미지급률범위,E201),0)</f>
        <v/>
      </c>
      <c r="M201" s="2">
        <f>ROUND(I201*INDEX(과지급률범위,E201),0)</f>
        <v/>
      </c>
      <c r="N201" s="2">
        <f>MAX(0,L201-M201)</f>
        <v/>
      </c>
      <c r="O201" s="2">
        <f>K201-N201</f>
        <v/>
      </c>
      <c r="P201" s="2">
        <f>I201-N201</f>
        <v/>
      </c>
      <c r="Q201" s="5">
        <f>IF(G201&gt;기준일,1,0)</f>
        <v/>
      </c>
      <c r="R201" s="5">
        <f>IF(G201&lt;=기준일,1,0)</f>
        <v/>
      </c>
      <c r="S201" s="2">
        <f>J201*H201</f>
        <v/>
      </c>
      <c r="T201" s="5">
        <f>IF(AND(F201&gt;=표본시작,F201&lt;=표본종료),1,0)</f>
        <v/>
      </c>
      <c r="U201" s="5">
        <f>IF(AND(G201&gt;=조회시작,G201&lt;=조회종료),1,0)</f>
        <v/>
      </c>
    </row>
    <row r="202">
      <c r="A202" s="2">
        <f>ROW()-1</f>
        <v/>
      </c>
      <c r="B202" s="5">
        <f>INDEX(상호범위,D202)</f>
        <v/>
      </c>
      <c r="C202" s="5">
        <f>INDEX(플랫폼명범위,E202)</f>
        <v/>
      </c>
      <c r="D202" s="2">
        <f>MOD(INT((A202-1)/4),8)+1</f>
        <v/>
      </c>
      <c r="E202" s="2">
        <f>MOD(A202-1,4)+1</f>
        <v/>
      </c>
      <c r="F202" s="20">
        <f>축시작+INT((A202-1)/32)</f>
        <v/>
      </c>
      <c r="G202" s="20">
        <f>F202+H202</f>
        <v/>
      </c>
      <c r="H202" s="5" t="n">
        <v>1</v>
      </c>
      <c r="I202" s="2">
        <f>ROUND(INDEX(가맹점!$P$2:$P$9,D202)*INDEX(가맹점!$J$2:$M$9,D202,E202),0)</f>
        <v/>
      </c>
      <c r="J202" s="2">
        <f>ROUND(I202*(1-할인율),0)</f>
        <v/>
      </c>
      <c r="K202" s="2">
        <f>ROUNDDOWN(I202*할인율,0)</f>
        <v/>
      </c>
      <c r="L202" s="2">
        <f>ROUND(I202*INDEX(미지급률범위,E202),0)</f>
        <v/>
      </c>
      <c r="M202" s="2">
        <f>ROUND(I202*INDEX(과지급률범위,E202),0)</f>
        <v/>
      </c>
      <c r="N202" s="2">
        <f>MAX(0,L202-M202)</f>
        <v/>
      </c>
      <c r="O202" s="2">
        <f>K202-N202</f>
        <v/>
      </c>
      <c r="P202" s="2">
        <f>I202-N202</f>
        <v/>
      </c>
      <c r="Q202" s="5">
        <f>IF(G202&gt;기준일,1,0)</f>
        <v/>
      </c>
      <c r="R202" s="5">
        <f>IF(G202&lt;=기준일,1,0)</f>
        <v/>
      </c>
      <c r="S202" s="2">
        <f>J202*H202</f>
        <v/>
      </c>
      <c r="T202" s="5">
        <f>IF(AND(F202&gt;=표본시작,F202&lt;=표본종료),1,0)</f>
        <v/>
      </c>
      <c r="U202" s="5">
        <f>IF(AND(G202&gt;=조회시작,G202&lt;=조회종료),1,0)</f>
        <v/>
      </c>
    </row>
    <row r="203">
      <c r="A203" s="2">
        <f>ROW()-1</f>
        <v/>
      </c>
      <c r="B203" s="5">
        <f>INDEX(상호범위,D203)</f>
        <v/>
      </c>
      <c r="C203" s="5">
        <f>INDEX(플랫폼명범위,E203)</f>
        <v/>
      </c>
      <c r="D203" s="2">
        <f>MOD(INT((A203-1)/4),8)+1</f>
        <v/>
      </c>
      <c r="E203" s="2">
        <f>MOD(A203-1,4)+1</f>
        <v/>
      </c>
      <c r="F203" s="20">
        <f>축시작+INT((A203-1)/32)</f>
        <v/>
      </c>
      <c r="G203" s="20">
        <f>F203+H203</f>
        <v/>
      </c>
      <c r="H203" s="5" t="n">
        <v>4</v>
      </c>
      <c r="I203" s="2">
        <f>ROUND(INDEX(가맹점!$P$2:$P$9,D203)*INDEX(가맹점!$J$2:$M$9,D203,E203),0)</f>
        <v/>
      </c>
      <c r="J203" s="2">
        <f>ROUND(I203*(1-할인율),0)</f>
        <v/>
      </c>
      <c r="K203" s="2">
        <f>ROUNDDOWN(I203*할인율,0)</f>
        <v/>
      </c>
      <c r="L203" s="2">
        <f>ROUND(I203*INDEX(미지급률범위,E203),0)</f>
        <v/>
      </c>
      <c r="M203" s="2">
        <f>ROUND(I203*INDEX(과지급률범위,E203),0)</f>
        <v/>
      </c>
      <c r="N203" s="2">
        <f>MAX(0,L203-M203)</f>
        <v/>
      </c>
      <c r="O203" s="2">
        <f>K203-N203</f>
        <v/>
      </c>
      <c r="P203" s="2">
        <f>I203-N203</f>
        <v/>
      </c>
      <c r="Q203" s="5">
        <f>IF(G203&gt;기준일,1,0)</f>
        <v/>
      </c>
      <c r="R203" s="5">
        <f>IF(G203&lt;=기준일,1,0)</f>
        <v/>
      </c>
      <c r="S203" s="2">
        <f>J203*H203</f>
        <v/>
      </c>
      <c r="T203" s="5">
        <f>IF(AND(F203&gt;=표본시작,F203&lt;=표본종료),1,0)</f>
        <v/>
      </c>
      <c r="U203" s="5">
        <f>IF(AND(G203&gt;=조회시작,G203&lt;=조회종료),1,0)</f>
        <v/>
      </c>
    </row>
    <row r="204">
      <c r="A204" s="2">
        <f>ROW()-1</f>
        <v/>
      </c>
      <c r="B204" s="5">
        <f>INDEX(상호범위,D204)</f>
        <v/>
      </c>
      <c r="C204" s="5">
        <f>INDEX(플랫폼명범위,E204)</f>
        <v/>
      </c>
      <c r="D204" s="2">
        <f>MOD(INT((A204-1)/4),8)+1</f>
        <v/>
      </c>
      <c r="E204" s="2">
        <f>MOD(A204-1,4)+1</f>
        <v/>
      </c>
      <c r="F204" s="20">
        <f>축시작+INT((A204-1)/32)</f>
        <v/>
      </c>
      <c r="G204" s="20">
        <f>F204+H204</f>
        <v/>
      </c>
      <c r="H204" s="5" t="n">
        <v>5</v>
      </c>
      <c r="I204" s="2">
        <f>ROUND(INDEX(가맹점!$P$2:$P$9,D204)*INDEX(가맹점!$J$2:$M$9,D204,E204),0)</f>
        <v/>
      </c>
      <c r="J204" s="2">
        <f>ROUND(I204*(1-할인율),0)</f>
        <v/>
      </c>
      <c r="K204" s="2">
        <f>ROUNDDOWN(I204*할인율,0)</f>
        <v/>
      </c>
      <c r="L204" s="2">
        <f>ROUND(I204*INDEX(미지급률범위,E204),0)</f>
        <v/>
      </c>
      <c r="M204" s="2">
        <f>ROUND(I204*INDEX(과지급률범위,E204),0)</f>
        <v/>
      </c>
      <c r="N204" s="2">
        <f>MAX(0,L204-M204)</f>
        <v/>
      </c>
      <c r="O204" s="2">
        <f>K204-N204</f>
        <v/>
      </c>
      <c r="P204" s="2">
        <f>I204-N204</f>
        <v/>
      </c>
      <c r="Q204" s="5">
        <f>IF(G204&gt;기준일,1,0)</f>
        <v/>
      </c>
      <c r="R204" s="5">
        <f>IF(G204&lt;=기준일,1,0)</f>
        <v/>
      </c>
      <c r="S204" s="2">
        <f>J204*H204</f>
        <v/>
      </c>
      <c r="T204" s="5">
        <f>IF(AND(F204&gt;=표본시작,F204&lt;=표본종료),1,0)</f>
        <v/>
      </c>
      <c r="U204" s="5">
        <f>IF(AND(G204&gt;=조회시작,G204&lt;=조회종료),1,0)</f>
        <v/>
      </c>
    </row>
    <row r="205">
      <c r="A205" s="2">
        <f>ROW()-1</f>
        <v/>
      </c>
      <c r="B205" s="5">
        <f>INDEX(상호범위,D205)</f>
        <v/>
      </c>
      <c r="C205" s="5">
        <f>INDEX(플랫폼명범위,E205)</f>
        <v/>
      </c>
      <c r="D205" s="2">
        <f>MOD(INT((A205-1)/4),8)+1</f>
        <v/>
      </c>
      <c r="E205" s="2">
        <f>MOD(A205-1,4)+1</f>
        <v/>
      </c>
      <c r="F205" s="20">
        <f>축시작+INT((A205-1)/32)</f>
        <v/>
      </c>
      <c r="G205" s="20">
        <f>F205+H205</f>
        <v/>
      </c>
      <c r="H205" s="5" t="n">
        <v>6</v>
      </c>
      <c r="I205" s="2">
        <f>ROUND(INDEX(가맹점!$P$2:$P$9,D205)*INDEX(가맹점!$J$2:$M$9,D205,E205),0)</f>
        <v/>
      </c>
      <c r="J205" s="2">
        <f>ROUND(I205*(1-할인율),0)</f>
        <v/>
      </c>
      <c r="K205" s="2">
        <f>ROUNDDOWN(I205*할인율,0)</f>
        <v/>
      </c>
      <c r="L205" s="2">
        <f>ROUND(I205*INDEX(미지급률범위,E205),0)</f>
        <v/>
      </c>
      <c r="M205" s="2">
        <f>ROUND(I205*INDEX(과지급률범위,E205),0)</f>
        <v/>
      </c>
      <c r="N205" s="2">
        <f>MAX(0,L205-M205)</f>
        <v/>
      </c>
      <c r="O205" s="2">
        <f>K205-N205</f>
        <v/>
      </c>
      <c r="P205" s="2">
        <f>I205-N205</f>
        <v/>
      </c>
      <c r="Q205" s="5">
        <f>IF(G205&gt;기준일,1,0)</f>
        <v/>
      </c>
      <c r="R205" s="5">
        <f>IF(G205&lt;=기준일,1,0)</f>
        <v/>
      </c>
      <c r="S205" s="2">
        <f>J205*H205</f>
        <v/>
      </c>
      <c r="T205" s="5">
        <f>IF(AND(F205&gt;=표본시작,F205&lt;=표본종료),1,0)</f>
        <v/>
      </c>
      <c r="U205" s="5">
        <f>IF(AND(G205&gt;=조회시작,G205&lt;=조회종료),1,0)</f>
        <v/>
      </c>
    </row>
    <row r="206">
      <c r="A206" s="2">
        <f>ROW()-1</f>
        <v/>
      </c>
      <c r="B206" s="5">
        <f>INDEX(상호범위,D206)</f>
        <v/>
      </c>
      <c r="C206" s="5">
        <f>INDEX(플랫폼명범위,E206)</f>
        <v/>
      </c>
      <c r="D206" s="2">
        <f>MOD(INT((A206-1)/4),8)+1</f>
        <v/>
      </c>
      <c r="E206" s="2">
        <f>MOD(A206-1,4)+1</f>
        <v/>
      </c>
      <c r="F206" s="20">
        <f>축시작+INT((A206-1)/32)</f>
        <v/>
      </c>
      <c r="G206" s="20">
        <f>F206+H206</f>
        <v/>
      </c>
      <c r="H206" s="5" t="n">
        <v>1</v>
      </c>
      <c r="I206" s="2">
        <f>ROUND(INDEX(가맹점!$P$2:$P$9,D206)*INDEX(가맹점!$J$2:$M$9,D206,E206),0)</f>
        <v/>
      </c>
      <c r="J206" s="2">
        <f>ROUND(I206*(1-할인율),0)</f>
        <v/>
      </c>
      <c r="K206" s="2">
        <f>ROUNDDOWN(I206*할인율,0)</f>
        <v/>
      </c>
      <c r="L206" s="2">
        <f>ROUND(I206*INDEX(미지급률범위,E206),0)</f>
        <v/>
      </c>
      <c r="M206" s="2">
        <f>ROUND(I206*INDEX(과지급률범위,E206),0)</f>
        <v/>
      </c>
      <c r="N206" s="2">
        <f>MAX(0,L206-M206)</f>
        <v/>
      </c>
      <c r="O206" s="2">
        <f>K206-N206</f>
        <v/>
      </c>
      <c r="P206" s="2">
        <f>I206-N206</f>
        <v/>
      </c>
      <c r="Q206" s="5">
        <f>IF(G206&gt;기준일,1,0)</f>
        <v/>
      </c>
      <c r="R206" s="5">
        <f>IF(G206&lt;=기준일,1,0)</f>
        <v/>
      </c>
      <c r="S206" s="2">
        <f>J206*H206</f>
        <v/>
      </c>
      <c r="T206" s="5">
        <f>IF(AND(F206&gt;=표본시작,F206&lt;=표본종료),1,0)</f>
        <v/>
      </c>
      <c r="U206" s="5">
        <f>IF(AND(G206&gt;=조회시작,G206&lt;=조회종료),1,0)</f>
        <v/>
      </c>
    </row>
    <row r="207">
      <c r="A207" s="2">
        <f>ROW()-1</f>
        <v/>
      </c>
      <c r="B207" s="5">
        <f>INDEX(상호범위,D207)</f>
        <v/>
      </c>
      <c r="C207" s="5">
        <f>INDEX(플랫폼명범위,E207)</f>
        <v/>
      </c>
      <c r="D207" s="2">
        <f>MOD(INT((A207-1)/4),8)+1</f>
        <v/>
      </c>
      <c r="E207" s="2">
        <f>MOD(A207-1,4)+1</f>
        <v/>
      </c>
      <c r="F207" s="20">
        <f>축시작+INT((A207-1)/32)</f>
        <v/>
      </c>
      <c r="G207" s="20">
        <f>F207+H207</f>
        <v/>
      </c>
      <c r="H207" s="5" t="n">
        <v>2</v>
      </c>
      <c r="I207" s="2">
        <f>ROUND(INDEX(가맹점!$P$2:$P$9,D207)*INDEX(가맹점!$J$2:$M$9,D207,E207),0)</f>
        <v/>
      </c>
      <c r="J207" s="2">
        <f>ROUND(I207*(1-할인율),0)</f>
        <v/>
      </c>
      <c r="K207" s="2">
        <f>ROUNDDOWN(I207*할인율,0)</f>
        <v/>
      </c>
      <c r="L207" s="2">
        <f>ROUND(I207*INDEX(미지급률범위,E207),0)</f>
        <v/>
      </c>
      <c r="M207" s="2">
        <f>ROUND(I207*INDEX(과지급률범위,E207),0)</f>
        <v/>
      </c>
      <c r="N207" s="2">
        <f>MAX(0,L207-M207)</f>
        <v/>
      </c>
      <c r="O207" s="2">
        <f>K207-N207</f>
        <v/>
      </c>
      <c r="P207" s="2">
        <f>I207-N207</f>
        <v/>
      </c>
      <c r="Q207" s="5">
        <f>IF(G207&gt;기준일,1,0)</f>
        <v/>
      </c>
      <c r="R207" s="5">
        <f>IF(G207&lt;=기준일,1,0)</f>
        <v/>
      </c>
      <c r="S207" s="2">
        <f>J207*H207</f>
        <v/>
      </c>
      <c r="T207" s="5">
        <f>IF(AND(F207&gt;=표본시작,F207&lt;=표본종료),1,0)</f>
        <v/>
      </c>
      <c r="U207" s="5">
        <f>IF(AND(G207&gt;=조회시작,G207&lt;=조회종료),1,0)</f>
        <v/>
      </c>
    </row>
    <row r="208">
      <c r="A208" s="2">
        <f>ROW()-1</f>
        <v/>
      </c>
      <c r="B208" s="5">
        <f>INDEX(상호범위,D208)</f>
        <v/>
      </c>
      <c r="C208" s="5">
        <f>INDEX(플랫폼명범위,E208)</f>
        <v/>
      </c>
      <c r="D208" s="2">
        <f>MOD(INT((A208-1)/4),8)+1</f>
        <v/>
      </c>
      <c r="E208" s="2">
        <f>MOD(A208-1,4)+1</f>
        <v/>
      </c>
      <c r="F208" s="20">
        <f>축시작+INT((A208-1)/32)</f>
        <v/>
      </c>
      <c r="G208" s="20">
        <f>F208+H208</f>
        <v/>
      </c>
      <c r="H208" s="5" t="n">
        <v>4</v>
      </c>
      <c r="I208" s="2">
        <f>ROUND(INDEX(가맹점!$P$2:$P$9,D208)*INDEX(가맹점!$J$2:$M$9,D208,E208),0)</f>
        <v/>
      </c>
      <c r="J208" s="2">
        <f>ROUND(I208*(1-할인율),0)</f>
        <v/>
      </c>
      <c r="K208" s="2">
        <f>ROUNDDOWN(I208*할인율,0)</f>
        <v/>
      </c>
      <c r="L208" s="2">
        <f>ROUND(I208*INDEX(미지급률범위,E208),0)</f>
        <v/>
      </c>
      <c r="M208" s="2">
        <f>ROUND(I208*INDEX(과지급률범위,E208),0)</f>
        <v/>
      </c>
      <c r="N208" s="2">
        <f>MAX(0,L208-M208)</f>
        <v/>
      </c>
      <c r="O208" s="2">
        <f>K208-N208</f>
        <v/>
      </c>
      <c r="P208" s="2">
        <f>I208-N208</f>
        <v/>
      </c>
      <c r="Q208" s="5">
        <f>IF(G208&gt;기준일,1,0)</f>
        <v/>
      </c>
      <c r="R208" s="5">
        <f>IF(G208&lt;=기준일,1,0)</f>
        <v/>
      </c>
      <c r="S208" s="2">
        <f>J208*H208</f>
        <v/>
      </c>
      <c r="T208" s="5">
        <f>IF(AND(F208&gt;=표본시작,F208&lt;=표본종료),1,0)</f>
        <v/>
      </c>
      <c r="U208" s="5">
        <f>IF(AND(G208&gt;=조회시작,G208&lt;=조회종료),1,0)</f>
        <v/>
      </c>
    </row>
    <row r="209">
      <c r="A209" s="2">
        <f>ROW()-1</f>
        <v/>
      </c>
      <c r="B209" s="5">
        <f>INDEX(상호범위,D209)</f>
        <v/>
      </c>
      <c r="C209" s="5">
        <f>INDEX(플랫폼명범위,E209)</f>
        <v/>
      </c>
      <c r="D209" s="2">
        <f>MOD(INT((A209-1)/4),8)+1</f>
        <v/>
      </c>
      <c r="E209" s="2">
        <f>MOD(A209-1,4)+1</f>
        <v/>
      </c>
      <c r="F209" s="20">
        <f>축시작+INT((A209-1)/32)</f>
        <v/>
      </c>
      <c r="G209" s="20">
        <f>F209+H209</f>
        <v/>
      </c>
      <c r="H209" s="5" t="n">
        <v>6</v>
      </c>
      <c r="I209" s="2">
        <f>ROUND(INDEX(가맹점!$P$2:$P$9,D209)*INDEX(가맹점!$J$2:$M$9,D209,E209),0)</f>
        <v/>
      </c>
      <c r="J209" s="2">
        <f>ROUND(I209*(1-할인율),0)</f>
        <v/>
      </c>
      <c r="K209" s="2">
        <f>ROUNDDOWN(I209*할인율,0)</f>
        <v/>
      </c>
      <c r="L209" s="2">
        <f>ROUND(I209*INDEX(미지급률범위,E209),0)</f>
        <v/>
      </c>
      <c r="M209" s="2">
        <f>ROUND(I209*INDEX(과지급률범위,E209),0)</f>
        <v/>
      </c>
      <c r="N209" s="2">
        <f>MAX(0,L209-M209)</f>
        <v/>
      </c>
      <c r="O209" s="2">
        <f>K209-N209</f>
        <v/>
      </c>
      <c r="P209" s="2">
        <f>I209-N209</f>
        <v/>
      </c>
      <c r="Q209" s="5">
        <f>IF(G209&gt;기준일,1,0)</f>
        <v/>
      </c>
      <c r="R209" s="5">
        <f>IF(G209&lt;=기준일,1,0)</f>
        <v/>
      </c>
      <c r="S209" s="2">
        <f>J209*H209</f>
        <v/>
      </c>
      <c r="T209" s="5">
        <f>IF(AND(F209&gt;=표본시작,F209&lt;=표본종료),1,0)</f>
        <v/>
      </c>
      <c r="U209" s="5">
        <f>IF(AND(G209&gt;=조회시작,G209&lt;=조회종료),1,0)</f>
        <v/>
      </c>
    </row>
    <row r="210">
      <c r="A210" s="2">
        <f>ROW()-1</f>
        <v/>
      </c>
      <c r="B210" s="5">
        <f>INDEX(상호범위,D210)</f>
        <v/>
      </c>
      <c r="C210" s="5">
        <f>INDEX(플랫폼명범위,E210)</f>
        <v/>
      </c>
      <c r="D210" s="2">
        <f>MOD(INT((A210-1)/4),8)+1</f>
        <v/>
      </c>
      <c r="E210" s="2">
        <f>MOD(A210-1,4)+1</f>
        <v/>
      </c>
      <c r="F210" s="20">
        <f>축시작+INT((A210-1)/32)</f>
        <v/>
      </c>
      <c r="G210" s="20">
        <f>F210+H210</f>
        <v/>
      </c>
      <c r="H210" s="5" t="n">
        <v>1</v>
      </c>
      <c r="I210" s="2">
        <f>ROUND(INDEX(가맹점!$P$2:$P$9,D210)*INDEX(가맹점!$J$2:$M$9,D210,E210),0)</f>
        <v/>
      </c>
      <c r="J210" s="2">
        <f>ROUND(I210*(1-할인율),0)</f>
        <v/>
      </c>
      <c r="K210" s="2">
        <f>ROUNDDOWN(I210*할인율,0)</f>
        <v/>
      </c>
      <c r="L210" s="2">
        <f>ROUND(I210*INDEX(미지급률범위,E210),0)</f>
        <v/>
      </c>
      <c r="M210" s="2">
        <f>ROUND(I210*INDEX(과지급률범위,E210),0)</f>
        <v/>
      </c>
      <c r="N210" s="2">
        <f>MAX(0,L210-M210)</f>
        <v/>
      </c>
      <c r="O210" s="2">
        <f>K210-N210</f>
        <v/>
      </c>
      <c r="P210" s="2">
        <f>I210-N210</f>
        <v/>
      </c>
      <c r="Q210" s="5">
        <f>IF(G210&gt;기준일,1,0)</f>
        <v/>
      </c>
      <c r="R210" s="5">
        <f>IF(G210&lt;=기준일,1,0)</f>
        <v/>
      </c>
      <c r="S210" s="2">
        <f>J210*H210</f>
        <v/>
      </c>
      <c r="T210" s="5">
        <f>IF(AND(F210&gt;=표본시작,F210&lt;=표본종료),1,0)</f>
        <v/>
      </c>
      <c r="U210" s="5">
        <f>IF(AND(G210&gt;=조회시작,G210&lt;=조회종료),1,0)</f>
        <v/>
      </c>
    </row>
    <row r="211">
      <c r="A211" s="2">
        <f>ROW()-1</f>
        <v/>
      </c>
      <c r="B211" s="5">
        <f>INDEX(상호범위,D211)</f>
        <v/>
      </c>
      <c r="C211" s="5">
        <f>INDEX(플랫폼명범위,E211)</f>
        <v/>
      </c>
      <c r="D211" s="2">
        <f>MOD(INT((A211-1)/4),8)+1</f>
        <v/>
      </c>
      <c r="E211" s="2">
        <f>MOD(A211-1,4)+1</f>
        <v/>
      </c>
      <c r="F211" s="20">
        <f>축시작+INT((A211-1)/32)</f>
        <v/>
      </c>
      <c r="G211" s="20">
        <f>F211+H211</f>
        <v/>
      </c>
      <c r="H211" s="5" t="n">
        <v>4</v>
      </c>
      <c r="I211" s="2">
        <f>ROUND(INDEX(가맹점!$P$2:$P$9,D211)*INDEX(가맹점!$J$2:$M$9,D211,E211),0)</f>
        <v/>
      </c>
      <c r="J211" s="2">
        <f>ROUND(I211*(1-할인율),0)</f>
        <v/>
      </c>
      <c r="K211" s="2">
        <f>ROUNDDOWN(I211*할인율,0)</f>
        <v/>
      </c>
      <c r="L211" s="2">
        <f>ROUND(I211*INDEX(미지급률범위,E211),0)</f>
        <v/>
      </c>
      <c r="M211" s="2">
        <f>ROUND(I211*INDEX(과지급률범위,E211),0)</f>
        <v/>
      </c>
      <c r="N211" s="2">
        <f>MAX(0,L211-M211)</f>
        <v/>
      </c>
      <c r="O211" s="2">
        <f>K211-N211</f>
        <v/>
      </c>
      <c r="P211" s="2">
        <f>I211-N211</f>
        <v/>
      </c>
      <c r="Q211" s="5">
        <f>IF(G211&gt;기준일,1,0)</f>
        <v/>
      </c>
      <c r="R211" s="5">
        <f>IF(G211&lt;=기준일,1,0)</f>
        <v/>
      </c>
      <c r="S211" s="2">
        <f>J211*H211</f>
        <v/>
      </c>
      <c r="T211" s="5">
        <f>IF(AND(F211&gt;=표본시작,F211&lt;=표본종료),1,0)</f>
        <v/>
      </c>
      <c r="U211" s="5">
        <f>IF(AND(G211&gt;=조회시작,G211&lt;=조회종료),1,0)</f>
        <v/>
      </c>
    </row>
    <row r="212">
      <c r="A212" s="2">
        <f>ROW()-1</f>
        <v/>
      </c>
      <c r="B212" s="5">
        <f>INDEX(상호범위,D212)</f>
        <v/>
      </c>
      <c r="C212" s="5">
        <f>INDEX(플랫폼명범위,E212)</f>
        <v/>
      </c>
      <c r="D212" s="2">
        <f>MOD(INT((A212-1)/4),8)+1</f>
        <v/>
      </c>
      <c r="E212" s="2">
        <f>MOD(A212-1,4)+1</f>
        <v/>
      </c>
      <c r="F212" s="20">
        <f>축시작+INT((A212-1)/32)</f>
        <v/>
      </c>
      <c r="G212" s="20">
        <f>F212+H212</f>
        <v/>
      </c>
      <c r="H212" s="5" t="n">
        <v>5</v>
      </c>
      <c r="I212" s="2">
        <f>ROUND(INDEX(가맹점!$P$2:$P$9,D212)*INDEX(가맹점!$J$2:$M$9,D212,E212),0)</f>
        <v/>
      </c>
      <c r="J212" s="2">
        <f>ROUND(I212*(1-할인율),0)</f>
        <v/>
      </c>
      <c r="K212" s="2">
        <f>ROUNDDOWN(I212*할인율,0)</f>
        <v/>
      </c>
      <c r="L212" s="2">
        <f>ROUND(I212*INDEX(미지급률범위,E212),0)</f>
        <v/>
      </c>
      <c r="M212" s="2">
        <f>ROUND(I212*INDEX(과지급률범위,E212),0)</f>
        <v/>
      </c>
      <c r="N212" s="2">
        <f>MAX(0,L212-M212)</f>
        <v/>
      </c>
      <c r="O212" s="2">
        <f>K212-N212</f>
        <v/>
      </c>
      <c r="P212" s="2">
        <f>I212-N212</f>
        <v/>
      </c>
      <c r="Q212" s="5">
        <f>IF(G212&gt;기준일,1,0)</f>
        <v/>
      </c>
      <c r="R212" s="5">
        <f>IF(G212&lt;=기준일,1,0)</f>
        <v/>
      </c>
      <c r="S212" s="2">
        <f>J212*H212</f>
        <v/>
      </c>
      <c r="T212" s="5">
        <f>IF(AND(F212&gt;=표본시작,F212&lt;=표본종료),1,0)</f>
        <v/>
      </c>
      <c r="U212" s="5">
        <f>IF(AND(G212&gt;=조회시작,G212&lt;=조회종료),1,0)</f>
        <v/>
      </c>
    </row>
    <row r="213">
      <c r="A213" s="2">
        <f>ROW()-1</f>
        <v/>
      </c>
      <c r="B213" s="5">
        <f>INDEX(상호범위,D213)</f>
        <v/>
      </c>
      <c r="C213" s="5">
        <f>INDEX(플랫폼명범위,E213)</f>
        <v/>
      </c>
      <c r="D213" s="2">
        <f>MOD(INT((A213-1)/4),8)+1</f>
        <v/>
      </c>
      <c r="E213" s="2">
        <f>MOD(A213-1,4)+1</f>
        <v/>
      </c>
      <c r="F213" s="20">
        <f>축시작+INT((A213-1)/32)</f>
        <v/>
      </c>
      <c r="G213" s="20">
        <f>F213+H213</f>
        <v/>
      </c>
      <c r="H213" s="5" t="n">
        <v>6</v>
      </c>
      <c r="I213" s="2">
        <f>ROUND(INDEX(가맹점!$P$2:$P$9,D213)*INDEX(가맹점!$J$2:$M$9,D213,E213),0)</f>
        <v/>
      </c>
      <c r="J213" s="2">
        <f>ROUND(I213*(1-할인율),0)</f>
        <v/>
      </c>
      <c r="K213" s="2">
        <f>ROUNDDOWN(I213*할인율,0)</f>
        <v/>
      </c>
      <c r="L213" s="2">
        <f>ROUND(I213*INDEX(미지급률범위,E213),0)</f>
        <v/>
      </c>
      <c r="M213" s="2">
        <f>ROUND(I213*INDEX(과지급률범위,E213),0)</f>
        <v/>
      </c>
      <c r="N213" s="2">
        <f>MAX(0,L213-M213)</f>
        <v/>
      </c>
      <c r="O213" s="2">
        <f>K213-N213</f>
        <v/>
      </c>
      <c r="P213" s="2">
        <f>I213-N213</f>
        <v/>
      </c>
      <c r="Q213" s="5">
        <f>IF(G213&gt;기준일,1,0)</f>
        <v/>
      </c>
      <c r="R213" s="5">
        <f>IF(G213&lt;=기준일,1,0)</f>
        <v/>
      </c>
      <c r="S213" s="2">
        <f>J213*H213</f>
        <v/>
      </c>
      <c r="T213" s="5">
        <f>IF(AND(F213&gt;=표본시작,F213&lt;=표본종료),1,0)</f>
        <v/>
      </c>
      <c r="U213" s="5">
        <f>IF(AND(G213&gt;=조회시작,G213&lt;=조회종료),1,0)</f>
        <v/>
      </c>
    </row>
    <row r="214">
      <c r="A214" s="2">
        <f>ROW()-1</f>
        <v/>
      </c>
      <c r="B214" s="5">
        <f>INDEX(상호범위,D214)</f>
        <v/>
      </c>
      <c r="C214" s="5">
        <f>INDEX(플랫폼명범위,E214)</f>
        <v/>
      </c>
      <c r="D214" s="2">
        <f>MOD(INT((A214-1)/4),8)+1</f>
        <v/>
      </c>
      <c r="E214" s="2">
        <f>MOD(A214-1,4)+1</f>
        <v/>
      </c>
      <c r="F214" s="20">
        <f>축시작+INT((A214-1)/32)</f>
        <v/>
      </c>
      <c r="G214" s="20">
        <f>F214+H214</f>
        <v/>
      </c>
      <c r="H214" s="5" t="n">
        <v>1</v>
      </c>
      <c r="I214" s="2">
        <f>ROUND(INDEX(가맹점!$P$2:$P$9,D214)*INDEX(가맹점!$J$2:$M$9,D214,E214),0)</f>
        <v/>
      </c>
      <c r="J214" s="2">
        <f>ROUND(I214*(1-할인율),0)</f>
        <v/>
      </c>
      <c r="K214" s="2">
        <f>ROUNDDOWN(I214*할인율,0)</f>
        <v/>
      </c>
      <c r="L214" s="2">
        <f>ROUND(I214*INDEX(미지급률범위,E214),0)</f>
        <v/>
      </c>
      <c r="M214" s="2">
        <f>ROUND(I214*INDEX(과지급률범위,E214),0)</f>
        <v/>
      </c>
      <c r="N214" s="2">
        <f>MAX(0,L214-M214)</f>
        <v/>
      </c>
      <c r="O214" s="2">
        <f>K214-N214</f>
        <v/>
      </c>
      <c r="P214" s="2">
        <f>I214-N214</f>
        <v/>
      </c>
      <c r="Q214" s="5">
        <f>IF(G214&gt;기준일,1,0)</f>
        <v/>
      </c>
      <c r="R214" s="5">
        <f>IF(G214&lt;=기준일,1,0)</f>
        <v/>
      </c>
      <c r="S214" s="2">
        <f>J214*H214</f>
        <v/>
      </c>
      <c r="T214" s="5">
        <f>IF(AND(F214&gt;=표본시작,F214&lt;=표본종료),1,0)</f>
        <v/>
      </c>
      <c r="U214" s="5">
        <f>IF(AND(G214&gt;=조회시작,G214&lt;=조회종료),1,0)</f>
        <v/>
      </c>
    </row>
    <row r="215">
      <c r="A215" s="2">
        <f>ROW()-1</f>
        <v/>
      </c>
      <c r="B215" s="5">
        <f>INDEX(상호범위,D215)</f>
        <v/>
      </c>
      <c r="C215" s="5">
        <f>INDEX(플랫폼명범위,E215)</f>
        <v/>
      </c>
      <c r="D215" s="2">
        <f>MOD(INT((A215-1)/4),8)+1</f>
        <v/>
      </c>
      <c r="E215" s="2">
        <f>MOD(A215-1,4)+1</f>
        <v/>
      </c>
      <c r="F215" s="20">
        <f>축시작+INT((A215-1)/32)</f>
        <v/>
      </c>
      <c r="G215" s="20">
        <f>F215+H215</f>
        <v/>
      </c>
      <c r="H215" s="5" t="n">
        <v>5</v>
      </c>
      <c r="I215" s="2">
        <f>ROUND(INDEX(가맹점!$P$2:$P$9,D215)*INDEX(가맹점!$J$2:$M$9,D215,E215),0)</f>
        <v/>
      </c>
      <c r="J215" s="2">
        <f>ROUND(I215*(1-할인율),0)</f>
        <v/>
      </c>
      <c r="K215" s="2">
        <f>ROUNDDOWN(I215*할인율,0)</f>
        <v/>
      </c>
      <c r="L215" s="2">
        <f>ROUND(I215*INDEX(미지급률범위,E215),0)</f>
        <v/>
      </c>
      <c r="M215" s="2">
        <f>ROUND(I215*INDEX(과지급률범위,E215),0)</f>
        <v/>
      </c>
      <c r="N215" s="2">
        <f>MAX(0,L215-M215)</f>
        <v/>
      </c>
      <c r="O215" s="2">
        <f>K215-N215</f>
        <v/>
      </c>
      <c r="P215" s="2">
        <f>I215-N215</f>
        <v/>
      </c>
      <c r="Q215" s="5">
        <f>IF(G215&gt;기준일,1,0)</f>
        <v/>
      </c>
      <c r="R215" s="5">
        <f>IF(G215&lt;=기준일,1,0)</f>
        <v/>
      </c>
      <c r="S215" s="2">
        <f>J215*H215</f>
        <v/>
      </c>
      <c r="T215" s="5">
        <f>IF(AND(F215&gt;=표본시작,F215&lt;=표본종료),1,0)</f>
        <v/>
      </c>
      <c r="U215" s="5">
        <f>IF(AND(G215&gt;=조회시작,G215&lt;=조회종료),1,0)</f>
        <v/>
      </c>
    </row>
    <row r="216">
      <c r="A216" s="2">
        <f>ROW()-1</f>
        <v/>
      </c>
      <c r="B216" s="5">
        <f>INDEX(상호범위,D216)</f>
        <v/>
      </c>
      <c r="C216" s="5">
        <f>INDEX(플랫폼명범위,E216)</f>
        <v/>
      </c>
      <c r="D216" s="2">
        <f>MOD(INT((A216-1)/4),8)+1</f>
        <v/>
      </c>
      <c r="E216" s="2">
        <f>MOD(A216-1,4)+1</f>
        <v/>
      </c>
      <c r="F216" s="20">
        <f>축시작+INT((A216-1)/32)</f>
        <v/>
      </c>
      <c r="G216" s="20">
        <f>F216+H216</f>
        <v/>
      </c>
      <c r="H216" s="5" t="n">
        <v>3</v>
      </c>
      <c r="I216" s="2">
        <f>ROUND(INDEX(가맹점!$P$2:$P$9,D216)*INDEX(가맹점!$J$2:$M$9,D216,E216),0)</f>
        <v/>
      </c>
      <c r="J216" s="2">
        <f>ROUND(I216*(1-할인율),0)</f>
        <v/>
      </c>
      <c r="K216" s="2">
        <f>ROUNDDOWN(I216*할인율,0)</f>
        <v/>
      </c>
      <c r="L216" s="2">
        <f>ROUND(I216*INDEX(미지급률범위,E216),0)</f>
        <v/>
      </c>
      <c r="M216" s="2">
        <f>ROUND(I216*INDEX(과지급률범위,E216),0)</f>
        <v/>
      </c>
      <c r="N216" s="2">
        <f>MAX(0,L216-M216)</f>
        <v/>
      </c>
      <c r="O216" s="2">
        <f>K216-N216</f>
        <v/>
      </c>
      <c r="P216" s="2">
        <f>I216-N216</f>
        <v/>
      </c>
      <c r="Q216" s="5">
        <f>IF(G216&gt;기준일,1,0)</f>
        <v/>
      </c>
      <c r="R216" s="5">
        <f>IF(G216&lt;=기준일,1,0)</f>
        <v/>
      </c>
      <c r="S216" s="2">
        <f>J216*H216</f>
        <v/>
      </c>
      <c r="T216" s="5">
        <f>IF(AND(F216&gt;=표본시작,F216&lt;=표본종료),1,0)</f>
        <v/>
      </c>
      <c r="U216" s="5">
        <f>IF(AND(G216&gt;=조회시작,G216&lt;=조회종료),1,0)</f>
        <v/>
      </c>
    </row>
    <row r="217">
      <c r="A217" s="2">
        <f>ROW()-1</f>
        <v/>
      </c>
      <c r="B217" s="5">
        <f>INDEX(상호범위,D217)</f>
        <v/>
      </c>
      <c r="C217" s="5">
        <f>INDEX(플랫폼명범위,E217)</f>
        <v/>
      </c>
      <c r="D217" s="2">
        <f>MOD(INT((A217-1)/4),8)+1</f>
        <v/>
      </c>
      <c r="E217" s="2">
        <f>MOD(A217-1,4)+1</f>
        <v/>
      </c>
      <c r="F217" s="20">
        <f>축시작+INT((A217-1)/32)</f>
        <v/>
      </c>
      <c r="G217" s="20">
        <f>F217+H217</f>
        <v/>
      </c>
      <c r="H217" s="5" t="n">
        <v>6</v>
      </c>
      <c r="I217" s="2">
        <f>ROUND(INDEX(가맹점!$P$2:$P$9,D217)*INDEX(가맹점!$J$2:$M$9,D217,E217),0)</f>
        <v/>
      </c>
      <c r="J217" s="2">
        <f>ROUND(I217*(1-할인율),0)</f>
        <v/>
      </c>
      <c r="K217" s="2">
        <f>ROUNDDOWN(I217*할인율,0)</f>
        <v/>
      </c>
      <c r="L217" s="2">
        <f>ROUND(I217*INDEX(미지급률범위,E217),0)</f>
        <v/>
      </c>
      <c r="M217" s="2">
        <f>ROUND(I217*INDEX(과지급률범위,E217),0)</f>
        <v/>
      </c>
      <c r="N217" s="2">
        <f>MAX(0,L217-M217)</f>
        <v/>
      </c>
      <c r="O217" s="2">
        <f>K217-N217</f>
        <v/>
      </c>
      <c r="P217" s="2">
        <f>I217-N217</f>
        <v/>
      </c>
      <c r="Q217" s="5">
        <f>IF(G217&gt;기준일,1,0)</f>
        <v/>
      </c>
      <c r="R217" s="5">
        <f>IF(G217&lt;=기준일,1,0)</f>
        <v/>
      </c>
      <c r="S217" s="2">
        <f>J217*H217</f>
        <v/>
      </c>
      <c r="T217" s="5">
        <f>IF(AND(F217&gt;=표본시작,F217&lt;=표본종료),1,0)</f>
        <v/>
      </c>
      <c r="U217" s="5">
        <f>IF(AND(G217&gt;=조회시작,G217&lt;=조회종료),1,0)</f>
        <v/>
      </c>
    </row>
    <row r="218">
      <c r="A218" s="2">
        <f>ROW()-1</f>
        <v/>
      </c>
      <c r="B218" s="5">
        <f>INDEX(상호범위,D218)</f>
        <v/>
      </c>
      <c r="C218" s="5">
        <f>INDEX(플랫폼명범위,E218)</f>
        <v/>
      </c>
      <c r="D218" s="2">
        <f>MOD(INT((A218-1)/4),8)+1</f>
        <v/>
      </c>
      <c r="E218" s="2">
        <f>MOD(A218-1,4)+1</f>
        <v/>
      </c>
      <c r="F218" s="20">
        <f>축시작+INT((A218-1)/32)</f>
        <v/>
      </c>
      <c r="G218" s="20">
        <f>F218+H218</f>
        <v/>
      </c>
      <c r="H218" s="5" t="n">
        <v>1</v>
      </c>
      <c r="I218" s="2">
        <f>ROUND(INDEX(가맹점!$P$2:$P$9,D218)*INDEX(가맹점!$J$2:$M$9,D218,E218),0)</f>
        <v/>
      </c>
      <c r="J218" s="2">
        <f>ROUND(I218*(1-할인율),0)</f>
        <v/>
      </c>
      <c r="K218" s="2">
        <f>ROUNDDOWN(I218*할인율,0)</f>
        <v/>
      </c>
      <c r="L218" s="2">
        <f>ROUND(I218*INDEX(미지급률범위,E218),0)</f>
        <v/>
      </c>
      <c r="M218" s="2">
        <f>ROUND(I218*INDEX(과지급률범위,E218),0)</f>
        <v/>
      </c>
      <c r="N218" s="2">
        <f>MAX(0,L218-M218)</f>
        <v/>
      </c>
      <c r="O218" s="2">
        <f>K218-N218</f>
        <v/>
      </c>
      <c r="P218" s="2">
        <f>I218-N218</f>
        <v/>
      </c>
      <c r="Q218" s="5">
        <f>IF(G218&gt;기준일,1,0)</f>
        <v/>
      </c>
      <c r="R218" s="5">
        <f>IF(G218&lt;=기준일,1,0)</f>
        <v/>
      </c>
      <c r="S218" s="2">
        <f>J218*H218</f>
        <v/>
      </c>
      <c r="T218" s="5">
        <f>IF(AND(F218&gt;=표본시작,F218&lt;=표본종료),1,0)</f>
        <v/>
      </c>
      <c r="U218" s="5">
        <f>IF(AND(G218&gt;=조회시작,G218&lt;=조회종료),1,0)</f>
        <v/>
      </c>
    </row>
    <row r="219">
      <c r="A219" s="2">
        <f>ROW()-1</f>
        <v/>
      </c>
      <c r="B219" s="5">
        <f>INDEX(상호범위,D219)</f>
        <v/>
      </c>
      <c r="C219" s="5">
        <f>INDEX(플랫폼명범위,E219)</f>
        <v/>
      </c>
      <c r="D219" s="2">
        <f>MOD(INT((A219-1)/4),8)+1</f>
        <v/>
      </c>
      <c r="E219" s="2">
        <f>MOD(A219-1,4)+1</f>
        <v/>
      </c>
      <c r="F219" s="20">
        <f>축시작+INT((A219-1)/32)</f>
        <v/>
      </c>
      <c r="G219" s="20">
        <f>F219+H219</f>
        <v/>
      </c>
      <c r="H219" s="5" t="n">
        <v>2</v>
      </c>
      <c r="I219" s="2">
        <f>ROUND(INDEX(가맹점!$P$2:$P$9,D219)*INDEX(가맹점!$J$2:$M$9,D219,E219),0)</f>
        <v/>
      </c>
      <c r="J219" s="2">
        <f>ROUND(I219*(1-할인율),0)</f>
        <v/>
      </c>
      <c r="K219" s="2">
        <f>ROUNDDOWN(I219*할인율,0)</f>
        <v/>
      </c>
      <c r="L219" s="2">
        <f>ROUND(I219*INDEX(미지급률범위,E219),0)</f>
        <v/>
      </c>
      <c r="M219" s="2">
        <f>ROUND(I219*INDEX(과지급률범위,E219),0)</f>
        <v/>
      </c>
      <c r="N219" s="2">
        <f>MAX(0,L219-M219)</f>
        <v/>
      </c>
      <c r="O219" s="2">
        <f>K219-N219</f>
        <v/>
      </c>
      <c r="P219" s="2">
        <f>I219-N219</f>
        <v/>
      </c>
      <c r="Q219" s="5">
        <f>IF(G219&gt;기준일,1,0)</f>
        <v/>
      </c>
      <c r="R219" s="5">
        <f>IF(G219&lt;=기준일,1,0)</f>
        <v/>
      </c>
      <c r="S219" s="2">
        <f>J219*H219</f>
        <v/>
      </c>
      <c r="T219" s="5">
        <f>IF(AND(F219&gt;=표본시작,F219&lt;=표본종료),1,0)</f>
        <v/>
      </c>
      <c r="U219" s="5">
        <f>IF(AND(G219&gt;=조회시작,G219&lt;=조회종료),1,0)</f>
        <v/>
      </c>
    </row>
    <row r="220">
      <c r="A220" s="2">
        <f>ROW()-1</f>
        <v/>
      </c>
      <c r="B220" s="5">
        <f>INDEX(상호범위,D220)</f>
        <v/>
      </c>
      <c r="C220" s="5">
        <f>INDEX(플랫폼명범위,E220)</f>
        <v/>
      </c>
      <c r="D220" s="2">
        <f>MOD(INT((A220-1)/4),8)+1</f>
        <v/>
      </c>
      <c r="E220" s="2">
        <f>MOD(A220-1,4)+1</f>
        <v/>
      </c>
      <c r="F220" s="20">
        <f>축시작+INT((A220-1)/32)</f>
        <v/>
      </c>
      <c r="G220" s="20">
        <f>F220+H220</f>
        <v/>
      </c>
      <c r="H220" s="5" t="n">
        <v>6</v>
      </c>
      <c r="I220" s="2">
        <f>ROUND(INDEX(가맹점!$P$2:$P$9,D220)*INDEX(가맹점!$J$2:$M$9,D220,E220),0)</f>
        <v/>
      </c>
      <c r="J220" s="2">
        <f>ROUND(I220*(1-할인율),0)</f>
        <v/>
      </c>
      <c r="K220" s="2">
        <f>ROUNDDOWN(I220*할인율,0)</f>
        <v/>
      </c>
      <c r="L220" s="2">
        <f>ROUND(I220*INDEX(미지급률범위,E220),0)</f>
        <v/>
      </c>
      <c r="M220" s="2">
        <f>ROUND(I220*INDEX(과지급률범위,E220),0)</f>
        <v/>
      </c>
      <c r="N220" s="2">
        <f>MAX(0,L220-M220)</f>
        <v/>
      </c>
      <c r="O220" s="2">
        <f>K220-N220</f>
        <v/>
      </c>
      <c r="P220" s="2">
        <f>I220-N220</f>
        <v/>
      </c>
      <c r="Q220" s="5">
        <f>IF(G220&gt;기준일,1,0)</f>
        <v/>
      </c>
      <c r="R220" s="5">
        <f>IF(G220&lt;=기준일,1,0)</f>
        <v/>
      </c>
      <c r="S220" s="2">
        <f>J220*H220</f>
        <v/>
      </c>
      <c r="T220" s="5">
        <f>IF(AND(F220&gt;=표본시작,F220&lt;=표본종료),1,0)</f>
        <v/>
      </c>
      <c r="U220" s="5">
        <f>IF(AND(G220&gt;=조회시작,G220&lt;=조회종료),1,0)</f>
        <v/>
      </c>
    </row>
    <row r="221">
      <c r="A221" s="2">
        <f>ROW()-1</f>
        <v/>
      </c>
      <c r="B221" s="5">
        <f>INDEX(상호범위,D221)</f>
        <v/>
      </c>
      <c r="C221" s="5">
        <f>INDEX(플랫폼명범위,E221)</f>
        <v/>
      </c>
      <c r="D221" s="2">
        <f>MOD(INT((A221-1)/4),8)+1</f>
        <v/>
      </c>
      <c r="E221" s="2">
        <f>MOD(A221-1,4)+1</f>
        <v/>
      </c>
      <c r="F221" s="20">
        <f>축시작+INT((A221-1)/32)</f>
        <v/>
      </c>
      <c r="G221" s="20">
        <f>F221+H221</f>
        <v/>
      </c>
      <c r="H221" s="5" t="n">
        <v>6</v>
      </c>
      <c r="I221" s="2">
        <f>ROUND(INDEX(가맹점!$P$2:$P$9,D221)*INDEX(가맹점!$J$2:$M$9,D221,E221),0)</f>
        <v/>
      </c>
      <c r="J221" s="2">
        <f>ROUND(I221*(1-할인율),0)</f>
        <v/>
      </c>
      <c r="K221" s="2">
        <f>ROUNDDOWN(I221*할인율,0)</f>
        <v/>
      </c>
      <c r="L221" s="2">
        <f>ROUND(I221*INDEX(미지급률범위,E221),0)</f>
        <v/>
      </c>
      <c r="M221" s="2">
        <f>ROUND(I221*INDEX(과지급률범위,E221),0)</f>
        <v/>
      </c>
      <c r="N221" s="2">
        <f>MAX(0,L221-M221)</f>
        <v/>
      </c>
      <c r="O221" s="2">
        <f>K221-N221</f>
        <v/>
      </c>
      <c r="P221" s="2">
        <f>I221-N221</f>
        <v/>
      </c>
      <c r="Q221" s="5">
        <f>IF(G221&gt;기준일,1,0)</f>
        <v/>
      </c>
      <c r="R221" s="5">
        <f>IF(G221&lt;=기준일,1,0)</f>
        <v/>
      </c>
      <c r="S221" s="2">
        <f>J221*H221</f>
        <v/>
      </c>
      <c r="T221" s="5">
        <f>IF(AND(F221&gt;=표본시작,F221&lt;=표본종료),1,0)</f>
        <v/>
      </c>
      <c r="U221" s="5">
        <f>IF(AND(G221&gt;=조회시작,G221&lt;=조회종료),1,0)</f>
        <v/>
      </c>
    </row>
    <row r="222">
      <c r="A222" s="2">
        <f>ROW()-1</f>
        <v/>
      </c>
      <c r="B222" s="5">
        <f>INDEX(상호범위,D222)</f>
        <v/>
      </c>
      <c r="C222" s="5">
        <f>INDEX(플랫폼명범위,E222)</f>
        <v/>
      </c>
      <c r="D222" s="2">
        <f>MOD(INT((A222-1)/4),8)+1</f>
        <v/>
      </c>
      <c r="E222" s="2">
        <f>MOD(A222-1,4)+1</f>
        <v/>
      </c>
      <c r="F222" s="20">
        <f>축시작+INT((A222-1)/32)</f>
        <v/>
      </c>
      <c r="G222" s="20">
        <f>F222+H222</f>
        <v/>
      </c>
      <c r="H222" s="5" t="n">
        <v>1</v>
      </c>
      <c r="I222" s="2">
        <f>ROUND(INDEX(가맹점!$P$2:$P$9,D222)*INDEX(가맹점!$J$2:$M$9,D222,E222),0)</f>
        <v/>
      </c>
      <c r="J222" s="2">
        <f>ROUND(I222*(1-할인율),0)</f>
        <v/>
      </c>
      <c r="K222" s="2">
        <f>ROUNDDOWN(I222*할인율,0)</f>
        <v/>
      </c>
      <c r="L222" s="2">
        <f>ROUND(I222*INDEX(미지급률범위,E222),0)</f>
        <v/>
      </c>
      <c r="M222" s="2">
        <f>ROUND(I222*INDEX(과지급률범위,E222),0)</f>
        <v/>
      </c>
      <c r="N222" s="2">
        <f>MAX(0,L222-M222)</f>
        <v/>
      </c>
      <c r="O222" s="2">
        <f>K222-N222</f>
        <v/>
      </c>
      <c r="P222" s="2">
        <f>I222-N222</f>
        <v/>
      </c>
      <c r="Q222" s="5">
        <f>IF(G222&gt;기준일,1,0)</f>
        <v/>
      </c>
      <c r="R222" s="5">
        <f>IF(G222&lt;=기준일,1,0)</f>
        <v/>
      </c>
      <c r="S222" s="2">
        <f>J222*H222</f>
        <v/>
      </c>
      <c r="T222" s="5">
        <f>IF(AND(F222&gt;=표본시작,F222&lt;=표본종료),1,0)</f>
        <v/>
      </c>
      <c r="U222" s="5">
        <f>IF(AND(G222&gt;=조회시작,G222&lt;=조회종료),1,0)</f>
        <v/>
      </c>
    </row>
    <row r="223">
      <c r="A223" s="2">
        <f>ROW()-1</f>
        <v/>
      </c>
      <c r="B223" s="5">
        <f>INDEX(상호범위,D223)</f>
        <v/>
      </c>
      <c r="C223" s="5">
        <f>INDEX(플랫폼명범위,E223)</f>
        <v/>
      </c>
      <c r="D223" s="2">
        <f>MOD(INT((A223-1)/4),8)+1</f>
        <v/>
      </c>
      <c r="E223" s="2">
        <f>MOD(A223-1,4)+1</f>
        <v/>
      </c>
      <c r="F223" s="20">
        <f>축시작+INT((A223-1)/32)</f>
        <v/>
      </c>
      <c r="G223" s="20">
        <f>F223+H223</f>
        <v/>
      </c>
      <c r="H223" s="5" t="n">
        <v>5</v>
      </c>
      <c r="I223" s="2">
        <f>ROUND(INDEX(가맹점!$P$2:$P$9,D223)*INDEX(가맹점!$J$2:$M$9,D223,E223),0)</f>
        <v/>
      </c>
      <c r="J223" s="2">
        <f>ROUND(I223*(1-할인율),0)</f>
        <v/>
      </c>
      <c r="K223" s="2">
        <f>ROUNDDOWN(I223*할인율,0)</f>
        <v/>
      </c>
      <c r="L223" s="2">
        <f>ROUND(I223*INDEX(미지급률범위,E223),0)</f>
        <v/>
      </c>
      <c r="M223" s="2">
        <f>ROUND(I223*INDEX(과지급률범위,E223),0)</f>
        <v/>
      </c>
      <c r="N223" s="2">
        <f>MAX(0,L223-M223)</f>
        <v/>
      </c>
      <c r="O223" s="2">
        <f>K223-N223</f>
        <v/>
      </c>
      <c r="P223" s="2">
        <f>I223-N223</f>
        <v/>
      </c>
      <c r="Q223" s="5">
        <f>IF(G223&gt;기준일,1,0)</f>
        <v/>
      </c>
      <c r="R223" s="5">
        <f>IF(G223&lt;=기준일,1,0)</f>
        <v/>
      </c>
      <c r="S223" s="2">
        <f>J223*H223</f>
        <v/>
      </c>
      <c r="T223" s="5">
        <f>IF(AND(F223&gt;=표본시작,F223&lt;=표본종료),1,0)</f>
        <v/>
      </c>
      <c r="U223" s="5">
        <f>IF(AND(G223&gt;=조회시작,G223&lt;=조회종료),1,0)</f>
        <v/>
      </c>
    </row>
    <row r="224">
      <c r="A224" s="2">
        <f>ROW()-1</f>
        <v/>
      </c>
      <c r="B224" s="5">
        <f>INDEX(상호범위,D224)</f>
        <v/>
      </c>
      <c r="C224" s="5">
        <f>INDEX(플랫폼명범위,E224)</f>
        <v/>
      </c>
      <c r="D224" s="2">
        <f>MOD(INT((A224-1)/4),8)+1</f>
        <v/>
      </c>
      <c r="E224" s="2">
        <f>MOD(A224-1,4)+1</f>
        <v/>
      </c>
      <c r="F224" s="20">
        <f>축시작+INT((A224-1)/32)</f>
        <v/>
      </c>
      <c r="G224" s="20">
        <f>F224+H224</f>
        <v/>
      </c>
      <c r="H224" s="5" t="n">
        <v>4</v>
      </c>
      <c r="I224" s="2">
        <f>ROUND(INDEX(가맹점!$P$2:$P$9,D224)*INDEX(가맹점!$J$2:$M$9,D224,E224),0)</f>
        <v/>
      </c>
      <c r="J224" s="2">
        <f>ROUND(I224*(1-할인율),0)</f>
        <v/>
      </c>
      <c r="K224" s="2">
        <f>ROUNDDOWN(I224*할인율,0)</f>
        <v/>
      </c>
      <c r="L224" s="2">
        <f>ROUND(I224*INDEX(미지급률범위,E224),0)</f>
        <v/>
      </c>
      <c r="M224" s="2">
        <f>ROUND(I224*INDEX(과지급률범위,E224),0)</f>
        <v/>
      </c>
      <c r="N224" s="2">
        <f>MAX(0,L224-M224)</f>
        <v/>
      </c>
      <c r="O224" s="2">
        <f>K224-N224</f>
        <v/>
      </c>
      <c r="P224" s="2">
        <f>I224-N224</f>
        <v/>
      </c>
      <c r="Q224" s="5">
        <f>IF(G224&gt;기준일,1,0)</f>
        <v/>
      </c>
      <c r="R224" s="5">
        <f>IF(G224&lt;=기준일,1,0)</f>
        <v/>
      </c>
      <c r="S224" s="2">
        <f>J224*H224</f>
        <v/>
      </c>
      <c r="T224" s="5">
        <f>IF(AND(F224&gt;=표본시작,F224&lt;=표본종료),1,0)</f>
        <v/>
      </c>
      <c r="U224" s="5">
        <f>IF(AND(G224&gt;=조회시작,G224&lt;=조회종료),1,0)</f>
        <v/>
      </c>
    </row>
    <row r="225">
      <c r="A225" s="2">
        <f>ROW()-1</f>
        <v/>
      </c>
      <c r="B225" s="5">
        <f>INDEX(상호범위,D225)</f>
        <v/>
      </c>
      <c r="C225" s="5">
        <f>INDEX(플랫폼명범위,E225)</f>
        <v/>
      </c>
      <c r="D225" s="2">
        <f>MOD(INT((A225-1)/4),8)+1</f>
        <v/>
      </c>
      <c r="E225" s="2">
        <f>MOD(A225-1,4)+1</f>
        <v/>
      </c>
      <c r="F225" s="20">
        <f>축시작+INT((A225-1)/32)</f>
        <v/>
      </c>
      <c r="G225" s="20">
        <f>F225+H225</f>
        <v/>
      </c>
      <c r="H225" s="5" t="n">
        <v>6</v>
      </c>
      <c r="I225" s="2">
        <f>ROUND(INDEX(가맹점!$P$2:$P$9,D225)*INDEX(가맹점!$J$2:$M$9,D225,E225),0)</f>
        <v/>
      </c>
      <c r="J225" s="2">
        <f>ROUND(I225*(1-할인율),0)</f>
        <v/>
      </c>
      <c r="K225" s="2">
        <f>ROUNDDOWN(I225*할인율,0)</f>
        <v/>
      </c>
      <c r="L225" s="2">
        <f>ROUND(I225*INDEX(미지급률범위,E225),0)</f>
        <v/>
      </c>
      <c r="M225" s="2">
        <f>ROUND(I225*INDEX(과지급률범위,E225),0)</f>
        <v/>
      </c>
      <c r="N225" s="2">
        <f>MAX(0,L225-M225)</f>
        <v/>
      </c>
      <c r="O225" s="2">
        <f>K225-N225</f>
        <v/>
      </c>
      <c r="P225" s="2">
        <f>I225-N225</f>
        <v/>
      </c>
      <c r="Q225" s="5">
        <f>IF(G225&gt;기준일,1,0)</f>
        <v/>
      </c>
      <c r="R225" s="5">
        <f>IF(G225&lt;=기준일,1,0)</f>
        <v/>
      </c>
      <c r="S225" s="2">
        <f>J225*H225</f>
        <v/>
      </c>
      <c r="T225" s="5">
        <f>IF(AND(F225&gt;=표본시작,F225&lt;=표본종료),1,0)</f>
        <v/>
      </c>
      <c r="U225" s="5">
        <f>IF(AND(G225&gt;=조회시작,G225&lt;=조회종료),1,0)</f>
        <v/>
      </c>
    </row>
    <row r="226">
      <c r="A226" s="2">
        <f>ROW()-1</f>
        <v/>
      </c>
      <c r="B226" s="5">
        <f>INDEX(상호범위,D226)</f>
        <v/>
      </c>
      <c r="C226" s="5">
        <f>INDEX(플랫폼명범위,E226)</f>
        <v/>
      </c>
      <c r="D226" s="2">
        <f>MOD(INT((A226-1)/4),8)+1</f>
        <v/>
      </c>
      <c r="E226" s="2">
        <f>MOD(A226-1,4)+1</f>
        <v/>
      </c>
      <c r="F226" s="20">
        <f>축시작+INT((A226-1)/32)</f>
        <v/>
      </c>
      <c r="G226" s="20">
        <f>F226+H226</f>
        <v/>
      </c>
      <c r="H226" s="5" t="n">
        <v>1</v>
      </c>
      <c r="I226" s="2">
        <f>ROUND(INDEX(가맹점!$P$2:$P$9,D226)*INDEX(가맹점!$J$2:$M$9,D226,E226),0)</f>
        <v/>
      </c>
      <c r="J226" s="2">
        <f>ROUND(I226*(1-할인율),0)</f>
        <v/>
      </c>
      <c r="K226" s="2">
        <f>ROUNDDOWN(I226*할인율,0)</f>
        <v/>
      </c>
      <c r="L226" s="2">
        <f>ROUND(I226*INDEX(미지급률범위,E226),0)</f>
        <v/>
      </c>
      <c r="M226" s="2">
        <f>ROUND(I226*INDEX(과지급률범위,E226),0)</f>
        <v/>
      </c>
      <c r="N226" s="2">
        <f>MAX(0,L226-M226)</f>
        <v/>
      </c>
      <c r="O226" s="2">
        <f>K226-N226</f>
        <v/>
      </c>
      <c r="P226" s="2">
        <f>I226-N226</f>
        <v/>
      </c>
      <c r="Q226" s="5">
        <f>IF(G226&gt;기준일,1,0)</f>
        <v/>
      </c>
      <c r="R226" s="5">
        <f>IF(G226&lt;=기준일,1,0)</f>
        <v/>
      </c>
      <c r="S226" s="2">
        <f>J226*H226</f>
        <v/>
      </c>
      <c r="T226" s="5">
        <f>IF(AND(F226&gt;=표본시작,F226&lt;=표본종료),1,0)</f>
        <v/>
      </c>
      <c r="U226" s="5">
        <f>IF(AND(G226&gt;=조회시작,G226&lt;=조회종료),1,0)</f>
        <v/>
      </c>
    </row>
    <row r="227">
      <c r="A227" s="2">
        <f>ROW()-1</f>
        <v/>
      </c>
      <c r="B227" s="5">
        <f>INDEX(상호범위,D227)</f>
        <v/>
      </c>
      <c r="C227" s="5">
        <f>INDEX(플랫폼명범위,E227)</f>
        <v/>
      </c>
      <c r="D227" s="2">
        <f>MOD(INT((A227-1)/4),8)+1</f>
        <v/>
      </c>
      <c r="E227" s="2">
        <f>MOD(A227-1,4)+1</f>
        <v/>
      </c>
      <c r="F227" s="20">
        <f>축시작+INT((A227-1)/32)</f>
        <v/>
      </c>
      <c r="G227" s="20">
        <f>F227+H227</f>
        <v/>
      </c>
      <c r="H227" s="5" t="n">
        <v>2</v>
      </c>
      <c r="I227" s="2">
        <f>ROUND(INDEX(가맹점!$P$2:$P$9,D227)*INDEX(가맹점!$J$2:$M$9,D227,E227),0)</f>
        <v/>
      </c>
      <c r="J227" s="2">
        <f>ROUND(I227*(1-할인율),0)</f>
        <v/>
      </c>
      <c r="K227" s="2">
        <f>ROUNDDOWN(I227*할인율,0)</f>
        <v/>
      </c>
      <c r="L227" s="2">
        <f>ROUND(I227*INDEX(미지급률범위,E227),0)</f>
        <v/>
      </c>
      <c r="M227" s="2">
        <f>ROUND(I227*INDEX(과지급률범위,E227),0)</f>
        <v/>
      </c>
      <c r="N227" s="2">
        <f>MAX(0,L227-M227)</f>
        <v/>
      </c>
      <c r="O227" s="2">
        <f>K227-N227</f>
        <v/>
      </c>
      <c r="P227" s="2">
        <f>I227-N227</f>
        <v/>
      </c>
      <c r="Q227" s="5">
        <f>IF(G227&gt;기준일,1,0)</f>
        <v/>
      </c>
      <c r="R227" s="5">
        <f>IF(G227&lt;=기준일,1,0)</f>
        <v/>
      </c>
      <c r="S227" s="2">
        <f>J227*H227</f>
        <v/>
      </c>
      <c r="T227" s="5">
        <f>IF(AND(F227&gt;=표본시작,F227&lt;=표본종료),1,0)</f>
        <v/>
      </c>
      <c r="U227" s="5">
        <f>IF(AND(G227&gt;=조회시작,G227&lt;=조회종료),1,0)</f>
        <v/>
      </c>
    </row>
    <row r="228">
      <c r="A228" s="2">
        <f>ROW()-1</f>
        <v/>
      </c>
      <c r="B228" s="5">
        <f>INDEX(상호범위,D228)</f>
        <v/>
      </c>
      <c r="C228" s="5">
        <f>INDEX(플랫폼명범위,E228)</f>
        <v/>
      </c>
      <c r="D228" s="2">
        <f>MOD(INT((A228-1)/4),8)+1</f>
        <v/>
      </c>
      <c r="E228" s="2">
        <f>MOD(A228-1,4)+1</f>
        <v/>
      </c>
      <c r="F228" s="20">
        <f>축시작+INT((A228-1)/32)</f>
        <v/>
      </c>
      <c r="G228" s="20">
        <f>F228+H228</f>
        <v/>
      </c>
      <c r="H228" s="5" t="n">
        <v>5</v>
      </c>
      <c r="I228" s="2">
        <f>ROUND(INDEX(가맹점!$P$2:$P$9,D228)*INDEX(가맹점!$J$2:$M$9,D228,E228),0)</f>
        <v/>
      </c>
      <c r="J228" s="2">
        <f>ROUND(I228*(1-할인율),0)</f>
        <v/>
      </c>
      <c r="K228" s="2">
        <f>ROUNDDOWN(I228*할인율,0)</f>
        <v/>
      </c>
      <c r="L228" s="2">
        <f>ROUND(I228*INDEX(미지급률범위,E228),0)</f>
        <v/>
      </c>
      <c r="M228" s="2">
        <f>ROUND(I228*INDEX(과지급률범위,E228),0)</f>
        <v/>
      </c>
      <c r="N228" s="2">
        <f>MAX(0,L228-M228)</f>
        <v/>
      </c>
      <c r="O228" s="2">
        <f>K228-N228</f>
        <v/>
      </c>
      <c r="P228" s="2">
        <f>I228-N228</f>
        <v/>
      </c>
      <c r="Q228" s="5">
        <f>IF(G228&gt;기준일,1,0)</f>
        <v/>
      </c>
      <c r="R228" s="5">
        <f>IF(G228&lt;=기준일,1,0)</f>
        <v/>
      </c>
      <c r="S228" s="2">
        <f>J228*H228</f>
        <v/>
      </c>
      <c r="T228" s="5">
        <f>IF(AND(F228&gt;=표본시작,F228&lt;=표본종료),1,0)</f>
        <v/>
      </c>
      <c r="U228" s="5">
        <f>IF(AND(G228&gt;=조회시작,G228&lt;=조회종료),1,0)</f>
        <v/>
      </c>
    </row>
    <row r="229">
      <c r="A229" s="2">
        <f>ROW()-1</f>
        <v/>
      </c>
      <c r="B229" s="5">
        <f>INDEX(상호범위,D229)</f>
        <v/>
      </c>
      <c r="C229" s="5">
        <f>INDEX(플랫폼명범위,E229)</f>
        <v/>
      </c>
      <c r="D229" s="2">
        <f>MOD(INT((A229-1)/4),8)+1</f>
        <v/>
      </c>
      <c r="E229" s="2">
        <f>MOD(A229-1,4)+1</f>
        <v/>
      </c>
      <c r="F229" s="20">
        <f>축시작+INT((A229-1)/32)</f>
        <v/>
      </c>
      <c r="G229" s="20">
        <f>F229+H229</f>
        <v/>
      </c>
      <c r="H229" s="5" t="n">
        <v>6</v>
      </c>
      <c r="I229" s="2">
        <f>ROUND(INDEX(가맹점!$P$2:$P$9,D229)*INDEX(가맹점!$J$2:$M$9,D229,E229),0)</f>
        <v/>
      </c>
      <c r="J229" s="2">
        <f>ROUND(I229*(1-할인율),0)</f>
        <v/>
      </c>
      <c r="K229" s="2">
        <f>ROUNDDOWN(I229*할인율,0)</f>
        <v/>
      </c>
      <c r="L229" s="2">
        <f>ROUND(I229*INDEX(미지급률범위,E229),0)</f>
        <v/>
      </c>
      <c r="M229" s="2">
        <f>ROUND(I229*INDEX(과지급률범위,E229),0)</f>
        <v/>
      </c>
      <c r="N229" s="2">
        <f>MAX(0,L229-M229)</f>
        <v/>
      </c>
      <c r="O229" s="2">
        <f>K229-N229</f>
        <v/>
      </c>
      <c r="P229" s="2">
        <f>I229-N229</f>
        <v/>
      </c>
      <c r="Q229" s="5">
        <f>IF(G229&gt;기준일,1,0)</f>
        <v/>
      </c>
      <c r="R229" s="5">
        <f>IF(G229&lt;=기준일,1,0)</f>
        <v/>
      </c>
      <c r="S229" s="2">
        <f>J229*H229</f>
        <v/>
      </c>
      <c r="T229" s="5">
        <f>IF(AND(F229&gt;=표본시작,F229&lt;=표본종료),1,0)</f>
        <v/>
      </c>
      <c r="U229" s="5">
        <f>IF(AND(G229&gt;=조회시작,G229&lt;=조회종료),1,0)</f>
        <v/>
      </c>
    </row>
    <row r="230">
      <c r="A230" s="2">
        <f>ROW()-1</f>
        <v/>
      </c>
      <c r="B230" s="5">
        <f>INDEX(상호범위,D230)</f>
        <v/>
      </c>
      <c r="C230" s="5">
        <f>INDEX(플랫폼명범위,E230)</f>
        <v/>
      </c>
      <c r="D230" s="2">
        <f>MOD(INT((A230-1)/4),8)+1</f>
        <v/>
      </c>
      <c r="E230" s="2">
        <f>MOD(A230-1,4)+1</f>
        <v/>
      </c>
      <c r="F230" s="20">
        <f>축시작+INT((A230-1)/32)</f>
        <v/>
      </c>
      <c r="G230" s="20">
        <f>F230+H230</f>
        <v/>
      </c>
      <c r="H230" s="5" t="n">
        <v>1</v>
      </c>
      <c r="I230" s="2">
        <f>ROUND(INDEX(가맹점!$P$2:$P$9,D230)*INDEX(가맹점!$J$2:$M$9,D230,E230),0)</f>
        <v/>
      </c>
      <c r="J230" s="2">
        <f>ROUND(I230*(1-할인율),0)</f>
        <v/>
      </c>
      <c r="K230" s="2">
        <f>ROUNDDOWN(I230*할인율,0)</f>
        <v/>
      </c>
      <c r="L230" s="2">
        <f>ROUND(I230*INDEX(미지급률범위,E230),0)</f>
        <v/>
      </c>
      <c r="M230" s="2">
        <f>ROUND(I230*INDEX(과지급률범위,E230),0)</f>
        <v/>
      </c>
      <c r="N230" s="2">
        <f>MAX(0,L230-M230)</f>
        <v/>
      </c>
      <c r="O230" s="2">
        <f>K230-N230</f>
        <v/>
      </c>
      <c r="P230" s="2">
        <f>I230-N230</f>
        <v/>
      </c>
      <c r="Q230" s="5">
        <f>IF(G230&gt;기준일,1,0)</f>
        <v/>
      </c>
      <c r="R230" s="5">
        <f>IF(G230&lt;=기준일,1,0)</f>
        <v/>
      </c>
      <c r="S230" s="2">
        <f>J230*H230</f>
        <v/>
      </c>
      <c r="T230" s="5">
        <f>IF(AND(F230&gt;=표본시작,F230&lt;=표본종료),1,0)</f>
        <v/>
      </c>
      <c r="U230" s="5">
        <f>IF(AND(G230&gt;=조회시작,G230&lt;=조회종료),1,0)</f>
        <v/>
      </c>
    </row>
    <row r="231">
      <c r="A231" s="2">
        <f>ROW()-1</f>
        <v/>
      </c>
      <c r="B231" s="5">
        <f>INDEX(상호범위,D231)</f>
        <v/>
      </c>
      <c r="C231" s="5">
        <f>INDEX(플랫폼명범위,E231)</f>
        <v/>
      </c>
      <c r="D231" s="2">
        <f>MOD(INT((A231-1)/4),8)+1</f>
        <v/>
      </c>
      <c r="E231" s="2">
        <f>MOD(A231-1,4)+1</f>
        <v/>
      </c>
      <c r="F231" s="20">
        <f>축시작+INT((A231-1)/32)</f>
        <v/>
      </c>
      <c r="G231" s="20">
        <f>F231+H231</f>
        <v/>
      </c>
      <c r="H231" s="5" t="n">
        <v>3</v>
      </c>
      <c r="I231" s="2">
        <f>ROUND(INDEX(가맹점!$P$2:$P$9,D231)*INDEX(가맹점!$J$2:$M$9,D231,E231),0)</f>
        <v/>
      </c>
      <c r="J231" s="2">
        <f>ROUND(I231*(1-할인율),0)</f>
        <v/>
      </c>
      <c r="K231" s="2">
        <f>ROUNDDOWN(I231*할인율,0)</f>
        <v/>
      </c>
      <c r="L231" s="2">
        <f>ROUND(I231*INDEX(미지급률범위,E231),0)</f>
        <v/>
      </c>
      <c r="M231" s="2">
        <f>ROUND(I231*INDEX(과지급률범위,E231),0)</f>
        <v/>
      </c>
      <c r="N231" s="2">
        <f>MAX(0,L231-M231)</f>
        <v/>
      </c>
      <c r="O231" s="2">
        <f>K231-N231</f>
        <v/>
      </c>
      <c r="P231" s="2">
        <f>I231-N231</f>
        <v/>
      </c>
      <c r="Q231" s="5">
        <f>IF(G231&gt;기준일,1,0)</f>
        <v/>
      </c>
      <c r="R231" s="5">
        <f>IF(G231&lt;=기준일,1,0)</f>
        <v/>
      </c>
      <c r="S231" s="2">
        <f>J231*H231</f>
        <v/>
      </c>
      <c r="T231" s="5">
        <f>IF(AND(F231&gt;=표본시작,F231&lt;=표본종료),1,0)</f>
        <v/>
      </c>
      <c r="U231" s="5">
        <f>IF(AND(G231&gt;=조회시작,G231&lt;=조회종료),1,0)</f>
        <v/>
      </c>
    </row>
    <row r="232">
      <c r="A232" s="2">
        <f>ROW()-1</f>
        <v/>
      </c>
      <c r="B232" s="5">
        <f>INDEX(상호범위,D232)</f>
        <v/>
      </c>
      <c r="C232" s="5">
        <f>INDEX(플랫폼명범위,E232)</f>
        <v/>
      </c>
      <c r="D232" s="2">
        <f>MOD(INT((A232-1)/4),8)+1</f>
        <v/>
      </c>
      <c r="E232" s="2">
        <f>MOD(A232-1,4)+1</f>
        <v/>
      </c>
      <c r="F232" s="20">
        <f>축시작+INT((A232-1)/32)</f>
        <v/>
      </c>
      <c r="G232" s="20">
        <f>F232+H232</f>
        <v/>
      </c>
      <c r="H232" s="5" t="n">
        <v>3</v>
      </c>
      <c r="I232" s="2">
        <f>ROUND(INDEX(가맹점!$P$2:$P$9,D232)*INDEX(가맹점!$J$2:$M$9,D232,E232),0)</f>
        <v/>
      </c>
      <c r="J232" s="2">
        <f>ROUND(I232*(1-할인율),0)</f>
        <v/>
      </c>
      <c r="K232" s="2">
        <f>ROUNDDOWN(I232*할인율,0)</f>
        <v/>
      </c>
      <c r="L232" s="2">
        <f>ROUND(I232*INDEX(미지급률범위,E232),0)</f>
        <v/>
      </c>
      <c r="M232" s="2">
        <f>ROUND(I232*INDEX(과지급률범위,E232),0)</f>
        <v/>
      </c>
      <c r="N232" s="2">
        <f>MAX(0,L232-M232)</f>
        <v/>
      </c>
      <c r="O232" s="2">
        <f>K232-N232</f>
        <v/>
      </c>
      <c r="P232" s="2">
        <f>I232-N232</f>
        <v/>
      </c>
      <c r="Q232" s="5">
        <f>IF(G232&gt;기준일,1,0)</f>
        <v/>
      </c>
      <c r="R232" s="5">
        <f>IF(G232&lt;=기준일,1,0)</f>
        <v/>
      </c>
      <c r="S232" s="2">
        <f>J232*H232</f>
        <v/>
      </c>
      <c r="T232" s="5">
        <f>IF(AND(F232&gt;=표본시작,F232&lt;=표본종료),1,0)</f>
        <v/>
      </c>
      <c r="U232" s="5">
        <f>IF(AND(G232&gt;=조회시작,G232&lt;=조회종료),1,0)</f>
        <v/>
      </c>
    </row>
    <row r="233">
      <c r="A233" s="2">
        <f>ROW()-1</f>
        <v/>
      </c>
      <c r="B233" s="5">
        <f>INDEX(상호범위,D233)</f>
        <v/>
      </c>
      <c r="C233" s="5">
        <f>INDEX(플랫폼명범위,E233)</f>
        <v/>
      </c>
      <c r="D233" s="2">
        <f>MOD(INT((A233-1)/4),8)+1</f>
        <v/>
      </c>
      <c r="E233" s="2">
        <f>MOD(A233-1,4)+1</f>
        <v/>
      </c>
      <c r="F233" s="20">
        <f>축시작+INT((A233-1)/32)</f>
        <v/>
      </c>
      <c r="G233" s="20">
        <f>F233+H233</f>
        <v/>
      </c>
      <c r="H233" s="5" t="n">
        <v>6</v>
      </c>
      <c r="I233" s="2">
        <f>ROUND(INDEX(가맹점!$P$2:$P$9,D233)*INDEX(가맹점!$J$2:$M$9,D233,E233),0)</f>
        <v/>
      </c>
      <c r="J233" s="2">
        <f>ROUND(I233*(1-할인율),0)</f>
        <v/>
      </c>
      <c r="K233" s="2">
        <f>ROUNDDOWN(I233*할인율,0)</f>
        <v/>
      </c>
      <c r="L233" s="2">
        <f>ROUND(I233*INDEX(미지급률범위,E233),0)</f>
        <v/>
      </c>
      <c r="M233" s="2">
        <f>ROUND(I233*INDEX(과지급률범위,E233),0)</f>
        <v/>
      </c>
      <c r="N233" s="2">
        <f>MAX(0,L233-M233)</f>
        <v/>
      </c>
      <c r="O233" s="2">
        <f>K233-N233</f>
        <v/>
      </c>
      <c r="P233" s="2">
        <f>I233-N233</f>
        <v/>
      </c>
      <c r="Q233" s="5">
        <f>IF(G233&gt;기준일,1,0)</f>
        <v/>
      </c>
      <c r="R233" s="5">
        <f>IF(G233&lt;=기준일,1,0)</f>
        <v/>
      </c>
      <c r="S233" s="2">
        <f>J233*H233</f>
        <v/>
      </c>
      <c r="T233" s="5">
        <f>IF(AND(F233&gt;=표본시작,F233&lt;=표본종료),1,0)</f>
        <v/>
      </c>
      <c r="U233" s="5">
        <f>IF(AND(G233&gt;=조회시작,G233&lt;=조회종료),1,0)</f>
        <v/>
      </c>
    </row>
    <row r="234">
      <c r="A234" s="2">
        <f>ROW()-1</f>
        <v/>
      </c>
      <c r="B234" s="5">
        <f>INDEX(상호범위,D234)</f>
        <v/>
      </c>
      <c r="C234" s="5">
        <f>INDEX(플랫폼명범위,E234)</f>
        <v/>
      </c>
      <c r="D234" s="2">
        <f>MOD(INT((A234-1)/4),8)+1</f>
        <v/>
      </c>
      <c r="E234" s="2">
        <f>MOD(A234-1,4)+1</f>
        <v/>
      </c>
      <c r="F234" s="20">
        <f>축시작+INT((A234-1)/32)</f>
        <v/>
      </c>
      <c r="G234" s="20">
        <f>F234+H234</f>
        <v/>
      </c>
      <c r="H234" s="5" t="n">
        <v>3</v>
      </c>
      <c r="I234" s="2">
        <f>ROUND(INDEX(가맹점!$P$2:$P$9,D234)*INDEX(가맹점!$J$2:$M$9,D234,E234),0)</f>
        <v/>
      </c>
      <c r="J234" s="2">
        <f>ROUND(I234*(1-할인율),0)</f>
        <v/>
      </c>
      <c r="K234" s="2">
        <f>ROUNDDOWN(I234*할인율,0)</f>
        <v/>
      </c>
      <c r="L234" s="2">
        <f>ROUND(I234*INDEX(미지급률범위,E234),0)</f>
        <v/>
      </c>
      <c r="M234" s="2">
        <f>ROUND(I234*INDEX(과지급률범위,E234),0)</f>
        <v/>
      </c>
      <c r="N234" s="2">
        <f>MAX(0,L234-M234)</f>
        <v/>
      </c>
      <c r="O234" s="2">
        <f>K234-N234</f>
        <v/>
      </c>
      <c r="P234" s="2">
        <f>I234-N234</f>
        <v/>
      </c>
      <c r="Q234" s="5">
        <f>IF(G234&gt;기준일,1,0)</f>
        <v/>
      </c>
      <c r="R234" s="5">
        <f>IF(G234&lt;=기준일,1,0)</f>
        <v/>
      </c>
      <c r="S234" s="2">
        <f>J234*H234</f>
        <v/>
      </c>
      <c r="T234" s="5">
        <f>IF(AND(F234&gt;=표본시작,F234&lt;=표본종료),1,0)</f>
        <v/>
      </c>
      <c r="U234" s="5">
        <f>IF(AND(G234&gt;=조회시작,G234&lt;=조회종료),1,0)</f>
        <v/>
      </c>
    </row>
    <row r="235">
      <c r="A235" s="2">
        <f>ROW()-1</f>
        <v/>
      </c>
      <c r="B235" s="5">
        <f>INDEX(상호범위,D235)</f>
        <v/>
      </c>
      <c r="C235" s="5">
        <f>INDEX(플랫폼명범위,E235)</f>
        <v/>
      </c>
      <c r="D235" s="2">
        <f>MOD(INT((A235-1)/4),8)+1</f>
        <v/>
      </c>
      <c r="E235" s="2">
        <f>MOD(A235-1,4)+1</f>
        <v/>
      </c>
      <c r="F235" s="20">
        <f>축시작+INT((A235-1)/32)</f>
        <v/>
      </c>
      <c r="G235" s="20">
        <f>F235+H235</f>
        <v/>
      </c>
      <c r="H235" s="5" t="n">
        <v>4</v>
      </c>
      <c r="I235" s="2">
        <f>ROUND(INDEX(가맹점!$P$2:$P$9,D235)*INDEX(가맹점!$J$2:$M$9,D235,E235),0)</f>
        <v/>
      </c>
      <c r="J235" s="2">
        <f>ROUND(I235*(1-할인율),0)</f>
        <v/>
      </c>
      <c r="K235" s="2">
        <f>ROUNDDOWN(I235*할인율,0)</f>
        <v/>
      </c>
      <c r="L235" s="2">
        <f>ROUND(I235*INDEX(미지급률범위,E235),0)</f>
        <v/>
      </c>
      <c r="M235" s="2">
        <f>ROUND(I235*INDEX(과지급률범위,E235),0)</f>
        <v/>
      </c>
      <c r="N235" s="2">
        <f>MAX(0,L235-M235)</f>
        <v/>
      </c>
      <c r="O235" s="2">
        <f>K235-N235</f>
        <v/>
      </c>
      <c r="P235" s="2">
        <f>I235-N235</f>
        <v/>
      </c>
      <c r="Q235" s="5">
        <f>IF(G235&gt;기준일,1,0)</f>
        <v/>
      </c>
      <c r="R235" s="5">
        <f>IF(G235&lt;=기준일,1,0)</f>
        <v/>
      </c>
      <c r="S235" s="2">
        <f>J235*H235</f>
        <v/>
      </c>
      <c r="T235" s="5">
        <f>IF(AND(F235&gt;=표본시작,F235&lt;=표본종료),1,0)</f>
        <v/>
      </c>
      <c r="U235" s="5">
        <f>IF(AND(G235&gt;=조회시작,G235&lt;=조회종료),1,0)</f>
        <v/>
      </c>
    </row>
    <row r="236">
      <c r="A236" s="2">
        <f>ROW()-1</f>
        <v/>
      </c>
      <c r="B236" s="5">
        <f>INDEX(상호범위,D236)</f>
        <v/>
      </c>
      <c r="C236" s="5">
        <f>INDEX(플랫폼명범위,E236)</f>
        <v/>
      </c>
      <c r="D236" s="2">
        <f>MOD(INT((A236-1)/4),8)+1</f>
        <v/>
      </c>
      <c r="E236" s="2">
        <f>MOD(A236-1,4)+1</f>
        <v/>
      </c>
      <c r="F236" s="20">
        <f>축시작+INT((A236-1)/32)</f>
        <v/>
      </c>
      <c r="G236" s="20">
        <f>F236+H236</f>
        <v/>
      </c>
      <c r="H236" s="5" t="n">
        <v>3</v>
      </c>
      <c r="I236" s="2">
        <f>ROUND(INDEX(가맹점!$P$2:$P$9,D236)*INDEX(가맹점!$J$2:$M$9,D236,E236),0)</f>
        <v/>
      </c>
      <c r="J236" s="2">
        <f>ROUND(I236*(1-할인율),0)</f>
        <v/>
      </c>
      <c r="K236" s="2">
        <f>ROUNDDOWN(I236*할인율,0)</f>
        <v/>
      </c>
      <c r="L236" s="2">
        <f>ROUND(I236*INDEX(미지급률범위,E236),0)</f>
        <v/>
      </c>
      <c r="M236" s="2">
        <f>ROUND(I236*INDEX(과지급률범위,E236),0)</f>
        <v/>
      </c>
      <c r="N236" s="2">
        <f>MAX(0,L236-M236)</f>
        <v/>
      </c>
      <c r="O236" s="2">
        <f>K236-N236</f>
        <v/>
      </c>
      <c r="P236" s="2">
        <f>I236-N236</f>
        <v/>
      </c>
      <c r="Q236" s="5">
        <f>IF(G236&gt;기준일,1,0)</f>
        <v/>
      </c>
      <c r="R236" s="5">
        <f>IF(G236&lt;=기준일,1,0)</f>
        <v/>
      </c>
      <c r="S236" s="2">
        <f>J236*H236</f>
        <v/>
      </c>
      <c r="T236" s="5">
        <f>IF(AND(F236&gt;=표본시작,F236&lt;=표본종료),1,0)</f>
        <v/>
      </c>
      <c r="U236" s="5">
        <f>IF(AND(G236&gt;=조회시작,G236&lt;=조회종료),1,0)</f>
        <v/>
      </c>
    </row>
    <row r="237">
      <c r="A237" s="2">
        <f>ROW()-1</f>
        <v/>
      </c>
      <c r="B237" s="5">
        <f>INDEX(상호범위,D237)</f>
        <v/>
      </c>
      <c r="C237" s="5">
        <f>INDEX(플랫폼명범위,E237)</f>
        <v/>
      </c>
      <c r="D237" s="2">
        <f>MOD(INT((A237-1)/4),8)+1</f>
        <v/>
      </c>
      <c r="E237" s="2">
        <f>MOD(A237-1,4)+1</f>
        <v/>
      </c>
      <c r="F237" s="20">
        <f>축시작+INT((A237-1)/32)</f>
        <v/>
      </c>
      <c r="G237" s="20">
        <f>F237+H237</f>
        <v/>
      </c>
      <c r="H237" s="5" t="n">
        <v>6</v>
      </c>
      <c r="I237" s="2">
        <f>ROUND(INDEX(가맹점!$P$2:$P$9,D237)*INDEX(가맹점!$J$2:$M$9,D237,E237),0)</f>
        <v/>
      </c>
      <c r="J237" s="2">
        <f>ROUND(I237*(1-할인율),0)</f>
        <v/>
      </c>
      <c r="K237" s="2">
        <f>ROUNDDOWN(I237*할인율,0)</f>
        <v/>
      </c>
      <c r="L237" s="2">
        <f>ROUND(I237*INDEX(미지급률범위,E237),0)</f>
        <v/>
      </c>
      <c r="M237" s="2">
        <f>ROUND(I237*INDEX(과지급률범위,E237),0)</f>
        <v/>
      </c>
      <c r="N237" s="2">
        <f>MAX(0,L237-M237)</f>
        <v/>
      </c>
      <c r="O237" s="2">
        <f>K237-N237</f>
        <v/>
      </c>
      <c r="P237" s="2">
        <f>I237-N237</f>
        <v/>
      </c>
      <c r="Q237" s="5">
        <f>IF(G237&gt;기준일,1,0)</f>
        <v/>
      </c>
      <c r="R237" s="5">
        <f>IF(G237&lt;=기준일,1,0)</f>
        <v/>
      </c>
      <c r="S237" s="2">
        <f>J237*H237</f>
        <v/>
      </c>
      <c r="T237" s="5">
        <f>IF(AND(F237&gt;=표본시작,F237&lt;=표본종료),1,0)</f>
        <v/>
      </c>
      <c r="U237" s="5">
        <f>IF(AND(G237&gt;=조회시작,G237&lt;=조회종료),1,0)</f>
        <v/>
      </c>
    </row>
    <row r="238">
      <c r="A238" s="2">
        <f>ROW()-1</f>
        <v/>
      </c>
      <c r="B238" s="5">
        <f>INDEX(상호범위,D238)</f>
        <v/>
      </c>
      <c r="C238" s="5">
        <f>INDEX(플랫폼명범위,E238)</f>
        <v/>
      </c>
      <c r="D238" s="2">
        <f>MOD(INT((A238-1)/4),8)+1</f>
        <v/>
      </c>
      <c r="E238" s="2">
        <f>MOD(A238-1,4)+1</f>
        <v/>
      </c>
      <c r="F238" s="20">
        <f>축시작+INT((A238-1)/32)</f>
        <v/>
      </c>
      <c r="G238" s="20">
        <f>F238+H238</f>
        <v/>
      </c>
      <c r="H238" s="5" t="n">
        <v>5</v>
      </c>
      <c r="I238" s="2">
        <f>ROUND(INDEX(가맹점!$P$2:$P$9,D238)*INDEX(가맹점!$J$2:$M$9,D238,E238),0)</f>
        <v/>
      </c>
      <c r="J238" s="2">
        <f>ROUND(I238*(1-할인율),0)</f>
        <v/>
      </c>
      <c r="K238" s="2">
        <f>ROUNDDOWN(I238*할인율,0)</f>
        <v/>
      </c>
      <c r="L238" s="2">
        <f>ROUND(I238*INDEX(미지급률범위,E238),0)</f>
        <v/>
      </c>
      <c r="M238" s="2">
        <f>ROUND(I238*INDEX(과지급률범위,E238),0)</f>
        <v/>
      </c>
      <c r="N238" s="2">
        <f>MAX(0,L238-M238)</f>
        <v/>
      </c>
      <c r="O238" s="2">
        <f>K238-N238</f>
        <v/>
      </c>
      <c r="P238" s="2">
        <f>I238-N238</f>
        <v/>
      </c>
      <c r="Q238" s="5">
        <f>IF(G238&gt;기준일,1,0)</f>
        <v/>
      </c>
      <c r="R238" s="5">
        <f>IF(G238&lt;=기준일,1,0)</f>
        <v/>
      </c>
      <c r="S238" s="2">
        <f>J238*H238</f>
        <v/>
      </c>
      <c r="T238" s="5">
        <f>IF(AND(F238&gt;=표본시작,F238&lt;=표본종료),1,0)</f>
        <v/>
      </c>
      <c r="U238" s="5">
        <f>IF(AND(G238&gt;=조회시작,G238&lt;=조회종료),1,0)</f>
        <v/>
      </c>
    </row>
    <row r="239">
      <c r="A239" s="2">
        <f>ROW()-1</f>
        <v/>
      </c>
      <c r="B239" s="5">
        <f>INDEX(상호범위,D239)</f>
        <v/>
      </c>
      <c r="C239" s="5">
        <f>INDEX(플랫폼명범위,E239)</f>
        <v/>
      </c>
      <c r="D239" s="2">
        <f>MOD(INT((A239-1)/4),8)+1</f>
        <v/>
      </c>
      <c r="E239" s="2">
        <f>MOD(A239-1,4)+1</f>
        <v/>
      </c>
      <c r="F239" s="20">
        <f>축시작+INT((A239-1)/32)</f>
        <v/>
      </c>
      <c r="G239" s="20">
        <f>F239+H239</f>
        <v/>
      </c>
      <c r="H239" s="5" t="n">
        <v>5</v>
      </c>
      <c r="I239" s="2">
        <f>ROUND(INDEX(가맹점!$P$2:$P$9,D239)*INDEX(가맹점!$J$2:$M$9,D239,E239),0)</f>
        <v/>
      </c>
      <c r="J239" s="2">
        <f>ROUND(I239*(1-할인율),0)</f>
        <v/>
      </c>
      <c r="K239" s="2">
        <f>ROUNDDOWN(I239*할인율,0)</f>
        <v/>
      </c>
      <c r="L239" s="2">
        <f>ROUND(I239*INDEX(미지급률범위,E239),0)</f>
        <v/>
      </c>
      <c r="M239" s="2">
        <f>ROUND(I239*INDEX(과지급률범위,E239),0)</f>
        <v/>
      </c>
      <c r="N239" s="2">
        <f>MAX(0,L239-M239)</f>
        <v/>
      </c>
      <c r="O239" s="2">
        <f>K239-N239</f>
        <v/>
      </c>
      <c r="P239" s="2">
        <f>I239-N239</f>
        <v/>
      </c>
      <c r="Q239" s="5">
        <f>IF(G239&gt;기준일,1,0)</f>
        <v/>
      </c>
      <c r="R239" s="5">
        <f>IF(G239&lt;=기준일,1,0)</f>
        <v/>
      </c>
      <c r="S239" s="2">
        <f>J239*H239</f>
        <v/>
      </c>
      <c r="T239" s="5">
        <f>IF(AND(F239&gt;=표본시작,F239&lt;=표본종료),1,0)</f>
        <v/>
      </c>
      <c r="U239" s="5">
        <f>IF(AND(G239&gt;=조회시작,G239&lt;=조회종료),1,0)</f>
        <v/>
      </c>
    </row>
    <row r="240">
      <c r="A240" s="2">
        <f>ROW()-1</f>
        <v/>
      </c>
      <c r="B240" s="5">
        <f>INDEX(상호범위,D240)</f>
        <v/>
      </c>
      <c r="C240" s="5">
        <f>INDEX(플랫폼명범위,E240)</f>
        <v/>
      </c>
      <c r="D240" s="2">
        <f>MOD(INT((A240-1)/4),8)+1</f>
        <v/>
      </c>
      <c r="E240" s="2">
        <f>MOD(A240-1,4)+1</f>
        <v/>
      </c>
      <c r="F240" s="20">
        <f>축시작+INT((A240-1)/32)</f>
        <v/>
      </c>
      <c r="G240" s="20">
        <f>F240+H240</f>
        <v/>
      </c>
      <c r="H240" s="5" t="n">
        <v>5</v>
      </c>
      <c r="I240" s="2">
        <f>ROUND(INDEX(가맹점!$P$2:$P$9,D240)*INDEX(가맹점!$J$2:$M$9,D240,E240),0)</f>
        <v/>
      </c>
      <c r="J240" s="2">
        <f>ROUND(I240*(1-할인율),0)</f>
        <v/>
      </c>
      <c r="K240" s="2">
        <f>ROUNDDOWN(I240*할인율,0)</f>
        <v/>
      </c>
      <c r="L240" s="2">
        <f>ROUND(I240*INDEX(미지급률범위,E240),0)</f>
        <v/>
      </c>
      <c r="M240" s="2">
        <f>ROUND(I240*INDEX(과지급률범위,E240),0)</f>
        <v/>
      </c>
      <c r="N240" s="2">
        <f>MAX(0,L240-M240)</f>
        <v/>
      </c>
      <c r="O240" s="2">
        <f>K240-N240</f>
        <v/>
      </c>
      <c r="P240" s="2">
        <f>I240-N240</f>
        <v/>
      </c>
      <c r="Q240" s="5">
        <f>IF(G240&gt;기준일,1,0)</f>
        <v/>
      </c>
      <c r="R240" s="5">
        <f>IF(G240&lt;=기준일,1,0)</f>
        <v/>
      </c>
      <c r="S240" s="2">
        <f>J240*H240</f>
        <v/>
      </c>
      <c r="T240" s="5">
        <f>IF(AND(F240&gt;=표본시작,F240&lt;=표본종료),1,0)</f>
        <v/>
      </c>
      <c r="U240" s="5">
        <f>IF(AND(G240&gt;=조회시작,G240&lt;=조회종료),1,0)</f>
        <v/>
      </c>
    </row>
    <row r="241">
      <c r="A241" s="2">
        <f>ROW()-1</f>
        <v/>
      </c>
      <c r="B241" s="5">
        <f>INDEX(상호범위,D241)</f>
        <v/>
      </c>
      <c r="C241" s="5">
        <f>INDEX(플랫폼명범위,E241)</f>
        <v/>
      </c>
      <c r="D241" s="2">
        <f>MOD(INT((A241-1)/4),8)+1</f>
        <v/>
      </c>
      <c r="E241" s="2">
        <f>MOD(A241-1,4)+1</f>
        <v/>
      </c>
      <c r="F241" s="20">
        <f>축시작+INT((A241-1)/32)</f>
        <v/>
      </c>
      <c r="G241" s="20">
        <f>F241+H241</f>
        <v/>
      </c>
      <c r="H241" s="5" t="n">
        <v>6</v>
      </c>
      <c r="I241" s="2">
        <f>ROUND(INDEX(가맹점!$P$2:$P$9,D241)*INDEX(가맹점!$J$2:$M$9,D241,E241),0)</f>
        <v/>
      </c>
      <c r="J241" s="2">
        <f>ROUND(I241*(1-할인율),0)</f>
        <v/>
      </c>
      <c r="K241" s="2">
        <f>ROUNDDOWN(I241*할인율,0)</f>
        <v/>
      </c>
      <c r="L241" s="2">
        <f>ROUND(I241*INDEX(미지급률범위,E241),0)</f>
        <v/>
      </c>
      <c r="M241" s="2">
        <f>ROUND(I241*INDEX(과지급률범위,E241),0)</f>
        <v/>
      </c>
      <c r="N241" s="2">
        <f>MAX(0,L241-M241)</f>
        <v/>
      </c>
      <c r="O241" s="2">
        <f>K241-N241</f>
        <v/>
      </c>
      <c r="P241" s="2">
        <f>I241-N241</f>
        <v/>
      </c>
      <c r="Q241" s="5">
        <f>IF(G241&gt;기준일,1,0)</f>
        <v/>
      </c>
      <c r="R241" s="5">
        <f>IF(G241&lt;=기준일,1,0)</f>
        <v/>
      </c>
      <c r="S241" s="2">
        <f>J241*H241</f>
        <v/>
      </c>
      <c r="T241" s="5">
        <f>IF(AND(F241&gt;=표본시작,F241&lt;=표본종료),1,0)</f>
        <v/>
      </c>
      <c r="U241" s="5">
        <f>IF(AND(G241&gt;=조회시작,G241&lt;=조회종료),1,0)</f>
        <v/>
      </c>
    </row>
    <row r="242">
      <c r="A242" s="2">
        <f>ROW()-1</f>
        <v/>
      </c>
      <c r="B242" s="5">
        <f>INDEX(상호범위,D242)</f>
        <v/>
      </c>
      <c r="C242" s="5">
        <f>INDEX(플랫폼명범위,E242)</f>
        <v/>
      </c>
      <c r="D242" s="2">
        <f>MOD(INT((A242-1)/4),8)+1</f>
        <v/>
      </c>
      <c r="E242" s="2">
        <f>MOD(A242-1,4)+1</f>
        <v/>
      </c>
      <c r="F242" s="20">
        <f>축시작+INT((A242-1)/32)</f>
        <v/>
      </c>
      <c r="G242" s="20">
        <f>F242+H242</f>
        <v/>
      </c>
      <c r="H242" s="5" t="n">
        <v>1</v>
      </c>
      <c r="I242" s="2">
        <f>ROUND(INDEX(가맹점!$P$2:$P$9,D242)*INDEX(가맹점!$J$2:$M$9,D242,E242),0)</f>
        <v/>
      </c>
      <c r="J242" s="2">
        <f>ROUND(I242*(1-할인율),0)</f>
        <v/>
      </c>
      <c r="K242" s="2">
        <f>ROUNDDOWN(I242*할인율,0)</f>
        <v/>
      </c>
      <c r="L242" s="2">
        <f>ROUND(I242*INDEX(미지급률범위,E242),0)</f>
        <v/>
      </c>
      <c r="M242" s="2">
        <f>ROUND(I242*INDEX(과지급률범위,E242),0)</f>
        <v/>
      </c>
      <c r="N242" s="2">
        <f>MAX(0,L242-M242)</f>
        <v/>
      </c>
      <c r="O242" s="2">
        <f>K242-N242</f>
        <v/>
      </c>
      <c r="P242" s="2">
        <f>I242-N242</f>
        <v/>
      </c>
      <c r="Q242" s="5">
        <f>IF(G242&gt;기준일,1,0)</f>
        <v/>
      </c>
      <c r="R242" s="5">
        <f>IF(G242&lt;=기준일,1,0)</f>
        <v/>
      </c>
      <c r="S242" s="2">
        <f>J242*H242</f>
        <v/>
      </c>
      <c r="T242" s="5">
        <f>IF(AND(F242&gt;=표본시작,F242&lt;=표본종료),1,0)</f>
        <v/>
      </c>
      <c r="U242" s="5">
        <f>IF(AND(G242&gt;=조회시작,G242&lt;=조회종료),1,0)</f>
        <v/>
      </c>
    </row>
    <row r="243">
      <c r="A243" s="2">
        <f>ROW()-1</f>
        <v/>
      </c>
      <c r="B243" s="5">
        <f>INDEX(상호범위,D243)</f>
        <v/>
      </c>
      <c r="C243" s="5">
        <f>INDEX(플랫폼명범위,E243)</f>
        <v/>
      </c>
      <c r="D243" s="2">
        <f>MOD(INT((A243-1)/4),8)+1</f>
        <v/>
      </c>
      <c r="E243" s="2">
        <f>MOD(A243-1,4)+1</f>
        <v/>
      </c>
      <c r="F243" s="20">
        <f>축시작+INT((A243-1)/32)</f>
        <v/>
      </c>
      <c r="G243" s="20">
        <f>F243+H243</f>
        <v/>
      </c>
      <c r="H243" s="5" t="n">
        <v>4</v>
      </c>
      <c r="I243" s="2">
        <f>ROUND(INDEX(가맹점!$P$2:$P$9,D243)*INDEX(가맹점!$J$2:$M$9,D243,E243),0)</f>
        <v/>
      </c>
      <c r="J243" s="2">
        <f>ROUND(I243*(1-할인율),0)</f>
        <v/>
      </c>
      <c r="K243" s="2">
        <f>ROUNDDOWN(I243*할인율,0)</f>
        <v/>
      </c>
      <c r="L243" s="2">
        <f>ROUND(I243*INDEX(미지급률범위,E243),0)</f>
        <v/>
      </c>
      <c r="M243" s="2">
        <f>ROUND(I243*INDEX(과지급률범위,E243),0)</f>
        <v/>
      </c>
      <c r="N243" s="2">
        <f>MAX(0,L243-M243)</f>
        <v/>
      </c>
      <c r="O243" s="2">
        <f>K243-N243</f>
        <v/>
      </c>
      <c r="P243" s="2">
        <f>I243-N243</f>
        <v/>
      </c>
      <c r="Q243" s="5">
        <f>IF(G243&gt;기준일,1,0)</f>
        <v/>
      </c>
      <c r="R243" s="5">
        <f>IF(G243&lt;=기준일,1,0)</f>
        <v/>
      </c>
      <c r="S243" s="2">
        <f>J243*H243</f>
        <v/>
      </c>
      <c r="T243" s="5">
        <f>IF(AND(F243&gt;=표본시작,F243&lt;=표본종료),1,0)</f>
        <v/>
      </c>
      <c r="U243" s="5">
        <f>IF(AND(G243&gt;=조회시작,G243&lt;=조회종료),1,0)</f>
        <v/>
      </c>
    </row>
    <row r="244">
      <c r="A244" s="2">
        <f>ROW()-1</f>
        <v/>
      </c>
      <c r="B244" s="5">
        <f>INDEX(상호범위,D244)</f>
        <v/>
      </c>
      <c r="C244" s="5">
        <f>INDEX(플랫폼명범위,E244)</f>
        <v/>
      </c>
      <c r="D244" s="2">
        <f>MOD(INT((A244-1)/4),8)+1</f>
        <v/>
      </c>
      <c r="E244" s="2">
        <f>MOD(A244-1,4)+1</f>
        <v/>
      </c>
      <c r="F244" s="20">
        <f>축시작+INT((A244-1)/32)</f>
        <v/>
      </c>
      <c r="G244" s="20">
        <f>F244+H244</f>
        <v/>
      </c>
      <c r="H244" s="5" t="n">
        <v>3</v>
      </c>
      <c r="I244" s="2">
        <f>ROUND(INDEX(가맹점!$P$2:$P$9,D244)*INDEX(가맹점!$J$2:$M$9,D244,E244),0)</f>
        <v/>
      </c>
      <c r="J244" s="2">
        <f>ROUND(I244*(1-할인율),0)</f>
        <v/>
      </c>
      <c r="K244" s="2">
        <f>ROUNDDOWN(I244*할인율,0)</f>
        <v/>
      </c>
      <c r="L244" s="2">
        <f>ROUND(I244*INDEX(미지급률범위,E244),0)</f>
        <v/>
      </c>
      <c r="M244" s="2">
        <f>ROUND(I244*INDEX(과지급률범위,E244),0)</f>
        <v/>
      </c>
      <c r="N244" s="2">
        <f>MAX(0,L244-M244)</f>
        <v/>
      </c>
      <c r="O244" s="2">
        <f>K244-N244</f>
        <v/>
      </c>
      <c r="P244" s="2">
        <f>I244-N244</f>
        <v/>
      </c>
      <c r="Q244" s="5">
        <f>IF(G244&gt;기준일,1,0)</f>
        <v/>
      </c>
      <c r="R244" s="5">
        <f>IF(G244&lt;=기준일,1,0)</f>
        <v/>
      </c>
      <c r="S244" s="2">
        <f>J244*H244</f>
        <v/>
      </c>
      <c r="T244" s="5">
        <f>IF(AND(F244&gt;=표본시작,F244&lt;=표본종료),1,0)</f>
        <v/>
      </c>
      <c r="U244" s="5">
        <f>IF(AND(G244&gt;=조회시작,G244&lt;=조회종료),1,0)</f>
        <v/>
      </c>
    </row>
    <row r="245">
      <c r="A245" s="2">
        <f>ROW()-1</f>
        <v/>
      </c>
      <c r="B245" s="5">
        <f>INDEX(상호범위,D245)</f>
        <v/>
      </c>
      <c r="C245" s="5">
        <f>INDEX(플랫폼명범위,E245)</f>
        <v/>
      </c>
      <c r="D245" s="2">
        <f>MOD(INT((A245-1)/4),8)+1</f>
        <v/>
      </c>
      <c r="E245" s="2">
        <f>MOD(A245-1,4)+1</f>
        <v/>
      </c>
      <c r="F245" s="20">
        <f>축시작+INT((A245-1)/32)</f>
        <v/>
      </c>
      <c r="G245" s="20">
        <f>F245+H245</f>
        <v/>
      </c>
      <c r="H245" s="5" t="n">
        <v>4</v>
      </c>
      <c r="I245" s="2">
        <f>ROUND(INDEX(가맹점!$P$2:$P$9,D245)*INDEX(가맹점!$J$2:$M$9,D245,E245),0)</f>
        <v/>
      </c>
      <c r="J245" s="2">
        <f>ROUND(I245*(1-할인율),0)</f>
        <v/>
      </c>
      <c r="K245" s="2">
        <f>ROUNDDOWN(I245*할인율,0)</f>
        <v/>
      </c>
      <c r="L245" s="2">
        <f>ROUND(I245*INDEX(미지급률범위,E245),0)</f>
        <v/>
      </c>
      <c r="M245" s="2">
        <f>ROUND(I245*INDEX(과지급률범위,E245),0)</f>
        <v/>
      </c>
      <c r="N245" s="2">
        <f>MAX(0,L245-M245)</f>
        <v/>
      </c>
      <c r="O245" s="2">
        <f>K245-N245</f>
        <v/>
      </c>
      <c r="P245" s="2">
        <f>I245-N245</f>
        <v/>
      </c>
      <c r="Q245" s="5">
        <f>IF(G245&gt;기준일,1,0)</f>
        <v/>
      </c>
      <c r="R245" s="5">
        <f>IF(G245&lt;=기준일,1,0)</f>
        <v/>
      </c>
      <c r="S245" s="2">
        <f>J245*H245</f>
        <v/>
      </c>
      <c r="T245" s="5">
        <f>IF(AND(F245&gt;=표본시작,F245&lt;=표본종료),1,0)</f>
        <v/>
      </c>
      <c r="U245" s="5">
        <f>IF(AND(G245&gt;=조회시작,G245&lt;=조회종료),1,0)</f>
        <v/>
      </c>
    </row>
    <row r="246">
      <c r="A246" s="2">
        <f>ROW()-1</f>
        <v/>
      </c>
      <c r="B246" s="5">
        <f>INDEX(상호범위,D246)</f>
        <v/>
      </c>
      <c r="C246" s="5">
        <f>INDEX(플랫폼명범위,E246)</f>
        <v/>
      </c>
      <c r="D246" s="2">
        <f>MOD(INT((A246-1)/4),8)+1</f>
        <v/>
      </c>
      <c r="E246" s="2">
        <f>MOD(A246-1,4)+1</f>
        <v/>
      </c>
      <c r="F246" s="20">
        <f>축시작+INT((A246-1)/32)</f>
        <v/>
      </c>
      <c r="G246" s="20">
        <f>F246+H246</f>
        <v/>
      </c>
      <c r="H246" s="5" t="n">
        <v>1</v>
      </c>
      <c r="I246" s="2">
        <f>ROUND(INDEX(가맹점!$P$2:$P$9,D246)*INDEX(가맹점!$J$2:$M$9,D246,E246),0)</f>
        <v/>
      </c>
      <c r="J246" s="2">
        <f>ROUND(I246*(1-할인율),0)</f>
        <v/>
      </c>
      <c r="K246" s="2">
        <f>ROUNDDOWN(I246*할인율,0)</f>
        <v/>
      </c>
      <c r="L246" s="2">
        <f>ROUND(I246*INDEX(미지급률범위,E246),0)</f>
        <v/>
      </c>
      <c r="M246" s="2">
        <f>ROUND(I246*INDEX(과지급률범위,E246),0)</f>
        <v/>
      </c>
      <c r="N246" s="2">
        <f>MAX(0,L246-M246)</f>
        <v/>
      </c>
      <c r="O246" s="2">
        <f>K246-N246</f>
        <v/>
      </c>
      <c r="P246" s="2">
        <f>I246-N246</f>
        <v/>
      </c>
      <c r="Q246" s="5">
        <f>IF(G246&gt;기준일,1,0)</f>
        <v/>
      </c>
      <c r="R246" s="5">
        <f>IF(G246&lt;=기준일,1,0)</f>
        <v/>
      </c>
      <c r="S246" s="2">
        <f>J246*H246</f>
        <v/>
      </c>
      <c r="T246" s="5">
        <f>IF(AND(F246&gt;=표본시작,F246&lt;=표본종료),1,0)</f>
        <v/>
      </c>
      <c r="U246" s="5">
        <f>IF(AND(G246&gt;=조회시작,G246&lt;=조회종료),1,0)</f>
        <v/>
      </c>
    </row>
    <row r="247">
      <c r="A247" s="2">
        <f>ROW()-1</f>
        <v/>
      </c>
      <c r="B247" s="5">
        <f>INDEX(상호범위,D247)</f>
        <v/>
      </c>
      <c r="C247" s="5">
        <f>INDEX(플랫폼명범위,E247)</f>
        <v/>
      </c>
      <c r="D247" s="2">
        <f>MOD(INT((A247-1)/4),8)+1</f>
        <v/>
      </c>
      <c r="E247" s="2">
        <f>MOD(A247-1,4)+1</f>
        <v/>
      </c>
      <c r="F247" s="20">
        <f>축시작+INT((A247-1)/32)</f>
        <v/>
      </c>
      <c r="G247" s="20">
        <f>F247+H247</f>
        <v/>
      </c>
      <c r="H247" s="5" t="n">
        <v>2</v>
      </c>
      <c r="I247" s="2">
        <f>ROUND(INDEX(가맹점!$P$2:$P$9,D247)*INDEX(가맹점!$J$2:$M$9,D247,E247),0)</f>
        <v/>
      </c>
      <c r="J247" s="2">
        <f>ROUND(I247*(1-할인율),0)</f>
        <v/>
      </c>
      <c r="K247" s="2">
        <f>ROUNDDOWN(I247*할인율,0)</f>
        <v/>
      </c>
      <c r="L247" s="2">
        <f>ROUND(I247*INDEX(미지급률범위,E247),0)</f>
        <v/>
      </c>
      <c r="M247" s="2">
        <f>ROUND(I247*INDEX(과지급률범위,E247),0)</f>
        <v/>
      </c>
      <c r="N247" s="2">
        <f>MAX(0,L247-M247)</f>
        <v/>
      </c>
      <c r="O247" s="2">
        <f>K247-N247</f>
        <v/>
      </c>
      <c r="P247" s="2">
        <f>I247-N247</f>
        <v/>
      </c>
      <c r="Q247" s="5">
        <f>IF(G247&gt;기준일,1,0)</f>
        <v/>
      </c>
      <c r="R247" s="5">
        <f>IF(G247&lt;=기준일,1,0)</f>
        <v/>
      </c>
      <c r="S247" s="2">
        <f>J247*H247</f>
        <v/>
      </c>
      <c r="T247" s="5">
        <f>IF(AND(F247&gt;=표본시작,F247&lt;=표본종료),1,0)</f>
        <v/>
      </c>
      <c r="U247" s="5">
        <f>IF(AND(G247&gt;=조회시작,G247&lt;=조회종료),1,0)</f>
        <v/>
      </c>
    </row>
    <row r="248">
      <c r="A248" s="2">
        <f>ROW()-1</f>
        <v/>
      </c>
      <c r="B248" s="5">
        <f>INDEX(상호범위,D248)</f>
        <v/>
      </c>
      <c r="C248" s="5">
        <f>INDEX(플랫폼명범위,E248)</f>
        <v/>
      </c>
      <c r="D248" s="2">
        <f>MOD(INT((A248-1)/4),8)+1</f>
        <v/>
      </c>
      <c r="E248" s="2">
        <f>MOD(A248-1,4)+1</f>
        <v/>
      </c>
      <c r="F248" s="20">
        <f>축시작+INT((A248-1)/32)</f>
        <v/>
      </c>
      <c r="G248" s="20">
        <f>F248+H248</f>
        <v/>
      </c>
      <c r="H248" s="5" t="n">
        <v>5</v>
      </c>
      <c r="I248" s="2">
        <f>ROUND(INDEX(가맹점!$P$2:$P$9,D248)*INDEX(가맹점!$J$2:$M$9,D248,E248),0)</f>
        <v/>
      </c>
      <c r="J248" s="2">
        <f>ROUND(I248*(1-할인율),0)</f>
        <v/>
      </c>
      <c r="K248" s="2">
        <f>ROUNDDOWN(I248*할인율,0)</f>
        <v/>
      </c>
      <c r="L248" s="2">
        <f>ROUND(I248*INDEX(미지급률범위,E248),0)</f>
        <v/>
      </c>
      <c r="M248" s="2">
        <f>ROUND(I248*INDEX(과지급률범위,E248),0)</f>
        <v/>
      </c>
      <c r="N248" s="2">
        <f>MAX(0,L248-M248)</f>
        <v/>
      </c>
      <c r="O248" s="2">
        <f>K248-N248</f>
        <v/>
      </c>
      <c r="P248" s="2">
        <f>I248-N248</f>
        <v/>
      </c>
      <c r="Q248" s="5">
        <f>IF(G248&gt;기준일,1,0)</f>
        <v/>
      </c>
      <c r="R248" s="5">
        <f>IF(G248&lt;=기준일,1,0)</f>
        <v/>
      </c>
      <c r="S248" s="2">
        <f>J248*H248</f>
        <v/>
      </c>
      <c r="T248" s="5">
        <f>IF(AND(F248&gt;=표본시작,F248&lt;=표본종료),1,0)</f>
        <v/>
      </c>
      <c r="U248" s="5">
        <f>IF(AND(G248&gt;=조회시작,G248&lt;=조회종료),1,0)</f>
        <v/>
      </c>
    </row>
    <row r="249">
      <c r="A249" s="2">
        <f>ROW()-1</f>
        <v/>
      </c>
      <c r="B249" s="5">
        <f>INDEX(상호범위,D249)</f>
        <v/>
      </c>
      <c r="C249" s="5">
        <f>INDEX(플랫폼명범위,E249)</f>
        <v/>
      </c>
      <c r="D249" s="2">
        <f>MOD(INT((A249-1)/4),8)+1</f>
        <v/>
      </c>
      <c r="E249" s="2">
        <f>MOD(A249-1,4)+1</f>
        <v/>
      </c>
      <c r="F249" s="20">
        <f>축시작+INT((A249-1)/32)</f>
        <v/>
      </c>
      <c r="G249" s="20">
        <f>F249+H249</f>
        <v/>
      </c>
      <c r="H249" s="5" t="n">
        <v>6</v>
      </c>
      <c r="I249" s="2">
        <f>ROUND(INDEX(가맹점!$P$2:$P$9,D249)*INDEX(가맹점!$J$2:$M$9,D249,E249),0)</f>
        <v/>
      </c>
      <c r="J249" s="2">
        <f>ROUND(I249*(1-할인율),0)</f>
        <v/>
      </c>
      <c r="K249" s="2">
        <f>ROUNDDOWN(I249*할인율,0)</f>
        <v/>
      </c>
      <c r="L249" s="2">
        <f>ROUND(I249*INDEX(미지급률범위,E249),0)</f>
        <v/>
      </c>
      <c r="M249" s="2">
        <f>ROUND(I249*INDEX(과지급률범위,E249),0)</f>
        <v/>
      </c>
      <c r="N249" s="2">
        <f>MAX(0,L249-M249)</f>
        <v/>
      </c>
      <c r="O249" s="2">
        <f>K249-N249</f>
        <v/>
      </c>
      <c r="P249" s="2">
        <f>I249-N249</f>
        <v/>
      </c>
      <c r="Q249" s="5">
        <f>IF(G249&gt;기준일,1,0)</f>
        <v/>
      </c>
      <c r="R249" s="5">
        <f>IF(G249&lt;=기준일,1,0)</f>
        <v/>
      </c>
      <c r="S249" s="2">
        <f>J249*H249</f>
        <v/>
      </c>
      <c r="T249" s="5">
        <f>IF(AND(F249&gt;=표본시작,F249&lt;=표본종료),1,0)</f>
        <v/>
      </c>
      <c r="U249" s="5">
        <f>IF(AND(G249&gt;=조회시작,G249&lt;=조회종료),1,0)</f>
        <v/>
      </c>
    </row>
    <row r="250">
      <c r="A250" s="2">
        <f>ROW()-1</f>
        <v/>
      </c>
      <c r="B250" s="5">
        <f>INDEX(상호범위,D250)</f>
        <v/>
      </c>
      <c r="C250" s="5">
        <f>INDEX(플랫폼명범위,E250)</f>
        <v/>
      </c>
      <c r="D250" s="2">
        <f>MOD(INT((A250-1)/4),8)+1</f>
        <v/>
      </c>
      <c r="E250" s="2">
        <f>MOD(A250-1,4)+1</f>
        <v/>
      </c>
      <c r="F250" s="20">
        <f>축시작+INT((A250-1)/32)</f>
        <v/>
      </c>
      <c r="G250" s="20">
        <f>F250+H250</f>
        <v/>
      </c>
      <c r="H250" s="5" t="n">
        <v>5</v>
      </c>
      <c r="I250" s="2">
        <f>ROUND(INDEX(가맹점!$P$2:$P$9,D250)*INDEX(가맹점!$J$2:$M$9,D250,E250),0)</f>
        <v/>
      </c>
      <c r="J250" s="2">
        <f>ROUND(I250*(1-할인율),0)</f>
        <v/>
      </c>
      <c r="K250" s="2">
        <f>ROUNDDOWN(I250*할인율,0)</f>
        <v/>
      </c>
      <c r="L250" s="2">
        <f>ROUND(I250*INDEX(미지급률범위,E250),0)</f>
        <v/>
      </c>
      <c r="M250" s="2">
        <f>ROUND(I250*INDEX(과지급률범위,E250),0)</f>
        <v/>
      </c>
      <c r="N250" s="2">
        <f>MAX(0,L250-M250)</f>
        <v/>
      </c>
      <c r="O250" s="2">
        <f>K250-N250</f>
        <v/>
      </c>
      <c r="P250" s="2">
        <f>I250-N250</f>
        <v/>
      </c>
      <c r="Q250" s="5">
        <f>IF(G250&gt;기준일,1,0)</f>
        <v/>
      </c>
      <c r="R250" s="5">
        <f>IF(G250&lt;=기준일,1,0)</f>
        <v/>
      </c>
      <c r="S250" s="2">
        <f>J250*H250</f>
        <v/>
      </c>
      <c r="T250" s="5">
        <f>IF(AND(F250&gt;=표본시작,F250&lt;=표본종료),1,0)</f>
        <v/>
      </c>
      <c r="U250" s="5">
        <f>IF(AND(G250&gt;=조회시작,G250&lt;=조회종료),1,0)</f>
        <v/>
      </c>
    </row>
    <row r="251">
      <c r="A251" s="2">
        <f>ROW()-1</f>
        <v/>
      </c>
      <c r="B251" s="5">
        <f>INDEX(상호범위,D251)</f>
        <v/>
      </c>
      <c r="C251" s="5">
        <f>INDEX(플랫폼명범위,E251)</f>
        <v/>
      </c>
      <c r="D251" s="2">
        <f>MOD(INT((A251-1)/4),8)+1</f>
        <v/>
      </c>
      <c r="E251" s="2">
        <f>MOD(A251-1,4)+1</f>
        <v/>
      </c>
      <c r="F251" s="20">
        <f>축시작+INT((A251-1)/32)</f>
        <v/>
      </c>
      <c r="G251" s="20">
        <f>F251+H251</f>
        <v/>
      </c>
      <c r="H251" s="5" t="n">
        <v>5</v>
      </c>
      <c r="I251" s="2">
        <f>ROUND(INDEX(가맹점!$P$2:$P$9,D251)*INDEX(가맹점!$J$2:$M$9,D251,E251),0)</f>
        <v/>
      </c>
      <c r="J251" s="2">
        <f>ROUND(I251*(1-할인율),0)</f>
        <v/>
      </c>
      <c r="K251" s="2">
        <f>ROUNDDOWN(I251*할인율,0)</f>
        <v/>
      </c>
      <c r="L251" s="2">
        <f>ROUND(I251*INDEX(미지급률범위,E251),0)</f>
        <v/>
      </c>
      <c r="M251" s="2">
        <f>ROUND(I251*INDEX(과지급률범위,E251),0)</f>
        <v/>
      </c>
      <c r="N251" s="2">
        <f>MAX(0,L251-M251)</f>
        <v/>
      </c>
      <c r="O251" s="2">
        <f>K251-N251</f>
        <v/>
      </c>
      <c r="P251" s="2">
        <f>I251-N251</f>
        <v/>
      </c>
      <c r="Q251" s="5">
        <f>IF(G251&gt;기준일,1,0)</f>
        <v/>
      </c>
      <c r="R251" s="5">
        <f>IF(G251&lt;=기준일,1,0)</f>
        <v/>
      </c>
      <c r="S251" s="2">
        <f>J251*H251</f>
        <v/>
      </c>
      <c r="T251" s="5">
        <f>IF(AND(F251&gt;=표본시작,F251&lt;=표본종료),1,0)</f>
        <v/>
      </c>
      <c r="U251" s="5">
        <f>IF(AND(G251&gt;=조회시작,G251&lt;=조회종료),1,0)</f>
        <v/>
      </c>
    </row>
    <row r="252">
      <c r="A252" s="2">
        <f>ROW()-1</f>
        <v/>
      </c>
      <c r="B252" s="5">
        <f>INDEX(상호범위,D252)</f>
        <v/>
      </c>
      <c r="C252" s="5">
        <f>INDEX(플랫폼명범위,E252)</f>
        <v/>
      </c>
      <c r="D252" s="2">
        <f>MOD(INT((A252-1)/4),8)+1</f>
        <v/>
      </c>
      <c r="E252" s="2">
        <f>MOD(A252-1,4)+1</f>
        <v/>
      </c>
      <c r="F252" s="20">
        <f>축시작+INT((A252-1)/32)</f>
        <v/>
      </c>
      <c r="G252" s="20">
        <f>F252+H252</f>
        <v/>
      </c>
      <c r="H252" s="5" t="n">
        <v>6</v>
      </c>
      <c r="I252" s="2">
        <f>ROUND(INDEX(가맹점!$P$2:$P$9,D252)*INDEX(가맹점!$J$2:$M$9,D252,E252),0)</f>
        <v/>
      </c>
      <c r="J252" s="2">
        <f>ROUND(I252*(1-할인율),0)</f>
        <v/>
      </c>
      <c r="K252" s="2">
        <f>ROUNDDOWN(I252*할인율,0)</f>
        <v/>
      </c>
      <c r="L252" s="2">
        <f>ROUND(I252*INDEX(미지급률범위,E252),0)</f>
        <v/>
      </c>
      <c r="M252" s="2">
        <f>ROUND(I252*INDEX(과지급률범위,E252),0)</f>
        <v/>
      </c>
      <c r="N252" s="2">
        <f>MAX(0,L252-M252)</f>
        <v/>
      </c>
      <c r="O252" s="2">
        <f>K252-N252</f>
        <v/>
      </c>
      <c r="P252" s="2">
        <f>I252-N252</f>
        <v/>
      </c>
      <c r="Q252" s="5">
        <f>IF(G252&gt;기준일,1,0)</f>
        <v/>
      </c>
      <c r="R252" s="5">
        <f>IF(G252&lt;=기준일,1,0)</f>
        <v/>
      </c>
      <c r="S252" s="2">
        <f>J252*H252</f>
        <v/>
      </c>
      <c r="T252" s="5">
        <f>IF(AND(F252&gt;=표본시작,F252&lt;=표본종료),1,0)</f>
        <v/>
      </c>
      <c r="U252" s="5">
        <f>IF(AND(G252&gt;=조회시작,G252&lt;=조회종료),1,0)</f>
        <v/>
      </c>
    </row>
    <row r="253">
      <c r="A253" s="2">
        <f>ROW()-1</f>
        <v/>
      </c>
      <c r="B253" s="5">
        <f>INDEX(상호범위,D253)</f>
        <v/>
      </c>
      <c r="C253" s="5">
        <f>INDEX(플랫폼명범위,E253)</f>
        <v/>
      </c>
      <c r="D253" s="2">
        <f>MOD(INT((A253-1)/4),8)+1</f>
        <v/>
      </c>
      <c r="E253" s="2">
        <f>MOD(A253-1,4)+1</f>
        <v/>
      </c>
      <c r="F253" s="20">
        <f>축시작+INT((A253-1)/32)</f>
        <v/>
      </c>
      <c r="G253" s="20">
        <f>F253+H253</f>
        <v/>
      </c>
      <c r="H253" s="5" t="n">
        <v>4</v>
      </c>
      <c r="I253" s="2">
        <f>ROUND(INDEX(가맹점!$P$2:$P$9,D253)*INDEX(가맹점!$J$2:$M$9,D253,E253),0)</f>
        <v/>
      </c>
      <c r="J253" s="2">
        <f>ROUND(I253*(1-할인율),0)</f>
        <v/>
      </c>
      <c r="K253" s="2">
        <f>ROUNDDOWN(I253*할인율,0)</f>
        <v/>
      </c>
      <c r="L253" s="2">
        <f>ROUND(I253*INDEX(미지급률범위,E253),0)</f>
        <v/>
      </c>
      <c r="M253" s="2">
        <f>ROUND(I253*INDEX(과지급률범위,E253),0)</f>
        <v/>
      </c>
      <c r="N253" s="2">
        <f>MAX(0,L253-M253)</f>
        <v/>
      </c>
      <c r="O253" s="2">
        <f>K253-N253</f>
        <v/>
      </c>
      <c r="P253" s="2">
        <f>I253-N253</f>
        <v/>
      </c>
      <c r="Q253" s="5">
        <f>IF(G253&gt;기준일,1,0)</f>
        <v/>
      </c>
      <c r="R253" s="5">
        <f>IF(G253&lt;=기준일,1,0)</f>
        <v/>
      </c>
      <c r="S253" s="2">
        <f>J253*H253</f>
        <v/>
      </c>
      <c r="T253" s="5">
        <f>IF(AND(F253&gt;=표본시작,F253&lt;=표본종료),1,0)</f>
        <v/>
      </c>
      <c r="U253" s="5">
        <f>IF(AND(G253&gt;=조회시작,G253&lt;=조회종료),1,0)</f>
        <v/>
      </c>
    </row>
    <row r="254">
      <c r="A254" s="2">
        <f>ROW()-1</f>
        <v/>
      </c>
      <c r="B254" s="5">
        <f>INDEX(상호범위,D254)</f>
        <v/>
      </c>
      <c r="C254" s="5">
        <f>INDEX(플랫폼명범위,E254)</f>
        <v/>
      </c>
      <c r="D254" s="2">
        <f>MOD(INT((A254-1)/4),8)+1</f>
        <v/>
      </c>
      <c r="E254" s="2">
        <f>MOD(A254-1,4)+1</f>
        <v/>
      </c>
      <c r="F254" s="20">
        <f>축시작+INT((A254-1)/32)</f>
        <v/>
      </c>
      <c r="G254" s="20">
        <f>F254+H254</f>
        <v/>
      </c>
      <c r="H254" s="5" t="n">
        <v>7</v>
      </c>
      <c r="I254" s="2">
        <f>ROUND(INDEX(가맹점!$P$2:$P$9,D254)*INDEX(가맹점!$J$2:$M$9,D254,E254),0)</f>
        <v/>
      </c>
      <c r="J254" s="2">
        <f>ROUND(I254*(1-할인율),0)</f>
        <v/>
      </c>
      <c r="K254" s="2">
        <f>ROUNDDOWN(I254*할인율,0)</f>
        <v/>
      </c>
      <c r="L254" s="2">
        <f>ROUND(I254*INDEX(미지급률범위,E254),0)</f>
        <v/>
      </c>
      <c r="M254" s="2">
        <f>ROUND(I254*INDEX(과지급률범위,E254),0)</f>
        <v/>
      </c>
      <c r="N254" s="2">
        <f>MAX(0,L254-M254)</f>
        <v/>
      </c>
      <c r="O254" s="2">
        <f>K254-N254</f>
        <v/>
      </c>
      <c r="P254" s="2">
        <f>I254-N254</f>
        <v/>
      </c>
      <c r="Q254" s="5">
        <f>IF(G254&gt;기준일,1,0)</f>
        <v/>
      </c>
      <c r="R254" s="5">
        <f>IF(G254&lt;=기준일,1,0)</f>
        <v/>
      </c>
      <c r="S254" s="2">
        <f>J254*H254</f>
        <v/>
      </c>
      <c r="T254" s="5">
        <f>IF(AND(F254&gt;=표본시작,F254&lt;=표본종료),1,0)</f>
        <v/>
      </c>
      <c r="U254" s="5">
        <f>IF(AND(G254&gt;=조회시작,G254&lt;=조회종료),1,0)</f>
        <v/>
      </c>
    </row>
    <row r="255">
      <c r="A255" s="2">
        <f>ROW()-1</f>
        <v/>
      </c>
      <c r="B255" s="5">
        <f>INDEX(상호범위,D255)</f>
        <v/>
      </c>
      <c r="C255" s="5">
        <f>INDEX(플랫폼명범위,E255)</f>
        <v/>
      </c>
      <c r="D255" s="2">
        <f>MOD(INT((A255-1)/4),8)+1</f>
        <v/>
      </c>
      <c r="E255" s="2">
        <f>MOD(A255-1,4)+1</f>
        <v/>
      </c>
      <c r="F255" s="20">
        <f>축시작+INT((A255-1)/32)</f>
        <v/>
      </c>
      <c r="G255" s="20">
        <f>F255+H255</f>
        <v/>
      </c>
      <c r="H255" s="5" t="n">
        <v>5</v>
      </c>
      <c r="I255" s="2">
        <f>ROUND(INDEX(가맹점!$P$2:$P$9,D255)*INDEX(가맹점!$J$2:$M$9,D255,E255),0)</f>
        <v/>
      </c>
      <c r="J255" s="2">
        <f>ROUND(I255*(1-할인율),0)</f>
        <v/>
      </c>
      <c r="K255" s="2">
        <f>ROUNDDOWN(I255*할인율,0)</f>
        <v/>
      </c>
      <c r="L255" s="2">
        <f>ROUND(I255*INDEX(미지급률범위,E255),0)</f>
        <v/>
      </c>
      <c r="M255" s="2">
        <f>ROUND(I255*INDEX(과지급률범위,E255),0)</f>
        <v/>
      </c>
      <c r="N255" s="2">
        <f>MAX(0,L255-M255)</f>
        <v/>
      </c>
      <c r="O255" s="2">
        <f>K255-N255</f>
        <v/>
      </c>
      <c r="P255" s="2">
        <f>I255-N255</f>
        <v/>
      </c>
      <c r="Q255" s="5">
        <f>IF(G255&gt;기준일,1,0)</f>
        <v/>
      </c>
      <c r="R255" s="5">
        <f>IF(G255&lt;=기준일,1,0)</f>
        <v/>
      </c>
      <c r="S255" s="2">
        <f>J255*H255</f>
        <v/>
      </c>
      <c r="T255" s="5">
        <f>IF(AND(F255&gt;=표본시작,F255&lt;=표본종료),1,0)</f>
        <v/>
      </c>
      <c r="U255" s="5">
        <f>IF(AND(G255&gt;=조회시작,G255&lt;=조회종료),1,0)</f>
        <v/>
      </c>
    </row>
    <row r="256">
      <c r="A256" s="2">
        <f>ROW()-1</f>
        <v/>
      </c>
      <c r="B256" s="5">
        <f>INDEX(상호범위,D256)</f>
        <v/>
      </c>
      <c r="C256" s="5">
        <f>INDEX(플랫폼명범위,E256)</f>
        <v/>
      </c>
      <c r="D256" s="2">
        <f>MOD(INT((A256-1)/4),8)+1</f>
        <v/>
      </c>
      <c r="E256" s="2">
        <f>MOD(A256-1,4)+1</f>
        <v/>
      </c>
      <c r="F256" s="20">
        <f>축시작+INT((A256-1)/32)</f>
        <v/>
      </c>
      <c r="G256" s="20">
        <f>F256+H256</f>
        <v/>
      </c>
      <c r="H256" s="5" t="n">
        <v>6</v>
      </c>
      <c r="I256" s="2">
        <f>ROUND(INDEX(가맹점!$P$2:$P$9,D256)*INDEX(가맹점!$J$2:$M$9,D256,E256),0)</f>
        <v/>
      </c>
      <c r="J256" s="2">
        <f>ROUND(I256*(1-할인율),0)</f>
        <v/>
      </c>
      <c r="K256" s="2">
        <f>ROUNDDOWN(I256*할인율,0)</f>
        <v/>
      </c>
      <c r="L256" s="2">
        <f>ROUND(I256*INDEX(미지급률범위,E256),0)</f>
        <v/>
      </c>
      <c r="M256" s="2">
        <f>ROUND(I256*INDEX(과지급률범위,E256),0)</f>
        <v/>
      </c>
      <c r="N256" s="2">
        <f>MAX(0,L256-M256)</f>
        <v/>
      </c>
      <c r="O256" s="2">
        <f>K256-N256</f>
        <v/>
      </c>
      <c r="P256" s="2">
        <f>I256-N256</f>
        <v/>
      </c>
      <c r="Q256" s="5">
        <f>IF(G256&gt;기준일,1,0)</f>
        <v/>
      </c>
      <c r="R256" s="5">
        <f>IF(G256&lt;=기준일,1,0)</f>
        <v/>
      </c>
      <c r="S256" s="2">
        <f>J256*H256</f>
        <v/>
      </c>
      <c r="T256" s="5">
        <f>IF(AND(F256&gt;=표본시작,F256&lt;=표본종료),1,0)</f>
        <v/>
      </c>
      <c r="U256" s="5">
        <f>IF(AND(G256&gt;=조회시작,G256&lt;=조회종료),1,0)</f>
        <v/>
      </c>
    </row>
    <row r="257">
      <c r="A257" s="2">
        <f>ROW()-1</f>
        <v/>
      </c>
      <c r="B257" s="5">
        <f>INDEX(상호범위,D257)</f>
        <v/>
      </c>
      <c r="C257" s="5">
        <f>INDEX(플랫폼명범위,E257)</f>
        <v/>
      </c>
      <c r="D257" s="2">
        <f>MOD(INT((A257-1)/4),8)+1</f>
        <v/>
      </c>
      <c r="E257" s="2">
        <f>MOD(A257-1,4)+1</f>
        <v/>
      </c>
      <c r="F257" s="20">
        <f>축시작+INT((A257-1)/32)</f>
        <v/>
      </c>
      <c r="G257" s="20">
        <f>F257+H257</f>
        <v/>
      </c>
      <c r="H257" s="5" t="n">
        <v>10</v>
      </c>
      <c r="I257" s="2">
        <f>ROUND(INDEX(가맹점!$P$2:$P$9,D257)*INDEX(가맹점!$J$2:$M$9,D257,E257),0)</f>
        <v/>
      </c>
      <c r="J257" s="2">
        <f>ROUND(I257*(1-할인율),0)</f>
        <v/>
      </c>
      <c r="K257" s="2">
        <f>ROUNDDOWN(I257*할인율,0)</f>
        <v/>
      </c>
      <c r="L257" s="2">
        <f>ROUND(I257*INDEX(미지급률범위,E257),0)</f>
        <v/>
      </c>
      <c r="M257" s="2">
        <f>ROUND(I257*INDEX(과지급률범위,E257),0)</f>
        <v/>
      </c>
      <c r="N257" s="2">
        <f>MAX(0,L257-M257)</f>
        <v/>
      </c>
      <c r="O257" s="2">
        <f>K257-N257</f>
        <v/>
      </c>
      <c r="P257" s="2">
        <f>I257-N257</f>
        <v/>
      </c>
      <c r="Q257" s="5">
        <f>IF(G257&gt;기준일,1,0)</f>
        <v/>
      </c>
      <c r="R257" s="5">
        <f>IF(G257&lt;=기준일,1,0)</f>
        <v/>
      </c>
      <c r="S257" s="2">
        <f>J257*H257</f>
        <v/>
      </c>
      <c r="T257" s="5">
        <f>IF(AND(F257&gt;=표본시작,F257&lt;=표본종료),1,0)</f>
        <v/>
      </c>
      <c r="U257" s="5">
        <f>IF(AND(G257&gt;=조회시작,G257&lt;=조회종료),1,0)</f>
        <v/>
      </c>
    </row>
    <row r="258">
      <c r="A258" s="2">
        <f>ROW()-1</f>
        <v/>
      </c>
      <c r="B258" s="5">
        <f>INDEX(상호범위,D258)</f>
        <v/>
      </c>
      <c r="C258" s="5">
        <f>INDEX(플랫폼명범위,E258)</f>
        <v/>
      </c>
      <c r="D258" s="2">
        <f>MOD(INT((A258-1)/4),8)+1</f>
        <v/>
      </c>
      <c r="E258" s="2">
        <f>MOD(A258-1,4)+1</f>
        <v/>
      </c>
      <c r="F258" s="20">
        <f>축시작+INT((A258-1)/32)</f>
        <v/>
      </c>
      <c r="G258" s="20">
        <f>F258+H258</f>
        <v/>
      </c>
      <c r="H258" s="5" t="n">
        <v>1</v>
      </c>
      <c r="I258" s="2">
        <f>ROUND(INDEX(가맹점!$P$2:$P$9,D258)*INDEX(가맹점!$J$2:$M$9,D258,E258),0)</f>
        <v/>
      </c>
      <c r="J258" s="2">
        <f>ROUND(I258*(1-할인율),0)</f>
        <v/>
      </c>
      <c r="K258" s="2">
        <f>ROUNDDOWN(I258*할인율,0)</f>
        <v/>
      </c>
      <c r="L258" s="2">
        <f>ROUND(I258*INDEX(미지급률범위,E258),0)</f>
        <v/>
      </c>
      <c r="M258" s="2">
        <f>ROUND(I258*INDEX(과지급률범위,E258),0)</f>
        <v/>
      </c>
      <c r="N258" s="2">
        <f>MAX(0,L258-M258)</f>
        <v/>
      </c>
      <c r="O258" s="2">
        <f>K258-N258</f>
        <v/>
      </c>
      <c r="P258" s="2">
        <f>I258-N258</f>
        <v/>
      </c>
      <c r="Q258" s="5">
        <f>IF(G258&gt;기준일,1,0)</f>
        <v/>
      </c>
      <c r="R258" s="5">
        <f>IF(G258&lt;=기준일,1,0)</f>
        <v/>
      </c>
      <c r="S258" s="2">
        <f>J258*H258</f>
        <v/>
      </c>
      <c r="T258" s="5">
        <f>IF(AND(F258&gt;=표본시작,F258&lt;=표본종료),1,0)</f>
        <v/>
      </c>
      <c r="U258" s="5">
        <f>IF(AND(G258&gt;=조회시작,G258&lt;=조회종료),1,0)</f>
        <v/>
      </c>
    </row>
    <row r="259">
      <c r="A259" s="2">
        <f>ROW()-1</f>
        <v/>
      </c>
      <c r="B259" s="5">
        <f>INDEX(상호범위,D259)</f>
        <v/>
      </c>
      <c r="C259" s="5">
        <f>INDEX(플랫폼명범위,E259)</f>
        <v/>
      </c>
      <c r="D259" s="2">
        <f>MOD(INT((A259-1)/4),8)+1</f>
        <v/>
      </c>
      <c r="E259" s="2">
        <f>MOD(A259-1,4)+1</f>
        <v/>
      </c>
      <c r="F259" s="20">
        <f>축시작+INT((A259-1)/32)</f>
        <v/>
      </c>
      <c r="G259" s="20">
        <f>F259+H259</f>
        <v/>
      </c>
      <c r="H259" s="5" t="n">
        <v>2</v>
      </c>
      <c r="I259" s="2">
        <f>ROUND(INDEX(가맹점!$P$2:$P$9,D259)*INDEX(가맹점!$J$2:$M$9,D259,E259),0)</f>
        <v/>
      </c>
      <c r="J259" s="2">
        <f>ROUND(I259*(1-할인율),0)</f>
        <v/>
      </c>
      <c r="K259" s="2">
        <f>ROUNDDOWN(I259*할인율,0)</f>
        <v/>
      </c>
      <c r="L259" s="2">
        <f>ROUND(I259*INDEX(미지급률범위,E259),0)</f>
        <v/>
      </c>
      <c r="M259" s="2">
        <f>ROUND(I259*INDEX(과지급률범위,E259),0)</f>
        <v/>
      </c>
      <c r="N259" s="2">
        <f>MAX(0,L259-M259)</f>
        <v/>
      </c>
      <c r="O259" s="2">
        <f>K259-N259</f>
        <v/>
      </c>
      <c r="P259" s="2">
        <f>I259-N259</f>
        <v/>
      </c>
      <c r="Q259" s="5">
        <f>IF(G259&gt;기준일,1,0)</f>
        <v/>
      </c>
      <c r="R259" s="5">
        <f>IF(G259&lt;=기준일,1,0)</f>
        <v/>
      </c>
      <c r="S259" s="2">
        <f>J259*H259</f>
        <v/>
      </c>
      <c r="T259" s="5">
        <f>IF(AND(F259&gt;=표본시작,F259&lt;=표본종료),1,0)</f>
        <v/>
      </c>
      <c r="U259" s="5">
        <f>IF(AND(G259&gt;=조회시작,G259&lt;=조회종료),1,0)</f>
        <v/>
      </c>
    </row>
    <row r="260">
      <c r="A260" s="2">
        <f>ROW()-1</f>
        <v/>
      </c>
      <c r="B260" s="5">
        <f>INDEX(상호범위,D260)</f>
        <v/>
      </c>
      <c r="C260" s="5">
        <f>INDEX(플랫폼명범위,E260)</f>
        <v/>
      </c>
      <c r="D260" s="2">
        <f>MOD(INT((A260-1)/4),8)+1</f>
        <v/>
      </c>
      <c r="E260" s="2">
        <f>MOD(A260-1,4)+1</f>
        <v/>
      </c>
      <c r="F260" s="20">
        <f>축시작+INT((A260-1)/32)</f>
        <v/>
      </c>
      <c r="G260" s="20">
        <f>F260+H260</f>
        <v/>
      </c>
      <c r="H260" s="5" t="n">
        <v>3</v>
      </c>
      <c r="I260" s="2">
        <f>ROUND(INDEX(가맹점!$P$2:$P$9,D260)*INDEX(가맹점!$J$2:$M$9,D260,E260),0)</f>
        <v/>
      </c>
      <c r="J260" s="2">
        <f>ROUND(I260*(1-할인율),0)</f>
        <v/>
      </c>
      <c r="K260" s="2">
        <f>ROUNDDOWN(I260*할인율,0)</f>
        <v/>
      </c>
      <c r="L260" s="2">
        <f>ROUND(I260*INDEX(미지급률범위,E260),0)</f>
        <v/>
      </c>
      <c r="M260" s="2">
        <f>ROUND(I260*INDEX(과지급률범위,E260),0)</f>
        <v/>
      </c>
      <c r="N260" s="2">
        <f>MAX(0,L260-M260)</f>
        <v/>
      </c>
      <c r="O260" s="2">
        <f>K260-N260</f>
        <v/>
      </c>
      <c r="P260" s="2">
        <f>I260-N260</f>
        <v/>
      </c>
      <c r="Q260" s="5">
        <f>IF(G260&gt;기준일,1,0)</f>
        <v/>
      </c>
      <c r="R260" s="5">
        <f>IF(G260&lt;=기준일,1,0)</f>
        <v/>
      </c>
      <c r="S260" s="2">
        <f>J260*H260</f>
        <v/>
      </c>
      <c r="T260" s="5">
        <f>IF(AND(F260&gt;=표본시작,F260&lt;=표본종료),1,0)</f>
        <v/>
      </c>
      <c r="U260" s="5">
        <f>IF(AND(G260&gt;=조회시작,G260&lt;=조회종료),1,0)</f>
        <v/>
      </c>
    </row>
    <row r="261">
      <c r="A261" s="2">
        <f>ROW()-1</f>
        <v/>
      </c>
      <c r="B261" s="5">
        <f>INDEX(상호범위,D261)</f>
        <v/>
      </c>
      <c r="C261" s="5">
        <f>INDEX(플랫폼명범위,E261)</f>
        <v/>
      </c>
      <c r="D261" s="2">
        <f>MOD(INT((A261-1)/4),8)+1</f>
        <v/>
      </c>
      <c r="E261" s="2">
        <f>MOD(A261-1,4)+1</f>
        <v/>
      </c>
      <c r="F261" s="20">
        <f>축시작+INT((A261-1)/32)</f>
        <v/>
      </c>
      <c r="G261" s="20">
        <f>F261+H261</f>
        <v/>
      </c>
      <c r="H261" s="5" t="n">
        <v>10</v>
      </c>
      <c r="I261" s="2">
        <f>ROUND(INDEX(가맹점!$P$2:$P$9,D261)*INDEX(가맹점!$J$2:$M$9,D261,E261),0)</f>
        <v/>
      </c>
      <c r="J261" s="2">
        <f>ROUND(I261*(1-할인율),0)</f>
        <v/>
      </c>
      <c r="K261" s="2">
        <f>ROUNDDOWN(I261*할인율,0)</f>
        <v/>
      </c>
      <c r="L261" s="2">
        <f>ROUND(I261*INDEX(미지급률범위,E261),0)</f>
        <v/>
      </c>
      <c r="M261" s="2">
        <f>ROUND(I261*INDEX(과지급률범위,E261),0)</f>
        <v/>
      </c>
      <c r="N261" s="2">
        <f>MAX(0,L261-M261)</f>
        <v/>
      </c>
      <c r="O261" s="2">
        <f>K261-N261</f>
        <v/>
      </c>
      <c r="P261" s="2">
        <f>I261-N261</f>
        <v/>
      </c>
      <c r="Q261" s="5">
        <f>IF(G261&gt;기준일,1,0)</f>
        <v/>
      </c>
      <c r="R261" s="5">
        <f>IF(G261&lt;=기준일,1,0)</f>
        <v/>
      </c>
      <c r="S261" s="2">
        <f>J261*H261</f>
        <v/>
      </c>
      <c r="T261" s="5">
        <f>IF(AND(F261&gt;=표본시작,F261&lt;=표본종료),1,0)</f>
        <v/>
      </c>
      <c r="U261" s="5">
        <f>IF(AND(G261&gt;=조회시작,G261&lt;=조회종료),1,0)</f>
        <v/>
      </c>
    </row>
    <row r="262">
      <c r="A262" s="2">
        <f>ROW()-1</f>
        <v/>
      </c>
      <c r="B262" s="5">
        <f>INDEX(상호범위,D262)</f>
        <v/>
      </c>
      <c r="C262" s="5">
        <f>INDEX(플랫폼명범위,E262)</f>
        <v/>
      </c>
      <c r="D262" s="2">
        <f>MOD(INT((A262-1)/4),8)+1</f>
        <v/>
      </c>
      <c r="E262" s="2">
        <f>MOD(A262-1,4)+1</f>
        <v/>
      </c>
      <c r="F262" s="20">
        <f>축시작+INT((A262-1)/32)</f>
        <v/>
      </c>
      <c r="G262" s="20">
        <f>F262+H262</f>
        <v/>
      </c>
      <c r="H262" s="5" t="n">
        <v>1</v>
      </c>
      <c r="I262" s="2">
        <f>ROUND(INDEX(가맹점!$P$2:$P$9,D262)*INDEX(가맹점!$J$2:$M$9,D262,E262),0)</f>
        <v/>
      </c>
      <c r="J262" s="2">
        <f>ROUND(I262*(1-할인율),0)</f>
        <v/>
      </c>
      <c r="K262" s="2">
        <f>ROUNDDOWN(I262*할인율,0)</f>
        <v/>
      </c>
      <c r="L262" s="2">
        <f>ROUND(I262*INDEX(미지급률범위,E262),0)</f>
        <v/>
      </c>
      <c r="M262" s="2">
        <f>ROUND(I262*INDEX(과지급률범위,E262),0)</f>
        <v/>
      </c>
      <c r="N262" s="2">
        <f>MAX(0,L262-M262)</f>
        <v/>
      </c>
      <c r="O262" s="2">
        <f>K262-N262</f>
        <v/>
      </c>
      <c r="P262" s="2">
        <f>I262-N262</f>
        <v/>
      </c>
      <c r="Q262" s="5">
        <f>IF(G262&gt;기준일,1,0)</f>
        <v/>
      </c>
      <c r="R262" s="5">
        <f>IF(G262&lt;=기준일,1,0)</f>
        <v/>
      </c>
      <c r="S262" s="2">
        <f>J262*H262</f>
        <v/>
      </c>
      <c r="T262" s="5">
        <f>IF(AND(F262&gt;=표본시작,F262&lt;=표본종료),1,0)</f>
        <v/>
      </c>
      <c r="U262" s="5">
        <f>IF(AND(G262&gt;=조회시작,G262&lt;=조회종료),1,0)</f>
        <v/>
      </c>
    </row>
    <row r="263">
      <c r="A263" s="2">
        <f>ROW()-1</f>
        <v/>
      </c>
      <c r="B263" s="5">
        <f>INDEX(상호범위,D263)</f>
        <v/>
      </c>
      <c r="C263" s="5">
        <f>INDEX(플랫폼명범위,E263)</f>
        <v/>
      </c>
      <c r="D263" s="2">
        <f>MOD(INT((A263-1)/4),8)+1</f>
        <v/>
      </c>
      <c r="E263" s="2">
        <f>MOD(A263-1,4)+1</f>
        <v/>
      </c>
      <c r="F263" s="20">
        <f>축시작+INT((A263-1)/32)</f>
        <v/>
      </c>
      <c r="G263" s="20">
        <f>F263+H263</f>
        <v/>
      </c>
      <c r="H263" s="5" t="n">
        <v>3</v>
      </c>
      <c r="I263" s="2">
        <f>ROUND(INDEX(가맹점!$P$2:$P$9,D263)*INDEX(가맹점!$J$2:$M$9,D263,E263),0)</f>
        <v/>
      </c>
      <c r="J263" s="2">
        <f>ROUND(I263*(1-할인율),0)</f>
        <v/>
      </c>
      <c r="K263" s="2">
        <f>ROUNDDOWN(I263*할인율,0)</f>
        <v/>
      </c>
      <c r="L263" s="2">
        <f>ROUND(I263*INDEX(미지급률범위,E263),0)</f>
        <v/>
      </c>
      <c r="M263" s="2">
        <f>ROUND(I263*INDEX(과지급률범위,E263),0)</f>
        <v/>
      </c>
      <c r="N263" s="2">
        <f>MAX(0,L263-M263)</f>
        <v/>
      </c>
      <c r="O263" s="2">
        <f>K263-N263</f>
        <v/>
      </c>
      <c r="P263" s="2">
        <f>I263-N263</f>
        <v/>
      </c>
      <c r="Q263" s="5">
        <f>IF(G263&gt;기준일,1,0)</f>
        <v/>
      </c>
      <c r="R263" s="5">
        <f>IF(G263&lt;=기준일,1,0)</f>
        <v/>
      </c>
      <c r="S263" s="2">
        <f>J263*H263</f>
        <v/>
      </c>
      <c r="T263" s="5">
        <f>IF(AND(F263&gt;=표본시작,F263&lt;=표본종료),1,0)</f>
        <v/>
      </c>
      <c r="U263" s="5">
        <f>IF(AND(G263&gt;=조회시작,G263&lt;=조회종료),1,0)</f>
        <v/>
      </c>
    </row>
    <row r="264">
      <c r="A264" s="2">
        <f>ROW()-1</f>
        <v/>
      </c>
      <c r="B264" s="5">
        <f>INDEX(상호범위,D264)</f>
        <v/>
      </c>
      <c r="C264" s="5">
        <f>INDEX(플랫폼명범위,E264)</f>
        <v/>
      </c>
      <c r="D264" s="2">
        <f>MOD(INT((A264-1)/4),8)+1</f>
        <v/>
      </c>
      <c r="E264" s="2">
        <f>MOD(A264-1,4)+1</f>
        <v/>
      </c>
      <c r="F264" s="20">
        <f>축시작+INT((A264-1)/32)</f>
        <v/>
      </c>
      <c r="G264" s="20">
        <f>F264+H264</f>
        <v/>
      </c>
      <c r="H264" s="5" t="n">
        <v>5</v>
      </c>
      <c r="I264" s="2">
        <f>ROUND(INDEX(가맹점!$P$2:$P$9,D264)*INDEX(가맹점!$J$2:$M$9,D264,E264),0)</f>
        <v/>
      </c>
      <c r="J264" s="2">
        <f>ROUND(I264*(1-할인율),0)</f>
        <v/>
      </c>
      <c r="K264" s="2">
        <f>ROUNDDOWN(I264*할인율,0)</f>
        <v/>
      </c>
      <c r="L264" s="2">
        <f>ROUND(I264*INDEX(미지급률범위,E264),0)</f>
        <v/>
      </c>
      <c r="M264" s="2">
        <f>ROUND(I264*INDEX(과지급률범위,E264),0)</f>
        <v/>
      </c>
      <c r="N264" s="2">
        <f>MAX(0,L264-M264)</f>
        <v/>
      </c>
      <c r="O264" s="2">
        <f>K264-N264</f>
        <v/>
      </c>
      <c r="P264" s="2">
        <f>I264-N264</f>
        <v/>
      </c>
      <c r="Q264" s="5">
        <f>IF(G264&gt;기준일,1,0)</f>
        <v/>
      </c>
      <c r="R264" s="5">
        <f>IF(G264&lt;=기준일,1,0)</f>
        <v/>
      </c>
      <c r="S264" s="2">
        <f>J264*H264</f>
        <v/>
      </c>
      <c r="T264" s="5">
        <f>IF(AND(F264&gt;=표본시작,F264&lt;=표본종료),1,0)</f>
        <v/>
      </c>
      <c r="U264" s="5">
        <f>IF(AND(G264&gt;=조회시작,G264&lt;=조회종료),1,0)</f>
        <v/>
      </c>
    </row>
    <row r="265">
      <c r="A265" s="2">
        <f>ROW()-1</f>
        <v/>
      </c>
      <c r="B265" s="5">
        <f>INDEX(상호범위,D265)</f>
        <v/>
      </c>
      <c r="C265" s="5">
        <f>INDEX(플랫폼명범위,E265)</f>
        <v/>
      </c>
      <c r="D265" s="2">
        <f>MOD(INT((A265-1)/4),8)+1</f>
        <v/>
      </c>
      <c r="E265" s="2">
        <f>MOD(A265-1,4)+1</f>
        <v/>
      </c>
      <c r="F265" s="20">
        <f>축시작+INT((A265-1)/32)</f>
        <v/>
      </c>
      <c r="G265" s="20">
        <f>F265+H265</f>
        <v/>
      </c>
      <c r="H265" s="5" t="n">
        <v>6</v>
      </c>
      <c r="I265" s="2">
        <f>ROUND(INDEX(가맹점!$P$2:$P$9,D265)*INDEX(가맹점!$J$2:$M$9,D265,E265),0)</f>
        <v/>
      </c>
      <c r="J265" s="2">
        <f>ROUND(I265*(1-할인율),0)</f>
        <v/>
      </c>
      <c r="K265" s="2">
        <f>ROUNDDOWN(I265*할인율,0)</f>
        <v/>
      </c>
      <c r="L265" s="2">
        <f>ROUND(I265*INDEX(미지급률범위,E265),0)</f>
        <v/>
      </c>
      <c r="M265" s="2">
        <f>ROUND(I265*INDEX(과지급률범위,E265),0)</f>
        <v/>
      </c>
      <c r="N265" s="2">
        <f>MAX(0,L265-M265)</f>
        <v/>
      </c>
      <c r="O265" s="2">
        <f>K265-N265</f>
        <v/>
      </c>
      <c r="P265" s="2">
        <f>I265-N265</f>
        <v/>
      </c>
      <c r="Q265" s="5">
        <f>IF(G265&gt;기준일,1,0)</f>
        <v/>
      </c>
      <c r="R265" s="5">
        <f>IF(G265&lt;=기준일,1,0)</f>
        <v/>
      </c>
      <c r="S265" s="2">
        <f>J265*H265</f>
        <v/>
      </c>
      <c r="T265" s="5">
        <f>IF(AND(F265&gt;=표본시작,F265&lt;=표본종료),1,0)</f>
        <v/>
      </c>
      <c r="U265" s="5">
        <f>IF(AND(G265&gt;=조회시작,G265&lt;=조회종료),1,0)</f>
        <v/>
      </c>
    </row>
    <row r="266">
      <c r="A266" s="2">
        <f>ROW()-1</f>
        <v/>
      </c>
      <c r="B266" s="5">
        <f>INDEX(상호범위,D266)</f>
        <v/>
      </c>
      <c r="C266" s="5">
        <f>INDEX(플랫폼명범위,E266)</f>
        <v/>
      </c>
      <c r="D266" s="2">
        <f>MOD(INT((A266-1)/4),8)+1</f>
        <v/>
      </c>
      <c r="E266" s="2">
        <f>MOD(A266-1,4)+1</f>
        <v/>
      </c>
      <c r="F266" s="20">
        <f>축시작+INT((A266-1)/32)</f>
        <v/>
      </c>
      <c r="G266" s="20">
        <f>F266+H266</f>
        <v/>
      </c>
      <c r="H266" s="5" t="n">
        <v>3</v>
      </c>
      <c r="I266" s="2">
        <f>ROUND(INDEX(가맹점!$P$2:$P$9,D266)*INDEX(가맹점!$J$2:$M$9,D266,E266),0)</f>
        <v/>
      </c>
      <c r="J266" s="2">
        <f>ROUND(I266*(1-할인율),0)</f>
        <v/>
      </c>
      <c r="K266" s="2">
        <f>ROUNDDOWN(I266*할인율,0)</f>
        <v/>
      </c>
      <c r="L266" s="2">
        <f>ROUND(I266*INDEX(미지급률범위,E266),0)</f>
        <v/>
      </c>
      <c r="M266" s="2">
        <f>ROUND(I266*INDEX(과지급률범위,E266),0)</f>
        <v/>
      </c>
      <c r="N266" s="2">
        <f>MAX(0,L266-M266)</f>
        <v/>
      </c>
      <c r="O266" s="2">
        <f>K266-N266</f>
        <v/>
      </c>
      <c r="P266" s="2">
        <f>I266-N266</f>
        <v/>
      </c>
      <c r="Q266" s="5">
        <f>IF(G266&gt;기준일,1,0)</f>
        <v/>
      </c>
      <c r="R266" s="5">
        <f>IF(G266&lt;=기준일,1,0)</f>
        <v/>
      </c>
      <c r="S266" s="2">
        <f>J266*H266</f>
        <v/>
      </c>
      <c r="T266" s="5">
        <f>IF(AND(F266&gt;=표본시작,F266&lt;=표본종료),1,0)</f>
        <v/>
      </c>
      <c r="U266" s="5">
        <f>IF(AND(G266&gt;=조회시작,G266&lt;=조회종료),1,0)</f>
        <v/>
      </c>
    </row>
    <row r="267">
      <c r="A267" s="2">
        <f>ROW()-1</f>
        <v/>
      </c>
      <c r="B267" s="5">
        <f>INDEX(상호범위,D267)</f>
        <v/>
      </c>
      <c r="C267" s="5">
        <f>INDEX(플랫폼명범위,E267)</f>
        <v/>
      </c>
      <c r="D267" s="2">
        <f>MOD(INT((A267-1)/4),8)+1</f>
        <v/>
      </c>
      <c r="E267" s="2">
        <f>MOD(A267-1,4)+1</f>
        <v/>
      </c>
      <c r="F267" s="20">
        <f>축시작+INT((A267-1)/32)</f>
        <v/>
      </c>
      <c r="G267" s="20">
        <f>F267+H267</f>
        <v/>
      </c>
      <c r="H267" s="5" t="n">
        <v>4</v>
      </c>
      <c r="I267" s="2">
        <f>ROUND(INDEX(가맹점!$P$2:$P$9,D267)*INDEX(가맹점!$J$2:$M$9,D267,E267),0)</f>
        <v/>
      </c>
      <c r="J267" s="2">
        <f>ROUND(I267*(1-할인율),0)</f>
        <v/>
      </c>
      <c r="K267" s="2">
        <f>ROUNDDOWN(I267*할인율,0)</f>
        <v/>
      </c>
      <c r="L267" s="2">
        <f>ROUND(I267*INDEX(미지급률범위,E267),0)</f>
        <v/>
      </c>
      <c r="M267" s="2">
        <f>ROUND(I267*INDEX(과지급률범위,E267),0)</f>
        <v/>
      </c>
      <c r="N267" s="2">
        <f>MAX(0,L267-M267)</f>
        <v/>
      </c>
      <c r="O267" s="2">
        <f>K267-N267</f>
        <v/>
      </c>
      <c r="P267" s="2">
        <f>I267-N267</f>
        <v/>
      </c>
      <c r="Q267" s="5">
        <f>IF(G267&gt;기준일,1,0)</f>
        <v/>
      </c>
      <c r="R267" s="5">
        <f>IF(G267&lt;=기준일,1,0)</f>
        <v/>
      </c>
      <c r="S267" s="2">
        <f>J267*H267</f>
        <v/>
      </c>
      <c r="T267" s="5">
        <f>IF(AND(F267&gt;=표본시작,F267&lt;=표본종료),1,0)</f>
        <v/>
      </c>
      <c r="U267" s="5">
        <f>IF(AND(G267&gt;=조회시작,G267&lt;=조회종료),1,0)</f>
        <v/>
      </c>
    </row>
    <row r="268">
      <c r="A268" s="2">
        <f>ROW()-1</f>
        <v/>
      </c>
      <c r="B268" s="5">
        <f>INDEX(상호범위,D268)</f>
        <v/>
      </c>
      <c r="C268" s="5">
        <f>INDEX(플랫폼명범위,E268)</f>
        <v/>
      </c>
      <c r="D268" s="2">
        <f>MOD(INT((A268-1)/4),8)+1</f>
        <v/>
      </c>
      <c r="E268" s="2">
        <f>MOD(A268-1,4)+1</f>
        <v/>
      </c>
      <c r="F268" s="20">
        <f>축시작+INT((A268-1)/32)</f>
        <v/>
      </c>
      <c r="G268" s="20">
        <f>F268+H268</f>
        <v/>
      </c>
      <c r="H268" s="5" t="n">
        <v>3</v>
      </c>
      <c r="I268" s="2">
        <f>ROUND(INDEX(가맹점!$P$2:$P$9,D268)*INDEX(가맹점!$J$2:$M$9,D268,E268),0)</f>
        <v/>
      </c>
      <c r="J268" s="2">
        <f>ROUND(I268*(1-할인율),0)</f>
        <v/>
      </c>
      <c r="K268" s="2">
        <f>ROUNDDOWN(I268*할인율,0)</f>
        <v/>
      </c>
      <c r="L268" s="2">
        <f>ROUND(I268*INDEX(미지급률범위,E268),0)</f>
        <v/>
      </c>
      <c r="M268" s="2">
        <f>ROUND(I268*INDEX(과지급률범위,E268),0)</f>
        <v/>
      </c>
      <c r="N268" s="2">
        <f>MAX(0,L268-M268)</f>
        <v/>
      </c>
      <c r="O268" s="2">
        <f>K268-N268</f>
        <v/>
      </c>
      <c r="P268" s="2">
        <f>I268-N268</f>
        <v/>
      </c>
      <c r="Q268" s="5">
        <f>IF(G268&gt;기준일,1,0)</f>
        <v/>
      </c>
      <c r="R268" s="5">
        <f>IF(G268&lt;=기준일,1,0)</f>
        <v/>
      </c>
      <c r="S268" s="2">
        <f>J268*H268</f>
        <v/>
      </c>
      <c r="T268" s="5">
        <f>IF(AND(F268&gt;=표본시작,F268&lt;=표본종료),1,0)</f>
        <v/>
      </c>
      <c r="U268" s="5">
        <f>IF(AND(G268&gt;=조회시작,G268&lt;=조회종료),1,0)</f>
        <v/>
      </c>
    </row>
    <row r="269">
      <c r="A269" s="2">
        <f>ROW()-1</f>
        <v/>
      </c>
      <c r="B269" s="5">
        <f>INDEX(상호범위,D269)</f>
        <v/>
      </c>
      <c r="C269" s="5">
        <f>INDEX(플랫폼명범위,E269)</f>
        <v/>
      </c>
      <c r="D269" s="2">
        <f>MOD(INT((A269-1)/4),8)+1</f>
        <v/>
      </c>
      <c r="E269" s="2">
        <f>MOD(A269-1,4)+1</f>
        <v/>
      </c>
      <c r="F269" s="20">
        <f>축시작+INT((A269-1)/32)</f>
        <v/>
      </c>
      <c r="G269" s="20">
        <f>F269+H269</f>
        <v/>
      </c>
      <c r="H269" s="5" t="n">
        <v>6</v>
      </c>
      <c r="I269" s="2">
        <f>ROUND(INDEX(가맹점!$P$2:$P$9,D269)*INDEX(가맹점!$J$2:$M$9,D269,E269),0)</f>
        <v/>
      </c>
      <c r="J269" s="2">
        <f>ROUND(I269*(1-할인율),0)</f>
        <v/>
      </c>
      <c r="K269" s="2">
        <f>ROUNDDOWN(I269*할인율,0)</f>
        <v/>
      </c>
      <c r="L269" s="2">
        <f>ROUND(I269*INDEX(미지급률범위,E269),0)</f>
        <v/>
      </c>
      <c r="M269" s="2">
        <f>ROUND(I269*INDEX(과지급률범위,E269),0)</f>
        <v/>
      </c>
      <c r="N269" s="2">
        <f>MAX(0,L269-M269)</f>
        <v/>
      </c>
      <c r="O269" s="2">
        <f>K269-N269</f>
        <v/>
      </c>
      <c r="P269" s="2">
        <f>I269-N269</f>
        <v/>
      </c>
      <c r="Q269" s="5">
        <f>IF(G269&gt;기준일,1,0)</f>
        <v/>
      </c>
      <c r="R269" s="5">
        <f>IF(G269&lt;=기준일,1,0)</f>
        <v/>
      </c>
      <c r="S269" s="2">
        <f>J269*H269</f>
        <v/>
      </c>
      <c r="T269" s="5">
        <f>IF(AND(F269&gt;=표본시작,F269&lt;=표본종료),1,0)</f>
        <v/>
      </c>
      <c r="U269" s="5">
        <f>IF(AND(G269&gt;=조회시작,G269&lt;=조회종료),1,0)</f>
        <v/>
      </c>
    </row>
    <row r="270">
      <c r="A270" s="2">
        <f>ROW()-1</f>
        <v/>
      </c>
      <c r="B270" s="5">
        <f>INDEX(상호범위,D270)</f>
        <v/>
      </c>
      <c r="C270" s="5">
        <f>INDEX(플랫폼명범위,E270)</f>
        <v/>
      </c>
      <c r="D270" s="2">
        <f>MOD(INT((A270-1)/4),8)+1</f>
        <v/>
      </c>
      <c r="E270" s="2">
        <f>MOD(A270-1,4)+1</f>
        <v/>
      </c>
      <c r="F270" s="20">
        <f>축시작+INT((A270-1)/32)</f>
        <v/>
      </c>
      <c r="G270" s="20">
        <f>F270+H270</f>
        <v/>
      </c>
      <c r="H270" s="5" t="n">
        <v>3</v>
      </c>
      <c r="I270" s="2">
        <f>ROUND(INDEX(가맹점!$P$2:$P$9,D270)*INDEX(가맹점!$J$2:$M$9,D270,E270),0)</f>
        <v/>
      </c>
      <c r="J270" s="2">
        <f>ROUND(I270*(1-할인율),0)</f>
        <v/>
      </c>
      <c r="K270" s="2">
        <f>ROUNDDOWN(I270*할인율,0)</f>
        <v/>
      </c>
      <c r="L270" s="2">
        <f>ROUND(I270*INDEX(미지급률범위,E270),0)</f>
        <v/>
      </c>
      <c r="M270" s="2">
        <f>ROUND(I270*INDEX(과지급률범위,E270),0)</f>
        <v/>
      </c>
      <c r="N270" s="2">
        <f>MAX(0,L270-M270)</f>
        <v/>
      </c>
      <c r="O270" s="2">
        <f>K270-N270</f>
        <v/>
      </c>
      <c r="P270" s="2">
        <f>I270-N270</f>
        <v/>
      </c>
      <c r="Q270" s="5">
        <f>IF(G270&gt;기준일,1,0)</f>
        <v/>
      </c>
      <c r="R270" s="5">
        <f>IF(G270&lt;=기준일,1,0)</f>
        <v/>
      </c>
      <c r="S270" s="2">
        <f>J270*H270</f>
        <v/>
      </c>
      <c r="T270" s="5">
        <f>IF(AND(F270&gt;=표본시작,F270&lt;=표본종료),1,0)</f>
        <v/>
      </c>
      <c r="U270" s="5">
        <f>IF(AND(G270&gt;=조회시작,G270&lt;=조회종료),1,0)</f>
        <v/>
      </c>
    </row>
    <row r="271">
      <c r="A271" s="2">
        <f>ROW()-1</f>
        <v/>
      </c>
      <c r="B271" s="5">
        <f>INDEX(상호범위,D271)</f>
        <v/>
      </c>
      <c r="C271" s="5">
        <f>INDEX(플랫폼명범위,E271)</f>
        <v/>
      </c>
      <c r="D271" s="2">
        <f>MOD(INT((A271-1)/4),8)+1</f>
        <v/>
      </c>
      <c r="E271" s="2">
        <f>MOD(A271-1,4)+1</f>
        <v/>
      </c>
      <c r="F271" s="20">
        <f>축시작+INT((A271-1)/32)</f>
        <v/>
      </c>
      <c r="G271" s="20">
        <f>F271+H271</f>
        <v/>
      </c>
      <c r="H271" s="5" t="n">
        <v>2</v>
      </c>
      <c r="I271" s="2">
        <f>ROUND(INDEX(가맹점!$P$2:$P$9,D271)*INDEX(가맹점!$J$2:$M$9,D271,E271),0)</f>
        <v/>
      </c>
      <c r="J271" s="2">
        <f>ROUND(I271*(1-할인율),0)</f>
        <v/>
      </c>
      <c r="K271" s="2">
        <f>ROUNDDOWN(I271*할인율,0)</f>
        <v/>
      </c>
      <c r="L271" s="2">
        <f>ROUND(I271*INDEX(미지급률범위,E271),0)</f>
        <v/>
      </c>
      <c r="M271" s="2">
        <f>ROUND(I271*INDEX(과지급률범위,E271),0)</f>
        <v/>
      </c>
      <c r="N271" s="2">
        <f>MAX(0,L271-M271)</f>
        <v/>
      </c>
      <c r="O271" s="2">
        <f>K271-N271</f>
        <v/>
      </c>
      <c r="P271" s="2">
        <f>I271-N271</f>
        <v/>
      </c>
      <c r="Q271" s="5">
        <f>IF(G271&gt;기준일,1,0)</f>
        <v/>
      </c>
      <c r="R271" s="5">
        <f>IF(G271&lt;=기준일,1,0)</f>
        <v/>
      </c>
      <c r="S271" s="2">
        <f>J271*H271</f>
        <v/>
      </c>
      <c r="T271" s="5">
        <f>IF(AND(F271&gt;=표본시작,F271&lt;=표본종료),1,0)</f>
        <v/>
      </c>
      <c r="U271" s="5">
        <f>IF(AND(G271&gt;=조회시작,G271&lt;=조회종료),1,0)</f>
        <v/>
      </c>
    </row>
    <row r="272">
      <c r="A272" s="2">
        <f>ROW()-1</f>
        <v/>
      </c>
      <c r="B272" s="5">
        <f>INDEX(상호범위,D272)</f>
        <v/>
      </c>
      <c r="C272" s="5">
        <f>INDEX(플랫폼명범위,E272)</f>
        <v/>
      </c>
      <c r="D272" s="2">
        <f>MOD(INT((A272-1)/4),8)+1</f>
        <v/>
      </c>
      <c r="E272" s="2">
        <f>MOD(A272-1,4)+1</f>
        <v/>
      </c>
      <c r="F272" s="20">
        <f>축시작+INT((A272-1)/32)</f>
        <v/>
      </c>
      <c r="G272" s="20">
        <f>F272+H272</f>
        <v/>
      </c>
      <c r="H272" s="5" t="n">
        <v>5</v>
      </c>
      <c r="I272" s="2">
        <f>ROUND(INDEX(가맹점!$P$2:$P$9,D272)*INDEX(가맹점!$J$2:$M$9,D272,E272),0)</f>
        <v/>
      </c>
      <c r="J272" s="2">
        <f>ROUND(I272*(1-할인율),0)</f>
        <v/>
      </c>
      <c r="K272" s="2">
        <f>ROUNDDOWN(I272*할인율,0)</f>
        <v/>
      </c>
      <c r="L272" s="2">
        <f>ROUND(I272*INDEX(미지급률범위,E272),0)</f>
        <v/>
      </c>
      <c r="M272" s="2">
        <f>ROUND(I272*INDEX(과지급률범위,E272),0)</f>
        <v/>
      </c>
      <c r="N272" s="2">
        <f>MAX(0,L272-M272)</f>
        <v/>
      </c>
      <c r="O272" s="2">
        <f>K272-N272</f>
        <v/>
      </c>
      <c r="P272" s="2">
        <f>I272-N272</f>
        <v/>
      </c>
      <c r="Q272" s="5">
        <f>IF(G272&gt;기준일,1,0)</f>
        <v/>
      </c>
      <c r="R272" s="5">
        <f>IF(G272&lt;=기준일,1,0)</f>
        <v/>
      </c>
      <c r="S272" s="2">
        <f>J272*H272</f>
        <v/>
      </c>
      <c r="T272" s="5">
        <f>IF(AND(F272&gt;=표본시작,F272&lt;=표본종료),1,0)</f>
        <v/>
      </c>
      <c r="U272" s="5">
        <f>IF(AND(G272&gt;=조회시작,G272&lt;=조회종료),1,0)</f>
        <v/>
      </c>
    </row>
    <row r="273">
      <c r="A273" s="2">
        <f>ROW()-1</f>
        <v/>
      </c>
      <c r="B273" s="5">
        <f>INDEX(상호범위,D273)</f>
        <v/>
      </c>
      <c r="C273" s="5">
        <f>INDEX(플랫폼명범위,E273)</f>
        <v/>
      </c>
      <c r="D273" s="2">
        <f>MOD(INT((A273-1)/4),8)+1</f>
        <v/>
      </c>
      <c r="E273" s="2">
        <f>MOD(A273-1,4)+1</f>
        <v/>
      </c>
      <c r="F273" s="20">
        <f>축시작+INT((A273-1)/32)</f>
        <v/>
      </c>
      <c r="G273" s="20">
        <f>F273+H273</f>
        <v/>
      </c>
      <c r="H273" s="5" t="n">
        <v>6</v>
      </c>
      <c r="I273" s="2">
        <f>ROUND(INDEX(가맹점!$P$2:$P$9,D273)*INDEX(가맹점!$J$2:$M$9,D273,E273),0)</f>
        <v/>
      </c>
      <c r="J273" s="2">
        <f>ROUND(I273*(1-할인율),0)</f>
        <v/>
      </c>
      <c r="K273" s="2">
        <f>ROUNDDOWN(I273*할인율,0)</f>
        <v/>
      </c>
      <c r="L273" s="2">
        <f>ROUND(I273*INDEX(미지급률범위,E273),0)</f>
        <v/>
      </c>
      <c r="M273" s="2">
        <f>ROUND(I273*INDEX(과지급률범위,E273),0)</f>
        <v/>
      </c>
      <c r="N273" s="2">
        <f>MAX(0,L273-M273)</f>
        <v/>
      </c>
      <c r="O273" s="2">
        <f>K273-N273</f>
        <v/>
      </c>
      <c r="P273" s="2">
        <f>I273-N273</f>
        <v/>
      </c>
      <c r="Q273" s="5">
        <f>IF(G273&gt;기준일,1,0)</f>
        <v/>
      </c>
      <c r="R273" s="5">
        <f>IF(G273&lt;=기준일,1,0)</f>
        <v/>
      </c>
      <c r="S273" s="2">
        <f>J273*H273</f>
        <v/>
      </c>
      <c r="T273" s="5">
        <f>IF(AND(F273&gt;=표본시작,F273&lt;=표본종료),1,0)</f>
        <v/>
      </c>
      <c r="U273" s="5">
        <f>IF(AND(G273&gt;=조회시작,G273&lt;=조회종료),1,0)</f>
        <v/>
      </c>
    </row>
    <row r="274">
      <c r="A274" s="2">
        <f>ROW()-1</f>
        <v/>
      </c>
      <c r="B274" s="5">
        <f>INDEX(상호범위,D274)</f>
        <v/>
      </c>
      <c r="C274" s="5">
        <f>INDEX(플랫폼명범위,E274)</f>
        <v/>
      </c>
      <c r="D274" s="2">
        <f>MOD(INT((A274-1)/4),8)+1</f>
        <v/>
      </c>
      <c r="E274" s="2">
        <f>MOD(A274-1,4)+1</f>
        <v/>
      </c>
      <c r="F274" s="20">
        <f>축시작+INT((A274-1)/32)</f>
        <v/>
      </c>
      <c r="G274" s="20">
        <f>F274+H274</f>
        <v/>
      </c>
      <c r="H274" s="5" t="n">
        <v>4</v>
      </c>
      <c r="I274" s="2">
        <f>ROUND(INDEX(가맹점!$P$2:$P$9,D274)*INDEX(가맹점!$J$2:$M$9,D274,E274),0)</f>
        <v/>
      </c>
      <c r="J274" s="2">
        <f>ROUND(I274*(1-할인율),0)</f>
        <v/>
      </c>
      <c r="K274" s="2">
        <f>ROUNDDOWN(I274*할인율,0)</f>
        <v/>
      </c>
      <c r="L274" s="2">
        <f>ROUND(I274*INDEX(미지급률범위,E274),0)</f>
        <v/>
      </c>
      <c r="M274" s="2">
        <f>ROUND(I274*INDEX(과지급률범위,E274),0)</f>
        <v/>
      </c>
      <c r="N274" s="2">
        <f>MAX(0,L274-M274)</f>
        <v/>
      </c>
      <c r="O274" s="2">
        <f>K274-N274</f>
        <v/>
      </c>
      <c r="P274" s="2">
        <f>I274-N274</f>
        <v/>
      </c>
      <c r="Q274" s="5">
        <f>IF(G274&gt;기준일,1,0)</f>
        <v/>
      </c>
      <c r="R274" s="5">
        <f>IF(G274&lt;=기준일,1,0)</f>
        <v/>
      </c>
      <c r="S274" s="2">
        <f>J274*H274</f>
        <v/>
      </c>
      <c r="T274" s="5">
        <f>IF(AND(F274&gt;=표본시작,F274&lt;=표본종료),1,0)</f>
        <v/>
      </c>
      <c r="U274" s="5">
        <f>IF(AND(G274&gt;=조회시작,G274&lt;=조회종료),1,0)</f>
        <v/>
      </c>
    </row>
    <row r="275">
      <c r="A275" s="2">
        <f>ROW()-1</f>
        <v/>
      </c>
      <c r="B275" s="5">
        <f>INDEX(상호범위,D275)</f>
        <v/>
      </c>
      <c r="C275" s="5">
        <f>INDEX(플랫폼명범위,E275)</f>
        <v/>
      </c>
      <c r="D275" s="2">
        <f>MOD(INT((A275-1)/4),8)+1</f>
        <v/>
      </c>
      <c r="E275" s="2">
        <f>MOD(A275-1,4)+1</f>
        <v/>
      </c>
      <c r="F275" s="20">
        <f>축시작+INT((A275-1)/32)</f>
        <v/>
      </c>
      <c r="G275" s="20">
        <f>F275+H275</f>
        <v/>
      </c>
      <c r="H275" s="5" t="n">
        <v>4</v>
      </c>
      <c r="I275" s="2">
        <f>ROUND(INDEX(가맹점!$P$2:$P$9,D275)*INDEX(가맹점!$J$2:$M$9,D275,E275),0)</f>
        <v/>
      </c>
      <c r="J275" s="2">
        <f>ROUND(I275*(1-할인율),0)</f>
        <v/>
      </c>
      <c r="K275" s="2">
        <f>ROUNDDOWN(I275*할인율,0)</f>
        <v/>
      </c>
      <c r="L275" s="2">
        <f>ROUND(I275*INDEX(미지급률범위,E275),0)</f>
        <v/>
      </c>
      <c r="M275" s="2">
        <f>ROUND(I275*INDEX(과지급률범위,E275),0)</f>
        <v/>
      </c>
      <c r="N275" s="2">
        <f>MAX(0,L275-M275)</f>
        <v/>
      </c>
      <c r="O275" s="2">
        <f>K275-N275</f>
        <v/>
      </c>
      <c r="P275" s="2">
        <f>I275-N275</f>
        <v/>
      </c>
      <c r="Q275" s="5">
        <f>IF(G275&gt;기준일,1,0)</f>
        <v/>
      </c>
      <c r="R275" s="5">
        <f>IF(G275&lt;=기준일,1,0)</f>
        <v/>
      </c>
      <c r="S275" s="2">
        <f>J275*H275</f>
        <v/>
      </c>
      <c r="T275" s="5">
        <f>IF(AND(F275&gt;=표본시작,F275&lt;=표본종료),1,0)</f>
        <v/>
      </c>
      <c r="U275" s="5">
        <f>IF(AND(G275&gt;=조회시작,G275&lt;=조회종료),1,0)</f>
        <v/>
      </c>
    </row>
    <row r="276">
      <c r="A276" s="2">
        <f>ROW()-1</f>
        <v/>
      </c>
      <c r="B276" s="5">
        <f>INDEX(상호범위,D276)</f>
        <v/>
      </c>
      <c r="C276" s="5">
        <f>INDEX(플랫폼명범위,E276)</f>
        <v/>
      </c>
      <c r="D276" s="2">
        <f>MOD(INT((A276-1)/4),8)+1</f>
        <v/>
      </c>
      <c r="E276" s="2">
        <f>MOD(A276-1,4)+1</f>
        <v/>
      </c>
      <c r="F276" s="20">
        <f>축시작+INT((A276-1)/32)</f>
        <v/>
      </c>
      <c r="G276" s="20">
        <f>F276+H276</f>
        <v/>
      </c>
      <c r="H276" s="5" t="n">
        <v>5</v>
      </c>
      <c r="I276" s="2">
        <f>ROUND(INDEX(가맹점!$P$2:$P$9,D276)*INDEX(가맹점!$J$2:$M$9,D276,E276),0)</f>
        <v/>
      </c>
      <c r="J276" s="2">
        <f>ROUND(I276*(1-할인율),0)</f>
        <v/>
      </c>
      <c r="K276" s="2">
        <f>ROUNDDOWN(I276*할인율,0)</f>
        <v/>
      </c>
      <c r="L276" s="2">
        <f>ROUND(I276*INDEX(미지급률범위,E276),0)</f>
        <v/>
      </c>
      <c r="M276" s="2">
        <f>ROUND(I276*INDEX(과지급률범위,E276),0)</f>
        <v/>
      </c>
      <c r="N276" s="2">
        <f>MAX(0,L276-M276)</f>
        <v/>
      </c>
      <c r="O276" s="2">
        <f>K276-N276</f>
        <v/>
      </c>
      <c r="P276" s="2">
        <f>I276-N276</f>
        <v/>
      </c>
      <c r="Q276" s="5">
        <f>IF(G276&gt;기준일,1,0)</f>
        <v/>
      </c>
      <c r="R276" s="5">
        <f>IF(G276&lt;=기준일,1,0)</f>
        <v/>
      </c>
      <c r="S276" s="2">
        <f>J276*H276</f>
        <v/>
      </c>
      <c r="T276" s="5">
        <f>IF(AND(F276&gt;=표본시작,F276&lt;=표본종료),1,0)</f>
        <v/>
      </c>
      <c r="U276" s="5">
        <f>IF(AND(G276&gt;=조회시작,G276&lt;=조회종료),1,0)</f>
        <v/>
      </c>
    </row>
    <row r="277">
      <c r="A277" s="2">
        <f>ROW()-1</f>
        <v/>
      </c>
      <c r="B277" s="5">
        <f>INDEX(상호범위,D277)</f>
        <v/>
      </c>
      <c r="C277" s="5">
        <f>INDEX(플랫폼명범위,E277)</f>
        <v/>
      </c>
      <c r="D277" s="2">
        <f>MOD(INT((A277-1)/4),8)+1</f>
        <v/>
      </c>
      <c r="E277" s="2">
        <f>MOD(A277-1,4)+1</f>
        <v/>
      </c>
      <c r="F277" s="20">
        <f>축시작+INT((A277-1)/32)</f>
        <v/>
      </c>
      <c r="G277" s="20">
        <f>F277+H277</f>
        <v/>
      </c>
      <c r="H277" s="5" t="n">
        <v>8</v>
      </c>
      <c r="I277" s="2">
        <f>ROUND(INDEX(가맹점!$P$2:$P$9,D277)*INDEX(가맹점!$J$2:$M$9,D277,E277),0)</f>
        <v/>
      </c>
      <c r="J277" s="2">
        <f>ROUND(I277*(1-할인율),0)</f>
        <v/>
      </c>
      <c r="K277" s="2">
        <f>ROUNDDOWN(I277*할인율,0)</f>
        <v/>
      </c>
      <c r="L277" s="2">
        <f>ROUND(I277*INDEX(미지급률범위,E277),0)</f>
        <v/>
      </c>
      <c r="M277" s="2">
        <f>ROUND(I277*INDEX(과지급률범위,E277),0)</f>
        <v/>
      </c>
      <c r="N277" s="2">
        <f>MAX(0,L277-M277)</f>
        <v/>
      </c>
      <c r="O277" s="2">
        <f>K277-N277</f>
        <v/>
      </c>
      <c r="P277" s="2">
        <f>I277-N277</f>
        <v/>
      </c>
      <c r="Q277" s="5">
        <f>IF(G277&gt;기준일,1,0)</f>
        <v/>
      </c>
      <c r="R277" s="5">
        <f>IF(G277&lt;=기준일,1,0)</f>
        <v/>
      </c>
      <c r="S277" s="2">
        <f>J277*H277</f>
        <v/>
      </c>
      <c r="T277" s="5">
        <f>IF(AND(F277&gt;=표본시작,F277&lt;=표본종료),1,0)</f>
        <v/>
      </c>
      <c r="U277" s="5">
        <f>IF(AND(G277&gt;=조회시작,G277&lt;=조회종료),1,0)</f>
        <v/>
      </c>
    </row>
    <row r="278">
      <c r="A278" s="2">
        <f>ROW()-1</f>
        <v/>
      </c>
      <c r="B278" s="5">
        <f>INDEX(상호범위,D278)</f>
        <v/>
      </c>
      <c r="C278" s="5">
        <f>INDEX(플랫폼명범위,E278)</f>
        <v/>
      </c>
      <c r="D278" s="2">
        <f>MOD(INT((A278-1)/4),8)+1</f>
        <v/>
      </c>
      <c r="E278" s="2">
        <f>MOD(A278-1,4)+1</f>
        <v/>
      </c>
      <c r="F278" s="20">
        <f>축시작+INT((A278-1)/32)</f>
        <v/>
      </c>
      <c r="G278" s="20">
        <f>F278+H278</f>
        <v/>
      </c>
      <c r="H278" s="5" t="n">
        <v>1</v>
      </c>
      <c r="I278" s="2">
        <f>ROUND(INDEX(가맹점!$P$2:$P$9,D278)*INDEX(가맹점!$J$2:$M$9,D278,E278),0)</f>
        <v/>
      </c>
      <c r="J278" s="2">
        <f>ROUND(I278*(1-할인율),0)</f>
        <v/>
      </c>
      <c r="K278" s="2">
        <f>ROUNDDOWN(I278*할인율,0)</f>
        <v/>
      </c>
      <c r="L278" s="2">
        <f>ROUND(I278*INDEX(미지급률범위,E278),0)</f>
        <v/>
      </c>
      <c r="M278" s="2">
        <f>ROUND(I278*INDEX(과지급률범위,E278),0)</f>
        <v/>
      </c>
      <c r="N278" s="2">
        <f>MAX(0,L278-M278)</f>
        <v/>
      </c>
      <c r="O278" s="2">
        <f>K278-N278</f>
        <v/>
      </c>
      <c r="P278" s="2">
        <f>I278-N278</f>
        <v/>
      </c>
      <c r="Q278" s="5">
        <f>IF(G278&gt;기준일,1,0)</f>
        <v/>
      </c>
      <c r="R278" s="5">
        <f>IF(G278&lt;=기준일,1,0)</f>
        <v/>
      </c>
      <c r="S278" s="2">
        <f>J278*H278</f>
        <v/>
      </c>
      <c r="T278" s="5">
        <f>IF(AND(F278&gt;=표본시작,F278&lt;=표본종료),1,0)</f>
        <v/>
      </c>
      <c r="U278" s="5">
        <f>IF(AND(G278&gt;=조회시작,G278&lt;=조회종료),1,0)</f>
        <v/>
      </c>
    </row>
    <row r="279">
      <c r="A279" s="2">
        <f>ROW()-1</f>
        <v/>
      </c>
      <c r="B279" s="5">
        <f>INDEX(상호범위,D279)</f>
        <v/>
      </c>
      <c r="C279" s="5">
        <f>INDEX(플랫폼명범위,E279)</f>
        <v/>
      </c>
      <c r="D279" s="2">
        <f>MOD(INT((A279-1)/4),8)+1</f>
        <v/>
      </c>
      <c r="E279" s="2">
        <f>MOD(A279-1,4)+1</f>
        <v/>
      </c>
      <c r="F279" s="20">
        <f>축시작+INT((A279-1)/32)</f>
        <v/>
      </c>
      <c r="G279" s="20">
        <f>F279+H279</f>
        <v/>
      </c>
      <c r="H279" s="5" t="n">
        <v>4</v>
      </c>
      <c r="I279" s="2">
        <f>ROUND(INDEX(가맹점!$P$2:$P$9,D279)*INDEX(가맹점!$J$2:$M$9,D279,E279),0)</f>
        <v/>
      </c>
      <c r="J279" s="2">
        <f>ROUND(I279*(1-할인율),0)</f>
        <v/>
      </c>
      <c r="K279" s="2">
        <f>ROUNDDOWN(I279*할인율,0)</f>
        <v/>
      </c>
      <c r="L279" s="2">
        <f>ROUND(I279*INDEX(미지급률범위,E279),0)</f>
        <v/>
      </c>
      <c r="M279" s="2">
        <f>ROUND(I279*INDEX(과지급률범위,E279),0)</f>
        <v/>
      </c>
      <c r="N279" s="2">
        <f>MAX(0,L279-M279)</f>
        <v/>
      </c>
      <c r="O279" s="2">
        <f>K279-N279</f>
        <v/>
      </c>
      <c r="P279" s="2">
        <f>I279-N279</f>
        <v/>
      </c>
      <c r="Q279" s="5">
        <f>IF(G279&gt;기준일,1,0)</f>
        <v/>
      </c>
      <c r="R279" s="5">
        <f>IF(G279&lt;=기준일,1,0)</f>
        <v/>
      </c>
      <c r="S279" s="2">
        <f>J279*H279</f>
        <v/>
      </c>
      <c r="T279" s="5">
        <f>IF(AND(F279&gt;=표본시작,F279&lt;=표본종료),1,0)</f>
        <v/>
      </c>
      <c r="U279" s="5">
        <f>IF(AND(G279&gt;=조회시작,G279&lt;=조회종료),1,0)</f>
        <v/>
      </c>
    </row>
    <row r="280">
      <c r="A280" s="2">
        <f>ROW()-1</f>
        <v/>
      </c>
      <c r="B280" s="5">
        <f>INDEX(상호범위,D280)</f>
        <v/>
      </c>
      <c r="C280" s="5">
        <f>INDEX(플랫폼명범위,E280)</f>
        <v/>
      </c>
      <c r="D280" s="2">
        <f>MOD(INT((A280-1)/4),8)+1</f>
        <v/>
      </c>
      <c r="E280" s="2">
        <f>MOD(A280-1,4)+1</f>
        <v/>
      </c>
      <c r="F280" s="20">
        <f>축시작+INT((A280-1)/32)</f>
        <v/>
      </c>
      <c r="G280" s="20">
        <f>F280+H280</f>
        <v/>
      </c>
      <c r="H280" s="5" t="n">
        <v>3</v>
      </c>
      <c r="I280" s="2">
        <f>ROUND(INDEX(가맹점!$P$2:$P$9,D280)*INDEX(가맹점!$J$2:$M$9,D280,E280),0)</f>
        <v/>
      </c>
      <c r="J280" s="2">
        <f>ROUND(I280*(1-할인율),0)</f>
        <v/>
      </c>
      <c r="K280" s="2">
        <f>ROUNDDOWN(I280*할인율,0)</f>
        <v/>
      </c>
      <c r="L280" s="2">
        <f>ROUND(I280*INDEX(미지급률범위,E280),0)</f>
        <v/>
      </c>
      <c r="M280" s="2">
        <f>ROUND(I280*INDEX(과지급률범위,E280),0)</f>
        <v/>
      </c>
      <c r="N280" s="2">
        <f>MAX(0,L280-M280)</f>
        <v/>
      </c>
      <c r="O280" s="2">
        <f>K280-N280</f>
        <v/>
      </c>
      <c r="P280" s="2">
        <f>I280-N280</f>
        <v/>
      </c>
      <c r="Q280" s="5">
        <f>IF(G280&gt;기준일,1,0)</f>
        <v/>
      </c>
      <c r="R280" s="5">
        <f>IF(G280&lt;=기준일,1,0)</f>
        <v/>
      </c>
      <c r="S280" s="2">
        <f>J280*H280</f>
        <v/>
      </c>
      <c r="T280" s="5">
        <f>IF(AND(F280&gt;=표본시작,F280&lt;=표본종료),1,0)</f>
        <v/>
      </c>
      <c r="U280" s="5">
        <f>IF(AND(G280&gt;=조회시작,G280&lt;=조회종료),1,0)</f>
        <v/>
      </c>
    </row>
    <row r="281">
      <c r="A281" s="2">
        <f>ROW()-1</f>
        <v/>
      </c>
      <c r="B281" s="5">
        <f>INDEX(상호범위,D281)</f>
        <v/>
      </c>
      <c r="C281" s="5">
        <f>INDEX(플랫폼명범위,E281)</f>
        <v/>
      </c>
      <c r="D281" s="2">
        <f>MOD(INT((A281-1)/4),8)+1</f>
        <v/>
      </c>
      <c r="E281" s="2">
        <f>MOD(A281-1,4)+1</f>
        <v/>
      </c>
      <c r="F281" s="20">
        <f>축시작+INT((A281-1)/32)</f>
        <v/>
      </c>
      <c r="G281" s="20">
        <f>F281+H281</f>
        <v/>
      </c>
      <c r="H281" s="5" t="n">
        <v>6</v>
      </c>
      <c r="I281" s="2">
        <f>ROUND(INDEX(가맹점!$P$2:$P$9,D281)*INDEX(가맹점!$J$2:$M$9,D281,E281),0)</f>
        <v/>
      </c>
      <c r="J281" s="2">
        <f>ROUND(I281*(1-할인율),0)</f>
        <v/>
      </c>
      <c r="K281" s="2">
        <f>ROUNDDOWN(I281*할인율,0)</f>
        <v/>
      </c>
      <c r="L281" s="2">
        <f>ROUND(I281*INDEX(미지급률범위,E281),0)</f>
        <v/>
      </c>
      <c r="M281" s="2">
        <f>ROUND(I281*INDEX(과지급률범위,E281),0)</f>
        <v/>
      </c>
      <c r="N281" s="2">
        <f>MAX(0,L281-M281)</f>
        <v/>
      </c>
      <c r="O281" s="2">
        <f>K281-N281</f>
        <v/>
      </c>
      <c r="P281" s="2">
        <f>I281-N281</f>
        <v/>
      </c>
      <c r="Q281" s="5">
        <f>IF(G281&gt;기준일,1,0)</f>
        <v/>
      </c>
      <c r="R281" s="5">
        <f>IF(G281&lt;=기준일,1,0)</f>
        <v/>
      </c>
      <c r="S281" s="2">
        <f>J281*H281</f>
        <v/>
      </c>
      <c r="T281" s="5">
        <f>IF(AND(F281&gt;=표본시작,F281&lt;=표본종료),1,0)</f>
        <v/>
      </c>
      <c r="U281" s="5">
        <f>IF(AND(G281&gt;=조회시작,G281&lt;=조회종료),1,0)</f>
        <v/>
      </c>
    </row>
    <row r="282">
      <c r="A282" s="2">
        <f>ROW()-1</f>
        <v/>
      </c>
      <c r="B282" s="5">
        <f>INDEX(상호범위,D282)</f>
        <v/>
      </c>
      <c r="C282" s="5">
        <f>INDEX(플랫폼명범위,E282)</f>
        <v/>
      </c>
      <c r="D282" s="2">
        <f>MOD(INT((A282-1)/4),8)+1</f>
        <v/>
      </c>
      <c r="E282" s="2">
        <f>MOD(A282-1,4)+1</f>
        <v/>
      </c>
      <c r="F282" s="20">
        <f>축시작+INT((A282-1)/32)</f>
        <v/>
      </c>
      <c r="G282" s="20">
        <f>F282+H282</f>
        <v/>
      </c>
      <c r="H282" s="5" t="n">
        <v>1</v>
      </c>
      <c r="I282" s="2">
        <f>ROUND(INDEX(가맹점!$P$2:$P$9,D282)*INDEX(가맹점!$J$2:$M$9,D282,E282),0)</f>
        <v/>
      </c>
      <c r="J282" s="2">
        <f>ROUND(I282*(1-할인율),0)</f>
        <v/>
      </c>
      <c r="K282" s="2">
        <f>ROUNDDOWN(I282*할인율,0)</f>
        <v/>
      </c>
      <c r="L282" s="2">
        <f>ROUND(I282*INDEX(미지급률범위,E282),0)</f>
        <v/>
      </c>
      <c r="M282" s="2">
        <f>ROUND(I282*INDEX(과지급률범위,E282),0)</f>
        <v/>
      </c>
      <c r="N282" s="2">
        <f>MAX(0,L282-M282)</f>
        <v/>
      </c>
      <c r="O282" s="2">
        <f>K282-N282</f>
        <v/>
      </c>
      <c r="P282" s="2">
        <f>I282-N282</f>
        <v/>
      </c>
      <c r="Q282" s="5">
        <f>IF(G282&gt;기준일,1,0)</f>
        <v/>
      </c>
      <c r="R282" s="5">
        <f>IF(G282&lt;=기준일,1,0)</f>
        <v/>
      </c>
      <c r="S282" s="2">
        <f>J282*H282</f>
        <v/>
      </c>
      <c r="T282" s="5">
        <f>IF(AND(F282&gt;=표본시작,F282&lt;=표본종료),1,0)</f>
        <v/>
      </c>
      <c r="U282" s="5">
        <f>IF(AND(G282&gt;=조회시작,G282&lt;=조회종료),1,0)</f>
        <v/>
      </c>
    </row>
    <row r="283">
      <c r="A283" s="2">
        <f>ROW()-1</f>
        <v/>
      </c>
      <c r="B283" s="5">
        <f>INDEX(상호범위,D283)</f>
        <v/>
      </c>
      <c r="C283" s="5">
        <f>INDEX(플랫폼명범위,E283)</f>
        <v/>
      </c>
      <c r="D283" s="2">
        <f>MOD(INT((A283-1)/4),8)+1</f>
        <v/>
      </c>
      <c r="E283" s="2">
        <f>MOD(A283-1,4)+1</f>
        <v/>
      </c>
      <c r="F283" s="20">
        <f>축시작+INT((A283-1)/32)</f>
        <v/>
      </c>
      <c r="G283" s="20">
        <f>F283+H283</f>
        <v/>
      </c>
      <c r="H283" s="5" t="n">
        <v>2</v>
      </c>
      <c r="I283" s="2">
        <f>ROUND(INDEX(가맹점!$P$2:$P$9,D283)*INDEX(가맹점!$J$2:$M$9,D283,E283),0)</f>
        <v/>
      </c>
      <c r="J283" s="2">
        <f>ROUND(I283*(1-할인율),0)</f>
        <v/>
      </c>
      <c r="K283" s="2">
        <f>ROUNDDOWN(I283*할인율,0)</f>
        <v/>
      </c>
      <c r="L283" s="2">
        <f>ROUND(I283*INDEX(미지급률범위,E283),0)</f>
        <v/>
      </c>
      <c r="M283" s="2">
        <f>ROUND(I283*INDEX(과지급률범위,E283),0)</f>
        <v/>
      </c>
      <c r="N283" s="2">
        <f>MAX(0,L283-M283)</f>
        <v/>
      </c>
      <c r="O283" s="2">
        <f>K283-N283</f>
        <v/>
      </c>
      <c r="P283" s="2">
        <f>I283-N283</f>
        <v/>
      </c>
      <c r="Q283" s="5">
        <f>IF(G283&gt;기준일,1,0)</f>
        <v/>
      </c>
      <c r="R283" s="5">
        <f>IF(G283&lt;=기준일,1,0)</f>
        <v/>
      </c>
      <c r="S283" s="2">
        <f>J283*H283</f>
        <v/>
      </c>
      <c r="T283" s="5">
        <f>IF(AND(F283&gt;=표본시작,F283&lt;=표본종료),1,0)</f>
        <v/>
      </c>
      <c r="U283" s="5">
        <f>IF(AND(G283&gt;=조회시작,G283&lt;=조회종료),1,0)</f>
        <v/>
      </c>
    </row>
    <row r="284">
      <c r="A284" s="2">
        <f>ROW()-1</f>
        <v/>
      </c>
      <c r="B284" s="5">
        <f>INDEX(상호범위,D284)</f>
        <v/>
      </c>
      <c r="C284" s="5">
        <f>INDEX(플랫폼명범위,E284)</f>
        <v/>
      </c>
      <c r="D284" s="2">
        <f>MOD(INT((A284-1)/4),8)+1</f>
        <v/>
      </c>
      <c r="E284" s="2">
        <f>MOD(A284-1,4)+1</f>
        <v/>
      </c>
      <c r="F284" s="20">
        <f>축시작+INT((A284-1)/32)</f>
        <v/>
      </c>
      <c r="G284" s="20">
        <f>F284+H284</f>
        <v/>
      </c>
      <c r="H284" s="5" t="n">
        <v>3</v>
      </c>
      <c r="I284" s="2">
        <f>ROUND(INDEX(가맹점!$P$2:$P$9,D284)*INDEX(가맹점!$J$2:$M$9,D284,E284),0)</f>
        <v/>
      </c>
      <c r="J284" s="2">
        <f>ROUND(I284*(1-할인율),0)</f>
        <v/>
      </c>
      <c r="K284" s="2">
        <f>ROUNDDOWN(I284*할인율,0)</f>
        <v/>
      </c>
      <c r="L284" s="2">
        <f>ROUND(I284*INDEX(미지급률범위,E284),0)</f>
        <v/>
      </c>
      <c r="M284" s="2">
        <f>ROUND(I284*INDEX(과지급률범위,E284),0)</f>
        <v/>
      </c>
      <c r="N284" s="2">
        <f>MAX(0,L284-M284)</f>
        <v/>
      </c>
      <c r="O284" s="2">
        <f>K284-N284</f>
        <v/>
      </c>
      <c r="P284" s="2">
        <f>I284-N284</f>
        <v/>
      </c>
      <c r="Q284" s="5">
        <f>IF(G284&gt;기준일,1,0)</f>
        <v/>
      </c>
      <c r="R284" s="5">
        <f>IF(G284&lt;=기준일,1,0)</f>
        <v/>
      </c>
      <c r="S284" s="2">
        <f>J284*H284</f>
        <v/>
      </c>
      <c r="T284" s="5">
        <f>IF(AND(F284&gt;=표본시작,F284&lt;=표본종료),1,0)</f>
        <v/>
      </c>
      <c r="U284" s="5">
        <f>IF(AND(G284&gt;=조회시작,G284&lt;=조회종료),1,0)</f>
        <v/>
      </c>
    </row>
    <row r="285">
      <c r="A285" s="2">
        <f>ROW()-1</f>
        <v/>
      </c>
      <c r="B285" s="5">
        <f>INDEX(상호범위,D285)</f>
        <v/>
      </c>
      <c r="C285" s="5">
        <f>INDEX(플랫폼명범위,E285)</f>
        <v/>
      </c>
      <c r="D285" s="2">
        <f>MOD(INT((A285-1)/4),8)+1</f>
        <v/>
      </c>
      <c r="E285" s="2">
        <f>MOD(A285-1,4)+1</f>
        <v/>
      </c>
      <c r="F285" s="20">
        <f>축시작+INT((A285-1)/32)</f>
        <v/>
      </c>
      <c r="G285" s="20">
        <f>F285+H285</f>
        <v/>
      </c>
      <c r="H285" s="5" t="n">
        <v>6</v>
      </c>
      <c r="I285" s="2">
        <f>ROUND(INDEX(가맹점!$P$2:$P$9,D285)*INDEX(가맹점!$J$2:$M$9,D285,E285),0)</f>
        <v/>
      </c>
      <c r="J285" s="2">
        <f>ROUND(I285*(1-할인율),0)</f>
        <v/>
      </c>
      <c r="K285" s="2">
        <f>ROUNDDOWN(I285*할인율,0)</f>
        <v/>
      </c>
      <c r="L285" s="2">
        <f>ROUND(I285*INDEX(미지급률범위,E285),0)</f>
        <v/>
      </c>
      <c r="M285" s="2">
        <f>ROUND(I285*INDEX(과지급률범위,E285),0)</f>
        <v/>
      </c>
      <c r="N285" s="2">
        <f>MAX(0,L285-M285)</f>
        <v/>
      </c>
      <c r="O285" s="2">
        <f>K285-N285</f>
        <v/>
      </c>
      <c r="P285" s="2">
        <f>I285-N285</f>
        <v/>
      </c>
      <c r="Q285" s="5">
        <f>IF(G285&gt;기준일,1,0)</f>
        <v/>
      </c>
      <c r="R285" s="5">
        <f>IF(G285&lt;=기준일,1,0)</f>
        <v/>
      </c>
      <c r="S285" s="2">
        <f>J285*H285</f>
        <v/>
      </c>
      <c r="T285" s="5">
        <f>IF(AND(F285&gt;=표본시작,F285&lt;=표본종료),1,0)</f>
        <v/>
      </c>
      <c r="U285" s="5">
        <f>IF(AND(G285&gt;=조회시작,G285&lt;=조회종료),1,0)</f>
        <v/>
      </c>
    </row>
    <row r="286">
      <c r="A286" s="2">
        <f>ROW()-1</f>
        <v/>
      </c>
      <c r="B286" s="5">
        <f>INDEX(상호범위,D286)</f>
        <v/>
      </c>
      <c r="C286" s="5">
        <f>INDEX(플랫폼명범위,E286)</f>
        <v/>
      </c>
      <c r="D286" s="2">
        <f>MOD(INT((A286-1)/4),8)+1</f>
        <v/>
      </c>
      <c r="E286" s="2">
        <f>MOD(A286-1,4)+1</f>
        <v/>
      </c>
      <c r="F286" s="20">
        <f>축시작+INT((A286-1)/32)</f>
        <v/>
      </c>
      <c r="G286" s="20">
        <f>F286+H286</f>
        <v/>
      </c>
      <c r="H286" s="5" t="n">
        <v>1</v>
      </c>
      <c r="I286" s="2">
        <f>ROUND(INDEX(가맹점!$P$2:$P$9,D286)*INDEX(가맹점!$J$2:$M$9,D286,E286),0)</f>
        <v/>
      </c>
      <c r="J286" s="2">
        <f>ROUND(I286*(1-할인율),0)</f>
        <v/>
      </c>
      <c r="K286" s="2">
        <f>ROUNDDOWN(I286*할인율,0)</f>
        <v/>
      </c>
      <c r="L286" s="2">
        <f>ROUND(I286*INDEX(미지급률범위,E286),0)</f>
        <v/>
      </c>
      <c r="M286" s="2">
        <f>ROUND(I286*INDEX(과지급률범위,E286),0)</f>
        <v/>
      </c>
      <c r="N286" s="2">
        <f>MAX(0,L286-M286)</f>
        <v/>
      </c>
      <c r="O286" s="2">
        <f>K286-N286</f>
        <v/>
      </c>
      <c r="P286" s="2">
        <f>I286-N286</f>
        <v/>
      </c>
      <c r="Q286" s="5">
        <f>IF(G286&gt;기준일,1,0)</f>
        <v/>
      </c>
      <c r="R286" s="5">
        <f>IF(G286&lt;=기준일,1,0)</f>
        <v/>
      </c>
      <c r="S286" s="2">
        <f>J286*H286</f>
        <v/>
      </c>
      <c r="T286" s="5">
        <f>IF(AND(F286&gt;=표본시작,F286&lt;=표본종료),1,0)</f>
        <v/>
      </c>
      <c r="U286" s="5">
        <f>IF(AND(G286&gt;=조회시작,G286&lt;=조회종료),1,0)</f>
        <v/>
      </c>
    </row>
    <row r="287">
      <c r="A287" s="2">
        <f>ROW()-1</f>
        <v/>
      </c>
      <c r="B287" s="5">
        <f>INDEX(상호범위,D287)</f>
        <v/>
      </c>
      <c r="C287" s="5">
        <f>INDEX(플랫폼명범위,E287)</f>
        <v/>
      </c>
      <c r="D287" s="2">
        <f>MOD(INT((A287-1)/4),8)+1</f>
        <v/>
      </c>
      <c r="E287" s="2">
        <f>MOD(A287-1,4)+1</f>
        <v/>
      </c>
      <c r="F287" s="20">
        <f>축시작+INT((A287-1)/32)</f>
        <v/>
      </c>
      <c r="G287" s="20">
        <f>F287+H287</f>
        <v/>
      </c>
      <c r="H287" s="5" t="n">
        <v>4</v>
      </c>
      <c r="I287" s="2">
        <f>ROUND(INDEX(가맹점!$P$2:$P$9,D287)*INDEX(가맹점!$J$2:$M$9,D287,E287),0)</f>
        <v/>
      </c>
      <c r="J287" s="2">
        <f>ROUND(I287*(1-할인율),0)</f>
        <v/>
      </c>
      <c r="K287" s="2">
        <f>ROUNDDOWN(I287*할인율,0)</f>
        <v/>
      </c>
      <c r="L287" s="2">
        <f>ROUND(I287*INDEX(미지급률범위,E287),0)</f>
        <v/>
      </c>
      <c r="M287" s="2">
        <f>ROUND(I287*INDEX(과지급률범위,E287),0)</f>
        <v/>
      </c>
      <c r="N287" s="2">
        <f>MAX(0,L287-M287)</f>
        <v/>
      </c>
      <c r="O287" s="2">
        <f>K287-N287</f>
        <v/>
      </c>
      <c r="P287" s="2">
        <f>I287-N287</f>
        <v/>
      </c>
      <c r="Q287" s="5">
        <f>IF(G287&gt;기준일,1,0)</f>
        <v/>
      </c>
      <c r="R287" s="5">
        <f>IF(G287&lt;=기준일,1,0)</f>
        <v/>
      </c>
      <c r="S287" s="2">
        <f>J287*H287</f>
        <v/>
      </c>
      <c r="T287" s="5">
        <f>IF(AND(F287&gt;=표본시작,F287&lt;=표본종료),1,0)</f>
        <v/>
      </c>
      <c r="U287" s="5">
        <f>IF(AND(G287&gt;=조회시작,G287&lt;=조회종료),1,0)</f>
        <v/>
      </c>
    </row>
    <row r="288">
      <c r="A288" s="2">
        <f>ROW()-1</f>
        <v/>
      </c>
      <c r="B288" s="5">
        <f>INDEX(상호범위,D288)</f>
        <v/>
      </c>
      <c r="C288" s="5">
        <f>INDEX(플랫폼명범위,E288)</f>
        <v/>
      </c>
      <c r="D288" s="2">
        <f>MOD(INT((A288-1)/4),8)+1</f>
        <v/>
      </c>
      <c r="E288" s="2">
        <f>MOD(A288-1,4)+1</f>
        <v/>
      </c>
      <c r="F288" s="20">
        <f>축시작+INT((A288-1)/32)</f>
        <v/>
      </c>
      <c r="G288" s="20">
        <f>F288+H288</f>
        <v/>
      </c>
      <c r="H288" s="5" t="n">
        <v>4</v>
      </c>
      <c r="I288" s="2">
        <f>ROUND(INDEX(가맹점!$P$2:$P$9,D288)*INDEX(가맹점!$J$2:$M$9,D288,E288),0)</f>
        <v/>
      </c>
      <c r="J288" s="2">
        <f>ROUND(I288*(1-할인율),0)</f>
        <v/>
      </c>
      <c r="K288" s="2">
        <f>ROUNDDOWN(I288*할인율,0)</f>
        <v/>
      </c>
      <c r="L288" s="2">
        <f>ROUND(I288*INDEX(미지급률범위,E288),0)</f>
        <v/>
      </c>
      <c r="M288" s="2">
        <f>ROUND(I288*INDEX(과지급률범위,E288),0)</f>
        <v/>
      </c>
      <c r="N288" s="2">
        <f>MAX(0,L288-M288)</f>
        <v/>
      </c>
      <c r="O288" s="2">
        <f>K288-N288</f>
        <v/>
      </c>
      <c r="P288" s="2">
        <f>I288-N288</f>
        <v/>
      </c>
      <c r="Q288" s="5">
        <f>IF(G288&gt;기준일,1,0)</f>
        <v/>
      </c>
      <c r="R288" s="5">
        <f>IF(G288&lt;=기준일,1,0)</f>
        <v/>
      </c>
      <c r="S288" s="2">
        <f>J288*H288</f>
        <v/>
      </c>
      <c r="T288" s="5">
        <f>IF(AND(F288&gt;=표본시작,F288&lt;=표본종료),1,0)</f>
        <v/>
      </c>
      <c r="U288" s="5">
        <f>IF(AND(G288&gt;=조회시작,G288&lt;=조회종료),1,0)</f>
        <v/>
      </c>
    </row>
    <row r="289">
      <c r="A289" s="2">
        <f>ROW()-1</f>
        <v/>
      </c>
      <c r="B289" s="5">
        <f>INDEX(상호범위,D289)</f>
        <v/>
      </c>
      <c r="C289" s="5">
        <f>INDEX(플랫폼명범위,E289)</f>
        <v/>
      </c>
      <c r="D289" s="2">
        <f>MOD(INT((A289-1)/4),8)+1</f>
        <v/>
      </c>
      <c r="E289" s="2">
        <f>MOD(A289-1,4)+1</f>
        <v/>
      </c>
      <c r="F289" s="20">
        <f>축시작+INT((A289-1)/32)</f>
        <v/>
      </c>
      <c r="G289" s="20">
        <f>F289+H289</f>
        <v/>
      </c>
      <c r="H289" s="5" t="n">
        <v>5</v>
      </c>
      <c r="I289" s="2">
        <f>ROUND(INDEX(가맹점!$P$2:$P$9,D289)*INDEX(가맹점!$J$2:$M$9,D289,E289),0)</f>
        <v/>
      </c>
      <c r="J289" s="2">
        <f>ROUND(I289*(1-할인율),0)</f>
        <v/>
      </c>
      <c r="K289" s="2">
        <f>ROUNDDOWN(I289*할인율,0)</f>
        <v/>
      </c>
      <c r="L289" s="2">
        <f>ROUND(I289*INDEX(미지급률범위,E289),0)</f>
        <v/>
      </c>
      <c r="M289" s="2">
        <f>ROUND(I289*INDEX(과지급률범위,E289),0)</f>
        <v/>
      </c>
      <c r="N289" s="2">
        <f>MAX(0,L289-M289)</f>
        <v/>
      </c>
      <c r="O289" s="2">
        <f>K289-N289</f>
        <v/>
      </c>
      <c r="P289" s="2">
        <f>I289-N289</f>
        <v/>
      </c>
      <c r="Q289" s="5">
        <f>IF(G289&gt;기준일,1,0)</f>
        <v/>
      </c>
      <c r="R289" s="5">
        <f>IF(G289&lt;=기준일,1,0)</f>
        <v/>
      </c>
      <c r="S289" s="2">
        <f>J289*H289</f>
        <v/>
      </c>
      <c r="T289" s="5">
        <f>IF(AND(F289&gt;=표본시작,F289&lt;=표본종료),1,0)</f>
        <v/>
      </c>
      <c r="U289" s="5">
        <f>IF(AND(G289&gt;=조회시작,G289&lt;=조회종료),1,0)</f>
        <v/>
      </c>
    </row>
    <row r="290">
      <c r="A290" s="2">
        <f>ROW()-1</f>
        <v/>
      </c>
      <c r="B290" s="5">
        <f>INDEX(상호범위,D290)</f>
        <v/>
      </c>
      <c r="C290" s="5">
        <f>INDEX(플랫폼명범위,E290)</f>
        <v/>
      </c>
      <c r="D290" s="2">
        <f>MOD(INT((A290-1)/4),8)+1</f>
        <v/>
      </c>
      <c r="E290" s="2">
        <f>MOD(A290-1,4)+1</f>
        <v/>
      </c>
      <c r="F290" s="20">
        <f>축시작+INT((A290-1)/32)</f>
        <v/>
      </c>
      <c r="G290" s="20">
        <f>F290+H290</f>
        <v/>
      </c>
      <c r="H290" s="5" t="n">
        <v>1</v>
      </c>
      <c r="I290" s="2">
        <f>ROUND(INDEX(가맹점!$P$2:$P$9,D290)*INDEX(가맹점!$J$2:$M$9,D290,E290),0)</f>
        <v/>
      </c>
      <c r="J290" s="2">
        <f>ROUND(I290*(1-할인율),0)</f>
        <v/>
      </c>
      <c r="K290" s="2">
        <f>ROUNDDOWN(I290*할인율,0)</f>
        <v/>
      </c>
      <c r="L290" s="2">
        <f>ROUND(I290*INDEX(미지급률범위,E290),0)</f>
        <v/>
      </c>
      <c r="M290" s="2">
        <f>ROUND(I290*INDEX(과지급률범위,E290),0)</f>
        <v/>
      </c>
      <c r="N290" s="2">
        <f>MAX(0,L290-M290)</f>
        <v/>
      </c>
      <c r="O290" s="2">
        <f>K290-N290</f>
        <v/>
      </c>
      <c r="P290" s="2">
        <f>I290-N290</f>
        <v/>
      </c>
      <c r="Q290" s="5">
        <f>IF(G290&gt;기준일,1,0)</f>
        <v/>
      </c>
      <c r="R290" s="5">
        <f>IF(G290&lt;=기준일,1,0)</f>
        <v/>
      </c>
      <c r="S290" s="2">
        <f>J290*H290</f>
        <v/>
      </c>
      <c r="T290" s="5">
        <f>IF(AND(F290&gt;=표본시작,F290&lt;=표본종료),1,0)</f>
        <v/>
      </c>
      <c r="U290" s="5">
        <f>IF(AND(G290&gt;=조회시작,G290&lt;=조회종료),1,0)</f>
        <v/>
      </c>
    </row>
    <row r="291">
      <c r="A291" s="2">
        <f>ROW()-1</f>
        <v/>
      </c>
      <c r="B291" s="5">
        <f>INDEX(상호범위,D291)</f>
        <v/>
      </c>
      <c r="C291" s="5">
        <f>INDEX(플랫폼명범위,E291)</f>
        <v/>
      </c>
      <c r="D291" s="2">
        <f>MOD(INT((A291-1)/4),8)+1</f>
        <v/>
      </c>
      <c r="E291" s="2">
        <f>MOD(A291-1,4)+1</f>
        <v/>
      </c>
      <c r="F291" s="20">
        <f>축시작+INT((A291-1)/32)</f>
        <v/>
      </c>
      <c r="G291" s="20">
        <f>F291+H291</f>
        <v/>
      </c>
      <c r="H291" s="5" t="n">
        <v>4</v>
      </c>
      <c r="I291" s="2">
        <f>ROUND(INDEX(가맹점!$P$2:$P$9,D291)*INDEX(가맹점!$J$2:$M$9,D291,E291),0)</f>
        <v/>
      </c>
      <c r="J291" s="2">
        <f>ROUND(I291*(1-할인율),0)</f>
        <v/>
      </c>
      <c r="K291" s="2">
        <f>ROUNDDOWN(I291*할인율,0)</f>
        <v/>
      </c>
      <c r="L291" s="2">
        <f>ROUND(I291*INDEX(미지급률범위,E291),0)</f>
        <v/>
      </c>
      <c r="M291" s="2">
        <f>ROUND(I291*INDEX(과지급률범위,E291),0)</f>
        <v/>
      </c>
      <c r="N291" s="2">
        <f>MAX(0,L291-M291)</f>
        <v/>
      </c>
      <c r="O291" s="2">
        <f>K291-N291</f>
        <v/>
      </c>
      <c r="P291" s="2">
        <f>I291-N291</f>
        <v/>
      </c>
      <c r="Q291" s="5">
        <f>IF(G291&gt;기준일,1,0)</f>
        <v/>
      </c>
      <c r="R291" s="5">
        <f>IF(G291&lt;=기준일,1,0)</f>
        <v/>
      </c>
      <c r="S291" s="2">
        <f>J291*H291</f>
        <v/>
      </c>
      <c r="T291" s="5">
        <f>IF(AND(F291&gt;=표본시작,F291&lt;=표본종료),1,0)</f>
        <v/>
      </c>
      <c r="U291" s="5">
        <f>IF(AND(G291&gt;=조회시작,G291&lt;=조회종료),1,0)</f>
        <v/>
      </c>
    </row>
    <row r="292">
      <c r="A292" s="2">
        <f>ROW()-1</f>
        <v/>
      </c>
      <c r="B292" s="5">
        <f>INDEX(상호범위,D292)</f>
        <v/>
      </c>
      <c r="C292" s="5">
        <f>INDEX(플랫폼명범위,E292)</f>
        <v/>
      </c>
      <c r="D292" s="2">
        <f>MOD(INT((A292-1)/4),8)+1</f>
        <v/>
      </c>
      <c r="E292" s="2">
        <f>MOD(A292-1,4)+1</f>
        <v/>
      </c>
      <c r="F292" s="20">
        <f>축시작+INT((A292-1)/32)</f>
        <v/>
      </c>
      <c r="G292" s="20">
        <f>F292+H292</f>
        <v/>
      </c>
      <c r="H292" s="5" t="n">
        <v>4</v>
      </c>
      <c r="I292" s="2">
        <f>ROUND(INDEX(가맹점!$P$2:$P$9,D292)*INDEX(가맹점!$J$2:$M$9,D292,E292),0)</f>
        <v/>
      </c>
      <c r="J292" s="2">
        <f>ROUND(I292*(1-할인율),0)</f>
        <v/>
      </c>
      <c r="K292" s="2">
        <f>ROUNDDOWN(I292*할인율,0)</f>
        <v/>
      </c>
      <c r="L292" s="2">
        <f>ROUND(I292*INDEX(미지급률범위,E292),0)</f>
        <v/>
      </c>
      <c r="M292" s="2">
        <f>ROUND(I292*INDEX(과지급률범위,E292),0)</f>
        <v/>
      </c>
      <c r="N292" s="2">
        <f>MAX(0,L292-M292)</f>
        <v/>
      </c>
      <c r="O292" s="2">
        <f>K292-N292</f>
        <v/>
      </c>
      <c r="P292" s="2">
        <f>I292-N292</f>
        <v/>
      </c>
      <c r="Q292" s="5">
        <f>IF(G292&gt;기준일,1,0)</f>
        <v/>
      </c>
      <c r="R292" s="5">
        <f>IF(G292&lt;=기준일,1,0)</f>
        <v/>
      </c>
      <c r="S292" s="2">
        <f>J292*H292</f>
        <v/>
      </c>
      <c r="T292" s="5">
        <f>IF(AND(F292&gt;=표본시작,F292&lt;=표본종료),1,0)</f>
        <v/>
      </c>
      <c r="U292" s="5">
        <f>IF(AND(G292&gt;=조회시작,G292&lt;=조회종료),1,0)</f>
        <v/>
      </c>
    </row>
    <row r="293">
      <c r="A293" s="2">
        <f>ROW()-1</f>
        <v/>
      </c>
      <c r="B293" s="5">
        <f>INDEX(상호범위,D293)</f>
        <v/>
      </c>
      <c r="C293" s="5">
        <f>INDEX(플랫폼명범위,E293)</f>
        <v/>
      </c>
      <c r="D293" s="2">
        <f>MOD(INT((A293-1)/4),8)+1</f>
        <v/>
      </c>
      <c r="E293" s="2">
        <f>MOD(A293-1,4)+1</f>
        <v/>
      </c>
      <c r="F293" s="20">
        <f>축시작+INT((A293-1)/32)</f>
        <v/>
      </c>
      <c r="G293" s="20">
        <f>F293+H293</f>
        <v/>
      </c>
      <c r="H293" s="5" t="n">
        <v>13</v>
      </c>
      <c r="I293" s="2">
        <f>ROUND(INDEX(가맹점!$P$2:$P$9,D293)*INDEX(가맹점!$J$2:$M$9,D293,E293),0)</f>
        <v/>
      </c>
      <c r="J293" s="2">
        <f>ROUND(I293*(1-할인율),0)</f>
        <v/>
      </c>
      <c r="K293" s="2">
        <f>ROUNDDOWN(I293*할인율,0)</f>
        <v/>
      </c>
      <c r="L293" s="2">
        <f>ROUND(I293*INDEX(미지급률범위,E293),0)</f>
        <v/>
      </c>
      <c r="M293" s="2">
        <f>ROUND(I293*INDEX(과지급률범위,E293),0)</f>
        <v/>
      </c>
      <c r="N293" s="2">
        <f>MAX(0,L293-M293)</f>
        <v/>
      </c>
      <c r="O293" s="2">
        <f>K293-N293</f>
        <v/>
      </c>
      <c r="P293" s="2">
        <f>I293-N293</f>
        <v/>
      </c>
      <c r="Q293" s="5">
        <f>IF(G293&gt;기준일,1,0)</f>
        <v/>
      </c>
      <c r="R293" s="5">
        <f>IF(G293&lt;=기준일,1,0)</f>
        <v/>
      </c>
      <c r="S293" s="2">
        <f>J293*H293</f>
        <v/>
      </c>
      <c r="T293" s="5">
        <f>IF(AND(F293&gt;=표본시작,F293&lt;=표본종료),1,0)</f>
        <v/>
      </c>
      <c r="U293" s="5">
        <f>IF(AND(G293&gt;=조회시작,G293&lt;=조회종료),1,0)</f>
        <v/>
      </c>
    </row>
    <row r="294">
      <c r="A294" s="2">
        <f>ROW()-1</f>
        <v/>
      </c>
      <c r="B294" s="5">
        <f>INDEX(상호범위,D294)</f>
        <v/>
      </c>
      <c r="C294" s="5">
        <f>INDEX(플랫폼명범위,E294)</f>
        <v/>
      </c>
      <c r="D294" s="2">
        <f>MOD(INT((A294-1)/4),8)+1</f>
        <v/>
      </c>
      <c r="E294" s="2">
        <f>MOD(A294-1,4)+1</f>
        <v/>
      </c>
      <c r="F294" s="20">
        <f>축시작+INT((A294-1)/32)</f>
        <v/>
      </c>
      <c r="G294" s="20">
        <f>F294+H294</f>
        <v/>
      </c>
      <c r="H294" s="5" t="n">
        <v>2</v>
      </c>
      <c r="I294" s="2">
        <f>ROUND(INDEX(가맹점!$P$2:$P$9,D294)*INDEX(가맹점!$J$2:$M$9,D294,E294),0)</f>
        <v/>
      </c>
      <c r="J294" s="2">
        <f>ROUND(I294*(1-할인율),0)</f>
        <v/>
      </c>
      <c r="K294" s="2">
        <f>ROUNDDOWN(I294*할인율,0)</f>
        <v/>
      </c>
      <c r="L294" s="2">
        <f>ROUND(I294*INDEX(미지급률범위,E294),0)</f>
        <v/>
      </c>
      <c r="M294" s="2">
        <f>ROUND(I294*INDEX(과지급률범위,E294),0)</f>
        <v/>
      </c>
      <c r="N294" s="2">
        <f>MAX(0,L294-M294)</f>
        <v/>
      </c>
      <c r="O294" s="2">
        <f>K294-N294</f>
        <v/>
      </c>
      <c r="P294" s="2">
        <f>I294-N294</f>
        <v/>
      </c>
      <c r="Q294" s="5">
        <f>IF(G294&gt;기준일,1,0)</f>
        <v/>
      </c>
      <c r="R294" s="5">
        <f>IF(G294&lt;=기준일,1,0)</f>
        <v/>
      </c>
      <c r="S294" s="2">
        <f>J294*H294</f>
        <v/>
      </c>
      <c r="T294" s="5">
        <f>IF(AND(F294&gt;=표본시작,F294&lt;=표본종료),1,0)</f>
        <v/>
      </c>
      <c r="U294" s="5">
        <f>IF(AND(G294&gt;=조회시작,G294&lt;=조회종료),1,0)</f>
        <v/>
      </c>
    </row>
    <row r="295">
      <c r="A295" s="2">
        <f>ROW()-1</f>
        <v/>
      </c>
      <c r="B295" s="5">
        <f>INDEX(상호범위,D295)</f>
        <v/>
      </c>
      <c r="C295" s="5">
        <f>INDEX(플랫폼명범위,E295)</f>
        <v/>
      </c>
      <c r="D295" s="2">
        <f>MOD(INT((A295-1)/4),8)+1</f>
        <v/>
      </c>
      <c r="E295" s="2">
        <f>MOD(A295-1,4)+1</f>
        <v/>
      </c>
      <c r="F295" s="20">
        <f>축시작+INT((A295-1)/32)</f>
        <v/>
      </c>
      <c r="G295" s="20">
        <f>F295+H295</f>
        <v/>
      </c>
      <c r="H295" s="5" t="n">
        <v>4</v>
      </c>
      <c r="I295" s="2">
        <f>ROUND(INDEX(가맹점!$P$2:$P$9,D295)*INDEX(가맹점!$J$2:$M$9,D295,E295),0)</f>
        <v/>
      </c>
      <c r="J295" s="2">
        <f>ROUND(I295*(1-할인율),0)</f>
        <v/>
      </c>
      <c r="K295" s="2">
        <f>ROUNDDOWN(I295*할인율,0)</f>
        <v/>
      </c>
      <c r="L295" s="2">
        <f>ROUND(I295*INDEX(미지급률범위,E295),0)</f>
        <v/>
      </c>
      <c r="M295" s="2">
        <f>ROUND(I295*INDEX(과지급률범위,E295),0)</f>
        <v/>
      </c>
      <c r="N295" s="2">
        <f>MAX(0,L295-M295)</f>
        <v/>
      </c>
      <c r="O295" s="2">
        <f>K295-N295</f>
        <v/>
      </c>
      <c r="P295" s="2">
        <f>I295-N295</f>
        <v/>
      </c>
      <c r="Q295" s="5">
        <f>IF(G295&gt;기준일,1,0)</f>
        <v/>
      </c>
      <c r="R295" s="5">
        <f>IF(G295&lt;=기준일,1,0)</f>
        <v/>
      </c>
      <c r="S295" s="2">
        <f>J295*H295</f>
        <v/>
      </c>
      <c r="T295" s="5">
        <f>IF(AND(F295&gt;=표본시작,F295&lt;=표본종료),1,0)</f>
        <v/>
      </c>
      <c r="U295" s="5">
        <f>IF(AND(G295&gt;=조회시작,G295&lt;=조회종료),1,0)</f>
        <v/>
      </c>
    </row>
    <row r="296">
      <c r="A296" s="2">
        <f>ROW()-1</f>
        <v/>
      </c>
      <c r="B296" s="5">
        <f>INDEX(상호범위,D296)</f>
        <v/>
      </c>
      <c r="C296" s="5">
        <f>INDEX(플랫폼명범위,E296)</f>
        <v/>
      </c>
      <c r="D296" s="2">
        <f>MOD(INT((A296-1)/4),8)+1</f>
        <v/>
      </c>
      <c r="E296" s="2">
        <f>MOD(A296-1,4)+1</f>
        <v/>
      </c>
      <c r="F296" s="20">
        <f>축시작+INT((A296-1)/32)</f>
        <v/>
      </c>
      <c r="G296" s="20">
        <f>F296+H296</f>
        <v/>
      </c>
      <c r="H296" s="5" t="n">
        <v>3</v>
      </c>
      <c r="I296" s="2">
        <f>ROUND(INDEX(가맹점!$P$2:$P$9,D296)*INDEX(가맹점!$J$2:$M$9,D296,E296),0)</f>
        <v/>
      </c>
      <c r="J296" s="2">
        <f>ROUND(I296*(1-할인율),0)</f>
        <v/>
      </c>
      <c r="K296" s="2">
        <f>ROUNDDOWN(I296*할인율,0)</f>
        <v/>
      </c>
      <c r="L296" s="2">
        <f>ROUND(I296*INDEX(미지급률범위,E296),0)</f>
        <v/>
      </c>
      <c r="M296" s="2">
        <f>ROUND(I296*INDEX(과지급률범위,E296),0)</f>
        <v/>
      </c>
      <c r="N296" s="2">
        <f>MAX(0,L296-M296)</f>
        <v/>
      </c>
      <c r="O296" s="2">
        <f>K296-N296</f>
        <v/>
      </c>
      <c r="P296" s="2">
        <f>I296-N296</f>
        <v/>
      </c>
      <c r="Q296" s="5">
        <f>IF(G296&gt;기준일,1,0)</f>
        <v/>
      </c>
      <c r="R296" s="5">
        <f>IF(G296&lt;=기준일,1,0)</f>
        <v/>
      </c>
      <c r="S296" s="2">
        <f>J296*H296</f>
        <v/>
      </c>
      <c r="T296" s="5">
        <f>IF(AND(F296&gt;=표본시작,F296&lt;=표본종료),1,0)</f>
        <v/>
      </c>
      <c r="U296" s="5">
        <f>IF(AND(G296&gt;=조회시작,G296&lt;=조회종료),1,0)</f>
        <v/>
      </c>
    </row>
    <row r="297">
      <c r="A297" s="2">
        <f>ROW()-1</f>
        <v/>
      </c>
      <c r="B297" s="5">
        <f>INDEX(상호범위,D297)</f>
        <v/>
      </c>
      <c r="C297" s="5">
        <f>INDEX(플랫폼명범위,E297)</f>
        <v/>
      </c>
      <c r="D297" s="2">
        <f>MOD(INT((A297-1)/4),8)+1</f>
        <v/>
      </c>
      <c r="E297" s="2">
        <f>MOD(A297-1,4)+1</f>
        <v/>
      </c>
      <c r="F297" s="20">
        <f>축시작+INT((A297-1)/32)</f>
        <v/>
      </c>
      <c r="G297" s="20">
        <f>F297+H297</f>
        <v/>
      </c>
      <c r="H297" s="5" t="n">
        <v>6</v>
      </c>
      <c r="I297" s="2">
        <f>ROUND(INDEX(가맹점!$P$2:$P$9,D297)*INDEX(가맹점!$J$2:$M$9,D297,E297),0)</f>
        <v/>
      </c>
      <c r="J297" s="2">
        <f>ROUND(I297*(1-할인율),0)</f>
        <v/>
      </c>
      <c r="K297" s="2">
        <f>ROUNDDOWN(I297*할인율,0)</f>
        <v/>
      </c>
      <c r="L297" s="2">
        <f>ROUND(I297*INDEX(미지급률범위,E297),0)</f>
        <v/>
      </c>
      <c r="M297" s="2">
        <f>ROUND(I297*INDEX(과지급률범위,E297),0)</f>
        <v/>
      </c>
      <c r="N297" s="2">
        <f>MAX(0,L297-M297)</f>
        <v/>
      </c>
      <c r="O297" s="2">
        <f>K297-N297</f>
        <v/>
      </c>
      <c r="P297" s="2">
        <f>I297-N297</f>
        <v/>
      </c>
      <c r="Q297" s="5">
        <f>IF(G297&gt;기준일,1,0)</f>
        <v/>
      </c>
      <c r="R297" s="5">
        <f>IF(G297&lt;=기준일,1,0)</f>
        <v/>
      </c>
      <c r="S297" s="2">
        <f>J297*H297</f>
        <v/>
      </c>
      <c r="T297" s="5">
        <f>IF(AND(F297&gt;=표본시작,F297&lt;=표본종료),1,0)</f>
        <v/>
      </c>
      <c r="U297" s="5">
        <f>IF(AND(G297&gt;=조회시작,G297&lt;=조회종료),1,0)</f>
        <v/>
      </c>
    </row>
    <row r="298">
      <c r="A298" s="2">
        <f>ROW()-1</f>
        <v/>
      </c>
      <c r="B298" s="5">
        <f>INDEX(상호범위,D298)</f>
        <v/>
      </c>
      <c r="C298" s="5">
        <f>INDEX(플랫폼명범위,E298)</f>
        <v/>
      </c>
      <c r="D298" s="2">
        <f>MOD(INT((A298-1)/4),8)+1</f>
        <v/>
      </c>
      <c r="E298" s="2">
        <f>MOD(A298-1,4)+1</f>
        <v/>
      </c>
      <c r="F298" s="20">
        <f>축시작+INT((A298-1)/32)</f>
        <v/>
      </c>
      <c r="G298" s="20">
        <f>F298+H298</f>
        <v/>
      </c>
      <c r="H298" s="5" t="n">
        <v>3</v>
      </c>
      <c r="I298" s="2">
        <f>ROUND(INDEX(가맹점!$P$2:$P$9,D298)*INDEX(가맹점!$J$2:$M$9,D298,E298),0)</f>
        <v/>
      </c>
      <c r="J298" s="2">
        <f>ROUND(I298*(1-할인율),0)</f>
        <v/>
      </c>
      <c r="K298" s="2">
        <f>ROUNDDOWN(I298*할인율,0)</f>
        <v/>
      </c>
      <c r="L298" s="2">
        <f>ROUND(I298*INDEX(미지급률범위,E298),0)</f>
        <v/>
      </c>
      <c r="M298" s="2">
        <f>ROUND(I298*INDEX(과지급률범위,E298),0)</f>
        <v/>
      </c>
      <c r="N298" s="2">
        <f>MAX(0,L298-M298)</f>
        <v/>
      </c>
      <c r="O298" s="2">
        <f>K298-N298</f>
        <v/>
      </c>
      <c r="P298" s="2">
        <f>I298-N298</f>
        <v/>
      </c>
      <c r="Q298" s="5">
        <f>IF(G298&gt;기준일,1,0)</f>
        <v/>
      </c>
      <c r="R298" s="5">
        <f>IF(G298&lt;=기준일,1,0)</f>
        <v/>
      </c>
      <c r="S298" s="2">
        <f>J298*H298</f>
        <v/>
      </c>
      <c r="T298" s="5">
        <f>IF(AND(F298&gt;=표본시작,F298&lt;=표본종료),1,0)</f>
        <v/>
      </c>
      <c r="U298" s="5">
        <f>IF(AND(G298&gt;=조회시작,G298&lt;=조회종료),1,0)</f>
        <v/>
      </c>
    </row>
    <row r="299">
      <c r="A299" s="2">
        <f>ROW()-1</f>
        <v/>
      </c>
      <c r="B299" s="5">
        <f>INDEX(상호범위,D299)</f>
        <v/>
      </c>
      <c r="C299" s="5">
        <f>INDEX(플랫폼명범위,E299)</f>
        <v/>
      </c>
      <c r="D299" s="2">
        <f>MOD(INT((A299-1)/4),8)+1</f>
        <v/>
      </c>
      <c r="E299" s="2">
        <f>MOD(A299-1,4)+1</f>
        <v/>
      </c>
      <c r="F299" s="20">
        <f>축시작+INT((A299-1)/32)</f>
        <v/>
      </c>
      <c r="G299" s="20">
        <f>F299+H299</f>
        <v/>
      </c>
      <c r="H299" s="5" t="n">
        <v>4</v>
      </c>
      <c r="I299" s="2">
        <f>ROUND(INDEX(가맹점!$P$2:$P$9,D299)*INDEX(가맹점!$J$2:$M$9,D299,E299),0)</f>
        <v/>
      </c>
      <c r="J299" s="2">
        <f>ROUND(I299*(1-할인율),0)</f>
        <v/>
      </c>
      <c r="K299" s="2">
        <f>ROUNDDOWN(I299*할인율,0)</f>
        <v/>
      </c>
      <c r="L299" s="2">
        <f>ROUND(I299*INDEX(미지급률범위,E299),0)</f>
        <v/>
      </c>
      <c r="M299" s="2">
        <f>ROUND(I299*INDEX(과지급률범위,E299),0)</f>
        <v/>
      </c>
      <c r="N299" s="2">
        <f>MAX(0,L299-M299)</f>
        <v/>
      </c>
      <c r="O299" s="2">
        <f>K299-N299</f>
        <v/>
      </c>
      <c r="P299" s="2">
        <f>I299-N299</f>
        <v/>
      </c>
      <c r="Q299" s="5">
        <f>IF(G299&gt;기준일,1,0)</f>
        <v/>
      </c>
      <c r="R299" s="5">
        <f>IF(G299&lt;=기준일,1,0)</f>
        <v/>
      </c>
      <c r="S299" s="2">
        <f>J299*H299</f>
        <v/>
      </c>
      <c r="T299" s="5">
        <f>IF(AND(F299&gt;=표본시작,F299&lt;=표본종료),1,0)</f>
        <v/>
      </c>
      <c r="U299" s="5">
        <f>IF(AND(G299&gt;=조회시작,G299&lt;=조회종료),1,0)</f>
        <v/>
      </c>
    </row>
    <row r="300">
      <c r="A300" s="2">
        <f>ROW()-1</f>
        <v/>
      </c>
      <c r="B300" s="5">
        <f>INDEX(상호범위,D300)</f>
        <v/>
      </c>
      <c r="C300" s="5">
        <f>INDEX(플랫폼명범위,E300)</f>
        <v/>
      </c>
      <c r="D300" s="2">
        <f>MOD(INT((A300-1)/4),8)+1</f>
        <v/>
      </c>
      <c r="E300" s="2">
        <f>MOD(A300-1,4)+1</f>
        <v/>
      </c>
      <c r="F300" s="20">
        <f>축시작+INT((A300-1)/32)</f>
        <v/>
      </c>
      <c r="G300" s="20">
        <f>F300+H300</f>
        <v/>
      </c>
      <c r="H300" s="5" t="n">
        <v>4</v>
      </c>
      <c r="I300" s="2">
        <f>ROUND(INDEX(가맹점!$P$2:$P$9,D300)*INDEX(가맹점!$J$2:$M$9,D300,E300),0)</f>
        <v/>
      </c>
      <c r="J300" s="2">
        <f>ROUND(I300*(1-할인율),0)</f>
        <v/>
      </c>
      <c r="K300" s="2">
        <f>ROUNDDOWN(I300*할인율,0)</f>
        <v/>
      </c>
      <c r="L300" s="2">
        <f>ROUND(I300*INDEX(미지급률범위,E300),0)</f>
        <v/>
      </c>
      <c r="M300" s="2">
        <f>ROUND(I300*INDEX(과지급률범위,E300),0)</f>
        <v/>
      </c>
      <c r="N300" s="2">
        <f>MAX(0,L300-M300)</f>
        <v/>
      </c>
      <c r="O300" s="2">
        <f>K300-N300</f>
        <v/>
      </c>
      <c r="P300" s="2">
        <f>I300-N300</f>
        <v/>
      </c>
      <c r="Q300" s="5">
        <f>IF(G300&gt;기준일,1,0)</f>
        <v/>
      </c>
      <c r="R300" s="5">
        <f>IF(G300&lt;=기준일,1,0)</f>
        <v/>
      </c>
      <c r="S300" s="2">
        <f>J300*H300</f>
        <v/>
      </c>
      <c r="T300" s="5">
        <f>IF(AND(F300&gt;=표본시작,F300&lt;=표본종료),1,0)</f>
        <v/>
      </c>
      <c r="U300" s="5">
        <f>IF(AND(G300&gt;=조회시작,G300&lt;=조회종료),1,0)</f>
        <v/>
      </c>
    </row>
    <row r="301">
      <c r="A301" s="2">
        <f>ROW()-1</f>
        <v/>
      </c>
      <c r="B301" s="5">
        <f>INDEX(상호범위,D301)</f>
        <v/>
      </c>
      <c r="C301" s="5">
        <f>INDEX(플랫폼명범위,E301)</f>
        <v/>
      </c>
      <c r="D301" s="2">
        <f>MOD(INT((A301-1)/4),8)+1</f>
        <v/>
      </c>
      <c r="E301" s="2">
        <f>MOD(A301-1,4)+1</f>
        <v/>
      </c>
      <c r="F301" s="20">
        <f>축시작+INT((A301-1)/32)</f>
        <v/>
      </c>
      <c r="G301" s="20">
        <f>F301+H301</f>
        <v/>
      </c>
      <c r="H301" s="5" t="n">
        <v>6</v>
      </c>
      <c r="I301" s="2">
        <f>ROUND(INDEX(가맹점!$P$2:$P$9,D301)*INDEX(가맹점!$J$2:$M$9,D301,E301),0)</f>
        <v/>
      </c>
      <c r="J301" s="2">
        <f>ROUND(I301*(1-할인율),0)</f>
        <v/>
      </c>
      <c r="K301" s="2">
        <f>ROUNDDOWN(I301*할인율,0)</f>
        <v/>
      </c>
      <c r="L301" s="2">
        <f>ROUND(I301*INDEX(미지급률범위,E301),0)</f>
        <v/>
      </c>
      <c r="M301" s="2">
        <f>ROUND(I301*INDEX(과지급률범위,E301),0)</f>
        <v/>
      </c>
      <c r="N301" s="2">
        <f>MAX(0,L301-M301)</f>
        <v/>
      </c>
      <c r="O301" s="2">
        <f>K301-N301</f>
        <v/>
      </c>
      <c r="P301" s="2">
        <f>I301-N301</f>
        <v/>
      </c>
      <c r="Q301" s="5">
        <f>IF(G301&gt;기준일,1,0)</f>
        <v/>
      </c>
      <c r="R301" s="5">
        <f>IF(G301&lt;=기준일,1,0)</f>
        <v/>
      </c>
      <c r="S301" s="2">
        <f>J301*H301</f>
        <v/>
      </c>
      <c r="T301" s="5">
        <f>IF(AND(F301&gt;=표본시작,F301&lt;=표본종료),1,0)</f>
        <v/>
      </c>
      <c r="U301" s="5">
        <f>IF(AND(G301&gt;=조회시작,G301&lt;=조회종료),1,0)</f>
        <v/>
      </c>
    </row>
    <row r="302">
      <c r="A302" s="2">
        <f>ROW()-1</f>
        <v/>
      </c>
      <c r="B302" s="5">
        <f>INDEX(상호범위,D302)</f>
        <v/>
      </c>
      <c r="C302" s="5">
        <f>INDEX(플랫폼명범위,E302)</f>
        <v/>
      </c>
      <c r="D302" s="2">
        <f>MOD(INT((A302-1)/4),8)+1</f>
        <v/>
      </c>
      <c r="E302" s="2">
        <f>MOD(A302-1,4)+1</f>
        <v/>
      </c>
      <c r="F302" s="20">
        <f>축시작+INT((A302-1)/32)</f>
        <v/>
      </c>
      <c r="G302" s="20">
        <f>F302+H302</f>
        <v/>
      </c>
      <c r="H302" s="5" t="n">
        <v>1</v>
      </c>
      <c r="I302" s="2">
        <f>ROUND(INDEX(가맹점!$P$2:$P$9,D302)*INDEX(가맹점!$J$2:$M$9,D302,E302),0)</f>
        <v/>
      </c>
      <c r="J302" s="2">
        <f>ROUND(I302*(1-할인율),0)</f>
        <v/>
      </c>
      <c r="K302" s="2">
        <f>ROUNDDOWN(I302*할인율,0)</f>
        <v/>
      </c>
      <c r="L302" s="2">
        <f>ROUND(I302*INDEX(미지급률범위,E302),0)</f>
        <v/>
      </c>
      <c r="M302" s="2">
        <f>ROUND(I302*INDEX(과지급률범위,E302),0)</f>
        <v/>
      </c>
      <c r="N302" s="2">
        <f>MAX(0,L302-M302)</f>
        <v/>
      </c>
      <c r="O302" s="2">
        <f>K302-N302</f>
        <v/>
      </c>
      <c r="P302" s="2">
        <f>I302-N302</f>
        <v/>
      </c>
      <c r="Q302" s="5">
        <f>IF(G302&gt;기준일,1,0)</f>
        <v/>
      </c>
      <c r="R302" s="5">
        <f>IF(G302&lt;=기준일,1,0)</f>
        <v/>
      </c>
      <c r="S302" s="2">
        <f>J302*H302</f>
        <v/>
      </c>
      <c r="T302" s="5">
        <f>IF(AND(F302&gt;=표본시작,F302&lt;=표본종료),1,0)</f>
        <v/>
      </c>
      <c r="U302" s="5">
        <f>IF(AND(G302&gt;=조회시작,G302&lt;=조회종료),1,0)</f>
        <v/>
      </c>
    </row>
    <row r="303">
      <c r="A303" s="2">
        <f>ROW()-1</f>
        <v/>
      </c>
      <c r="B303" s="5">
        <f>INDEX(상호범위,D303)</f>
        <v/>
      </c>
      <c r="C303" s="5">
        <f>INDEX(플랫폼명범위,E303)</f>
        <v/>
      </c>
      <c r="D303" s="2">
        <f>MOD(INT((A303-1)/4),8)+1</f>
        <v/>
      </c>
      <c r="E303" s="2">
        <f>MOD(A303-1,4)+1</f>
        <v/>
      </c>
      <c r="F303" s="20">
        <f>축시작+INT((A303-1)/32)</f>
        <v/>
      </c>
      <c r="G303" s="20">
        <f>F303+H303</f>
        <v/>
      </c>
      <c r="H303" s="5" t="n">
        <v>2</v>
      </c>
      <c r="I303" s="2">
        <f>ROUND(INDEX(가맹점!$P$2:$P$9,D303)*INDEX(가맹점!$J$2:$M$9,D303,E303),0)</f>
        <v/>
      </c>
      <c r="J303" s="2">
        <f>ROUND(I303*(1-할인율),0)</f>
        <v/>
      </c>
      <c r="K303" s="2">
        <f>ROUNDDOWN(I303*할인율,0)</f>
        <v/>
      </c>
      <c r="L303" s="2">
        <f>ROUND(I303*INDEX(미지급률범위,E303),0)</f>
        <v/>
      </c>
      <c r="M303" s="2">
        <f>ROUND(I303*INDEX(과지급률범위,E303),0)</f>
        <v/>
      </c>
      <c r="N303" s="2">
        <f>MAX(0,L303-M303)</f>
        <v/>
      </c>
      <c r="O303" s="2">
        <f>K303-N303</f>
        <v/>
      </c>
      <c r="P303" s="2">
        <f>I303-N303</f>
        <v/>
      </c>
      <c r="Q303" s="5">
        <f>IF(G303&gt;기준일,1,0)</f>
        <v/>
      </c>
      <c r="R303" s="5">
        <f>IF(G303&lt;=기준일,1,0)</f>
        <v/>
      </c>
      <c r="S303" s="2">
        <f>J303*H303</f>
        <v/>
      </c>
      <c r="T303" s="5">
        <f>IF(AND(F303&gt;=표본시작,F303&lt;=표본종료),1,0)</f>
        <v/>
      </c>
      <c r="U303" s="5">
        <f>IF(AND(G303&gt;=조회시작,G303&lt;=조회종료),1,0)</f>
        <v/>
      </c>
    </row>
    <row r="304">
      <c r="A304" s="2">
        <f>ROW()-1</f>
        <v/>
      </c>
      <c r="B304" s="5">
        <f>INDEX(상호범위,D304)</f>
        <v/>
      </c>
      <c r="C304" s="5">
        <f>INDEX(플랫폼명범위,E304)</f>
        <v/>
      </c>
      <c r="D304" s="2">
        <f>MOD(INT((A304-1)/4),8)+1</f>
        <v/>
      </c>
      <c r="E304" s="2">
        <f>MOD(A304-1,4)+1</f>
        <v/>
      </c>
      <c r="F304" s="20">
        <f>축시작+INT((A304-1)/32)</f>
        <v/>
      </c>
      <c r="G304" s="20">
        <f>F304+H304</f>
        <v/>
      </c>
      <c r="H304" s="5" t="n">
        <v>5</v>
      </c>
      <c r="I304" s="2">
        <f>ROUND(INDEX(가맹점!$P$2:$P$9,D304)*INDEX(가맹점!$J$2:$M$9,D304,E304),0)</f>
        <v/>
      </c>
      <c r="J304" s="2">
        <f>ROUND(I304*(1-할인율),0)</f>
        <v/>
      </c>
      <c r="K304" s="2">
        <f>ROUNDDOWN(I304*할인율,0)</f>
        <v/>
      </c>
      <c r="L304" s="2">
        <f>ROUND(I304*INDEX(미지급률범위,E304),0)</f>
        <v/>
      </c>
      <c r="M304" s="2">
        <f>ROUND(I304*INDEX(과지급률범위,E304),0)</f>
        <v/>
      </c>
      <c r="N304" s="2">
        <f>MAX(0,L304-M304)</f>
        <v/>
      </c>
      <c r="O304" s="2">
        <f>K304-N304</f>
        <v/>
      </c>
      <c r="P304" s="2">
        <f>I304-N304</f>
        <v/>
      </c>
      <c r="Q304" s="5">
        <f>IF(G304&gt;기준일,1,0)</f>
        <v/>
      </c>
      <c r="R304" s="5">
        <f>IF(G304&lt;=기준일,1,0)</f>
        <v/>
      </c>
      <c r="S304" s="2">
        <f>J304*H304</f>
        <v/>
      </c>
      <c r="T304" s="5">
        <f>IF(AND(F304&gt;=표본시작,F304&lt;=표본종료),1,0)</f>
        <v/>
      </c>
      <c r="U304" s="5">
        <f>IF(AND(G304&gt;=조회시작,G304&lt;=조회종료),1,0)</f>
        <v/>
      </c>
    </row>
    <row r="305">
      <c r="A305" s="2">
        <f>ROW()-1</f>
        <v/>
      </c>
      <c r="B305" s="5">
        <f>INDEX(상호범위,D305)</f>
        <v/>
      </c>
      <c r="C305" s="5">
        <f>INDEX(플랫폼명범위,E305)</f>
        <v/>
      </c>
      <c r="D305" s="2">
        <f>MOD(INT((A305-1)/4),8)+1</f>
        <v/>
      </c>
      <c r="E305" s="2">
        <f>MOD(A305-1,4)+1</f>
        <v/>
      </c>
      <c r="F305" s="20">
        <f>축시작+INT((A305-1)/32)</f>
        <v/>
      </c>
      <c r="G305" s="20">
        <f>F305+H305</f>
        <v/>
      </c>
      <c r="H305" s="5" t="n">
        <v>6</v>
      </c>
      <c r="I305" s="2">
        <f>ROUND(INDEX(가맹점!$P$2:$P$9,D305)*INDEX(가맹점!$J$2:$M$9,D305,E305),0)</f>
        <v/>
      </c>
      <c r="J305" s="2">
        <f>ROUND(I305*(1-할인율),0)</f>
        <v/>
      </c>
      <c r="K305" s="2">
        <f>ROUNDDOWN(I305*할인율,0)</f>
        <v/>
      </c>
      <c r="L305" s="2">
        <f>ROUND(I305*INDEX(미지급률범위,E305),0)</f>
        <v/>
      </c>
      <c r="M305" s="2">
        <f>ROUND(I305*INDEX(과지급률범위,E305),0)</f>
        <v/>
      </c>
      <c r="N305" s="2">
        <f>MAX(0,L305-M305)</f>
        <v/>
      </c>
      <c r="O305" s="2">
        <f>K305-N305</f>
        <v/>
      </c>
      <c r="P305" s="2">
        <f>I305-N305</f>
        <v/>
      </c>
      <c r="Q305" s="5">
        <f>IF(G305&gt;기준일,1,0)</f>
        <v/>
      </c>
      <c r="R305" s="5">
        <f>IF(G305&lt;=기준일,1,0)</f>
        <v/>
      </c>
      <c r="S305" s="2">
        <f>J305*H305</f>
        <v/>
      </c>
      <c r="T305" s="5">
        <f>IF(AND(F305&gt;=표본시작,F305&lt;=표본종료),1,0)</f>
        <v/>
      </c>
      <c r="U305" s="5">
        <f>IF(AND(G305&gt;=조회시작,G305&lt;=조회종료),1,0)</f>
        <v/>
      </c>
    </row>
    <row r="306">
      <c r="A306" s="2">
        <f>ROW()-1</f>
        <v/>
      </c>
      <c r="B306" s="5">
        <f>INDEX(상호범위,D306)</f>
        <v/>
      </c>
      <c r="C306" s="5">
        <f>INDEX(플랫폼명범위,E306)</f>
        <v/>
      </c>
      <c r="D306" s="2">
        <f>MOD(INT((A306-1)/4),8)+1</f>
        <v/>
      </c>
      <c r="E306" s="2">
        <f>MOD(A306-1,4)+1</f>
        <v/>
      </c>
      <c r="F306" s="20">
        <f>축시작+INT((A306-1)/32)</f>
        <v/>
      </c>
      <c r="G306" s="20">
        <f>F306+H306</f>
        <v/>
      </c>
      <c r="H306" s="5" t="n">
        <v>1</v>
      </c>
      <c r="I306" s="2">
        <f>ROUND(INDEX(가맹점!$P$2:$P$9,D306)*INDEX(가맹점!$J$2:$M$9,D306,E306),0)</f>
        <v/>
      </c>
      <c r="J306" s="2">
        <f>ROUND(I306*(1-할인율),0)</f>
        <v/>
      </c>
      <c r="K306" s="2">
        <f>ROUNDDOWN(I306*할인율,0)</f>
        <v/>
      </c>
      <c r="L306" s="2">
        <f>ROUND(I306*INDEX(미지급률범위,E306),0)</f>
        <v/>
      </c>
      <c r="M306" s="2">
        <f>ROUND(I306*INDEX(과지급률범위,E306),0)</f>
        <v/>
      </c>
      <c r="N306" s="2">
        <f>MAX(0,L306-M306)</f>
        <v/>
      </c>
      <c r="O306" s="2">
        <f>K306-N306</f>
        <v/>
      </c>
      <c r="P306" s="2">
        <f>I306-N306</f>
        <v/>
      </c>
      <c r="Q306" s="5">
        <f>IF(G306&gt;기준일,1,0)</f>
        <v/>
      </c>
      <c r="R306" s="5">
        <f>IF(G306&lt;=기준일,1,0)</f>
        <v/>
      </c>
      <c r="S306" s="2">
        <f>J306*H306</f>
        <v/>
      </c>
      <c r="T306" s="5">
        <f>IF(AND(F306&gt;=표본시작,F306&lt;=표본종료),1,0)</f>
        <v/>
      </c>
      <c r="U306" s="5">
        <f>IF(AND(G306&gt;=조회시작,G306&lt;=조회종료),1,0)</f>
        <v/>
      </c>
    </row>
    <row r="307">
      <c r="A307" s="2">
        <f>ROW()-1</f>
        <v/>
      </c>
      <c r="B307" s="5">
        <f>INDEX(상호범위,D307)</f>
        <v/>
      </c>
      <c r="C307" s="5">
        <f>INDEX(플랫폼명범위,E307)</f>
        <v/>
      </c>
      <c r="D307" s="2">
        <f>MOD(INT((A307-1)/4),8)+1</f>
        <v/>
      </c>
      <c r="E307" s="2">
        <f>MOD(A307-1,4)+1</f>
        <v/>
      </c>
      <c r="F307" s="20">
        <f>축시작+INT((A307-1)/32)</f>
        <v/>
      </c>
      <c r="G307" s="20">
        <f>F307+H307</f>
        <v/>
      </c>
      <c r="H307" s="5" t="n">
        <v>5</v>
      </c>
      <c r="I307" s="2">
        <f>ROUND(INDEX(가맹점!$P$2:$P$9,D307)*INDEX(가맹점!$J$2:$M$9,D307,E307),0)</f>
        <v/>
      </c>
      <c r="J307" s="2">
        <f>ROUND(I307*(1-할인율),0)</f>
        <v/>
      </c>
      <c r="K307" s="2">
        <f>ROUNDDOWN(I307*할인율,0)</f>
        <v/>
      </c>
      <c r="L307" s="2">
        <f>ROUND(I307*INDEX(미지급률범위,E307),0)</f>
        <v/>
      </c>
      <c r="M307" s="2">
        <f>ROUND(I307*INDEX(과지급률범위,E307),0)</f>
        <v/>
      </c>
      <c r="N307" s="2">
        <f>MAX(0,L307-M307)</f>
        <v/>
      </c>
      <c r="O307" s="2">
        <f>K307-N307</f>
        <v/>
      </c>
      <c r="P307" s="2">
        <f>I307-N307</f>
        <v/>
      </c>
      <c r="Q307" s="5">
        <f>IF(G307&gt;기준일,1,0)</f>
        <v/>
      </c>
      <c r="R307" s="5">
        <f>IF(G307&lt;=기준일,1,0)</f>
        <v/>
      </c>
      <c r="S307" s="2">
        <f>J307*H307</f>
        <v/>
      </c>
      <c r="T307" s="5">
        <f>IF(AND(F307&gt;=표본시작,F307&lt;=표본종료),1,0)</f>
        <v/>
      </c>
      <c r="U307" s="5">
        <f>IF(AND(G307&gt;=조회시작,G307&lt;=조회종료),1,0)</f>
        <v/>
      </c>
    </row>
    <row r="308">
      <c r="A308" s="2">
        <f>ROW()-1</f>
        <v/>
      </c>
      <c r="B308" s="5">
        <f>INDEX(상호범위,D308)</f>
        <v/>
      </c>
      <c r="C308" s="5">
        <f>INDEX(플랫폼명범위,E308)</f>
        <v/>
      </c>
      <c r="D308" s="2">
        <f>MOD(INT((A308-1)/4),8)+1</f>
        <v/>
      </c>
      <c r="E308" s="2">
        <f>MOD(A308-1,4)+1</f>
        <v/>
      </c>
      <c r="F308" s="20">
        <f>축시작+INT((A308-1)/32)</f>
        <v/>
      </c>
      <c r="G308" s="20">
        <f>F308+H308</f>
        <v/>
      </c>
      <c r="H308" s="5" t="n">
        <v>3</v>
      </c>
      <c r="I308" s="2">
        <f>ROUND(INDEX(가맹점!$P$2:$P$9,D308)*INDEX(가맹점!$J$2:$M$9,D308,E308),0)</f>
        <v/>
      </c>
      <c r="J308" s="2">
        <f>ROUND(I308*(1-할인율),0)</f>
        <v/>
      </c>
      <c r="K308" s="2">
        <f>ROUNDDOWN(I308*할인율,0)</f>
        <v/>
      </c>
      <c r="L308" s="2">
        <f>ROUND(I308*INDEX(미지급률범위,E308),0)</f>
        <v/>
      </c>
      <c r="M308" s="2">
        <f>ROUND(I308*INDEX(과지급률범위,E308),0)</f>
        <v/>
      </c>
      <c r="N308" s="2">
        <f>MAX(0,L308-M308)</f>
        <v/>
      </c>
      <c r="O308" s="2">
        <f>K308-N308</f>
        <v/>
      </c>
      <c r="P308" s="2">
        <f>I308-N308</f>
        <v/>
      </c>
      <c r="Q308" s="5">
        <f>IF(G308&gt;기준일,1,0)</f>
        <v/>
      </c>
      <c r="R308" s="5">
        <f>IF(G308&lt;=기준일,1,0)</f>
        <v/>
      </c>
      <c r="S308" s="2">
        <f>J308*H308</f>
        <v/>
      </c>
      <c r="T308" s="5">
        <f>IF(AND(F308&gt;=표본시작,F308&lt;=표본종료),1,0)</f>
        <v/>
      </c>
      <c r="U308" s="5">
        <f>IF(AND(G308&gt;=조회시작,G308&lt;=조회종료),1,0)</f>
        <v/>
      </c>
    </row>
    <row r="309">
      <c r="A309" s="2">
        <f>ROW()-1</f>
        <v/>
      </c>
      <c r="B309" s="5">
        <f>INDEX(상호범위,D309)</f>
        <v/>
      </c>
      <c r="C309" s="5">
        <f>INDEX(플랫폼명범위,E309)</f>
        <v/>
      </c>
      <c r="D309" s="2">
        <f>MOD(INT((A309-1)/4),8)+1</f>
        <v/>
      </c>
      <c r="E309" s="2">
        <f>MOD(A309-1,4)+1</f>
        <v/>
      </c>
      <c r="F309" s="20">
        <f>축시작+INT((A309-1)/32)</f>
        <v/>
      </c>
      <c r="G309" s="20">
        <f>F309+H309</f>
        <v/>
      </c>
      <c r="H309" s="5" t="n">
        <v>6</v>
      </c>
      <c r="I309" s="2">
        <f>ROUND(INDEX(가맹점!$P$2:$P$9,D309)*INDEX(가맹점!$J$2:$M$9,D309,E309),0)</f>
        <v/>
      </c>
      <c r="J309" s="2">
        <f>ROUND(I309*(1-할인율),0)</f>
        <v/>
      </c>
      <c r="K309" s="2">
        <f>ROUNDDOWN(I309*할인율,0)</f>
        <v/>
      </c>
      <c r="L309" s="2">
        <f>ROUND(I309*INDEX(미지급률범위,E309),0)</f>
        <v/>
      </c>
      <c r="M309" s="2">
        <f>ROUND(I309*INDEX(과지급률범위,E309),0)</f>
        <v/>
      </c>
      <c r="N309" s="2">
        <f>MAX(0,L309-M309)</f>
        <v/>
      </c>
      <c r="O309" s="2">
        <f>K309-N309</f>
        <v/>
      </c>
      <c r="P309" s="2">
        <f>I309-N309</f>
        <v/>
      </c>
      <c r="Q309" s="5">
        <f>IF(G309&gt;기준일,1,0)</f>
        <v/>
      </c>
      <c r="R309" s="5">
        <f>IF(G309&lt;=기준일,1,0)</f>
        <v/>
      </c>
      <c r="S309" s="2">
        <f>J309*H309</f>
        <v/>
      </c>
      <c r="T309" s="5">
        <f>IF(AND(F309&gt;=표본시작,F309&lt;=표본종료),1,0)</f>
        <v/>
      </c>
      <c r="U309" s="5">
        <f>IF(AND(G309&gt;=조회시작,G309&lt;=조회종료),1,0)</f>
        <v/>
      </c>
    </row>
    <row r="310">
      <c r="A310" s="2">
        <f>ROW()-1</f>
        <v/>
      </c>
      <c r="B310" s="5">
        <f>INDEX(상호범위,D310)</f>
        <v/>
      </c>
      <c r="C310" s="5">
        <f>INDEX(플랫폼명범위,E310)</f>
        <v/>
      </c>
      <c r="D310" s="2">
        <f>MOD(INT((A310-1)/4),8)+1</f>
        <v/>
      </c>
      <c r="E310" s="2">
        <f>MOD(A310-1,4)+1</f>
        <v/>
      </c>
      <c r="F310" s="20">
        <f>축시작+INT((A310-1)/32)</f>
        <v/>
      </c>
      <c r="G310" s="20">
        <f>F310+H310</f>
        <v/>
      </c>
      <c r="H310" s="5" t="n">
        <v>2</v>
      </c>
      <c r="I310" s="2">
        <f>ROUND(INDEX(가맹점!$P$2:$P$9,D310)*INDEX(가맹점!$J$2:$M$9,D310,E310),0)</f>
        <v/>
      </c>
      <c r="J310" s="2">
        <f>ROUND(I310*(1-할인율),0)</f>
        <v/>
      </c>
      <c r="K310" s="2">
        <f>ROUNDDOWN(I310*할인율,0)</f>
        <v/>
      </c>
      <c r="L310" s="2">
        <f>ROUND(I310*INDEX(미지급률범위,E310),0)</f>
        <v/>
      </c>
      <c r="M310" s="2">
        <f>ROUND(I310*INDEX(과지급률범위,E310),0)</f>
        <v/>
      </c>
      <c r="N310" s="2">
        <f>MAX(0,L310-M310)</f>
        <v/>
      </c>
      <c r="O310" s="2">
        <f>K310-N310</f>
        <v/>
      </c>
      <c r="P310" s="2">
        <f>I310-N310</f>
        <v/>
      </c>
      <c r="Q310" s="5">
        <f>IF(G310&gt;기준일,1,0)</f>
        <v/>
      </c>
      <c r="R310" s="5">
        <f>IF(G310&lt;=기준일,1,0)</f>
        <v/>
      </c>
      <c r="S310" s="2">
        <f>J310*H310</f>
        <v/>
      </c>
      <c r="T310" s="5">
        <f>IF(AND(F310&gt;=표본시작,F310&lt;=표본종료),1,0)</f>
        <v/>
      </c>
      <c r="U310" s="5">
        <f>IF(AND(G310&gt;=조회시작,G310&lt;=조회종료),1,0)</f>
        <v/>
      </c>
    </row>
    <row r="311">
      <c r="A311" s="2">
        <f>ROW()-1</f>
        <v/>
      </c>
      <c r="B311" s="5">
        <f>INDEX(상호범위,D311)</f>
        <v/>
      </c>
      <c r="C311" s="5">
        <f>INDEX(플랫폼명범위,E311)</f>
        <v/>
      </c>
      <c r="D311" s="2">
        <f>MOD(INT((A311-1)/4),8)+1</f>
        <v/>
      </c>
      <c r="E311" s="2">
        <f>MOD(A311-1,4)+1</f>
        <v/>
      </c>
      <c r="F311" s="20">
        <f>축시작+INT((A311-1)/32)</f>
        <v/>
      </c>
      <c r="G311" s="20">
        <f>F311+H311</f>
        <v/>
      </c>
      <c r="H311" s="5" t="n">
        <v>4</v>
      </c>
      <c r="I311" s="2">
        <f>ROUND(INDEX(가맹점!$P$2:$P$9,D311)*INDEX(가맹점!$J$2:$M$9,D311,E311),0)</f>
        <v/>
      </c>
      <c r="J311" s="2">
        <f>ROUND(I311*(1-할인율),0)</f>
        <v/>
      </c>
      <c r="K311" s="2">
        <f>ROUNDDOWN(I311*할인율,0)</f>
        <v/>
      </c>
      <c r="L311" s="2">
        <f>ROUND(I311*INDEX(미지급률범위,E311),0)</f>
        <v/>
      </c>
      <c r="M311" s="2">
        <f>ROUND(I311*INDEX(과지급률범위,E311),0)</f>
        <v/>
      </c>
      <c r="N311" s="2">
        <f>MAX(0,L311-M311)</f>
        <v/>
      </c>
      <c r="O311" s="2">
        <f>K311-N311</f>
        <v/>
      </c>
      <c r="P311" s="2">
        <f>I311-N311</f>
        <v/>
      </c>
      <c r="Q311" s="5">
        <f>IF(G311&gt;기준일,1,0)</f>
        <v/>
      </c>
      <c r="R311" s="5">
        <f>IF(G311&lt;=기준일,1,0)</f>
        <v/>
      </c>
      <c r="S311" s="2">
        <f>J311*H311</f>
        <v/>
      </c>
      <c r="T311" s="5">
        <f>IF(AND(F311&gt;=표본시작,F311&lt;=표본종료),1,0)</f>
        <v/>
      </c>
      <c r="U311" s="5">
        <f>IF(AND(G311&gt;=조회시작,G311&lt;=조회종료),1,0)</f>
        <v/>
      </c>
    </row>
    <row r="312">
      <c r="A312" s="2">
        <f>ROW()-1</f>
        <v/>
      </c>
      <c r="B312" s="5">
        <f>INDEX(상호범위,D312)</f>
        <v/>
      </c>
      <c r="C312" s="5">
        <f>INDEX(플랫폼명범위,E312)</f>
        <v/>
      </c>
      <c r="D312" s="2">
        <f>MOD(INT((A312-1)/4),8)+1</f>
        <v/>
      </c>
      <c r="E312" s="2">
        <f>MOD(A312-1,4)+1</f>
        <v/>
      </c>
      <c r="F312" s="20">
        <f>축시작+INT((A312-1)/32)</f>
        <v/>
      </c>
      <c r="G312" s="20">
        <f>F312+H312</f>
        <v/>
      </c>
      <c r="H312" s="5" t="n">
        <v>5</v>
      </c>
      <c r="I312" s="2">
        <f>ROUND(INDEX(가맹점!$P$2:$P$9,D312)*INDEX(가맹점!$J$2:$M$9,D312,E312),0)</f>
        <v/>
      </c>
      <c r="J312" s="2">
        <f>ROUND(I312*(1-할인율),0)</f>
        <v/>
      </c>
      <c r="K312" s="2">
        <f>ROUNDDOWN(I312*할인율,0)</f>
        <v/>
      </c>
      <c r="L312" s="2">
        <f>ROUND(I312*INDEX(미지급률범위,E312),0)</f>
        <v/>
      </c>
      <c r="M312" s="2">
        <f>ROUND(I312*INDEX(과지급률범위,E312),0)</f>
        <v/>
      </c>
      <c r="N312" s="2">
        <f>MAX(0,L312-M312)</f>
        <v/>
      </c>
      <c r="O312" s="2">
        <f>K312-N312</f>
        <v/>
      </c>
      <c r="P312" s="2">
        <f>I312-N312</f>
        <v/>
      </c>
      <c r="Q312" s="5">
        <f>IF(G312&gt;기준일,1,0)</f>
        <v/>
      </c>
      <c r="R312" s="5">
        <f>IF(G312&lt;=기준일,1,0)</f>
        <v/>
      </c>
      <c r="S312" s="2">
        <f>J312*H312</f>
        <v/>
      </c>
      <c r="T312" s="5">
        <f>IF(AND(F312&gt;=표본시작,F312&lt;=표본종료),1,0)</f>
        <v/>
      </c>
      <c r="U312" s="5">
        <f>IF(AND(G312&gt;=조회시작,G312&lt;=조회종료),1,0)</f>
        <v/>
      </c>
    </row>
    <row r="313">
      <c r="A313" s="2">
        <f>ROW()-1</f>
        <v/>
      </c>
      <c r="B313" s="5">
        <f>INDEX(상호범위,D313)</f>
        <v/>
      </c>
      <c r="C313" s="5">
        <f>INDEX(플랫폼명범위,E313)</f>
        <v/>
      </c>
      <c r="D313" s="2">
        <f>MOD(INT((A313-1)/4),8)+1</f>
        <v/>
      </c>
      <c r="E313" s="2">
        <f>MOD(A313-1,4)+1</f>
        <v/>
      </c>
      <c r="F313" s="20">
        <f>축시작+INT((A313-1)/32)</f>
        <v/>
      </c>
      <c r="G313" s="20">
        <f>F313+H313</f>
        <v/>
      </c>
      <c r="H313" s="5" t="n">
        <v>6</v>
      </c>
      <c r="I313" s="2">
        <f>ROUND(INDEX(가맹점!$P$2:$P$9,D313)*INDEX(가맹점!$J$2:$M$9,D313,E313),0)</f>
        <v/>
      </c>
      <c r="J313" s="2">
        <f>ROUND(I313*(1-할인율),0)</f>
        <v/>
      </c>
      <c r="K313" s="2">
        <f>ROUNDDOWN(I313*할인율,0)</f>
        <v/>
      </c>
      <c r="L313" s="2">
        <f>ROUND(I313*INDEX(미지급률범위,E313),0)</f>
        <v/>
      </c>
      <c r="M313" s="2">
        <f>ROUND(I313*INDEX(과지급률범위,E313),0)</f>
        <v/>
      </c>
      <c r="N313" s="2">
        <f>MAX(0,L313-M313)</f>
        <v/>
      </c>
      <c r="O313" s="2">
        <f>K313-N313</f>
        <v/>
      </c>
      <c r="P313" s="2">
        <f>I313-N313</f>
        <v/>
      </c>
      <c r="Q313" s="5">
        <f>IF(G313&gt;기준일,1,0)</f>
        <v/>
      </c>
      <c r="R313" s="5">
        <f>IF(G313&lt;=기준일,1,0)</f>
        <v/>
      </c>
      <c r="S313" s="2">
        <f>J313*H313</f>
        <v/>
      </c>
      <c r="T313" s="5">
        <f>IF(AND(F313&gt;=표본시작,F313&lt;=표본종료),1,0)</f>
        <v/>
      </c>
      <c r="U313" s="5">
        <f>IF(AND(G313&gt;=조회시작,G313&lt;=조회종료),1,0)</f>
        <v/>
      </c>
    </row>
    <row r="314">
      <c r="A314" s="2">
        <f>ROW()-1</f>
        <v/>
      </c>
      <c r="B314" s="5">
        <f>INDEX(상호범위,D314)</f>
        <v/>
      </c>
      <c r="C314" s="5">
        <f>INDEX(플랫폼명범위,E314)</f>
        <v/>
      </c>
      <c r="D314" s="2">
        <f>MOD(INT((A314-1)/4),8)+1</f>
        <v/>
      </c>
      <c r="E314" s="2">
        <f>MOD(A314-1,4)+1</f>
        <v/>
      </c>
      <c r="F314" s="20">
        <f>축시작+INT((A314-1)/32)</f>
        <v/>
      </c>
      <c r="G314" s="20">
        <f>F314+H314</f>
        <v/>
      </c>
      <c r="H314" s="5" t="n">
        <v>1</v>
      </c>
      <c r="I314" s="2">
        <f>ROUND(INDEX(가맹점!$P$2:$P$9,D314)*INDEX(가맹점!$J$2:$M$9,D314,E314),0)</f>
        <v/>
      </c>
      <c r="J314" s="2">
        <f>ROUND(I314*(1-할인율),0)</f>
        <v/>
      </c>
      <c r="K314" s="2">
        <f>ROUNDDOWN(I314*할인율,0)</f>
        <v/>
      </c>
      <c r="L314" s="2">
        <f>ROUND(I314*INDEX(미지급률범위,E314),0)</f>
        <v/>
      </c>
      <c r="M314" s="2">
        <f>ROUND(I314*INDEX(과지급률범위,E314),0)</f>
        <v/>
      </c>
      <c r="N314" s="2">
        <f>MAX(0,L314-M314)</f>
        <v/>
      </c>
      <c r="O314" s="2">
        <f>K314-N314</f>
        <v/>
      </c>
      <c r="P314" s="2">
        <f>I314-N314</f>
        <v/>
      </c>
      <c r="Q314" s="5">
        <f>IF(G314&gt;기준일,1,0)</f>
        <v/>
      </c>
      <c r="R314" s="5">
        <f>IF(G314&lt;=기준일,1,0)</f>
        <v/>
      </c>
      <c r="S314" s="2">
        <f>J314*H314</f>
        <v/>
      </c>
      <c r="T314" s="5">
        <f>IF(AND(F314&gt;=표본시작,F314&lt;=표본종료),1,0)</f>
        <v/>
      </c>
      <c r="U314" s="5">
        <f>IF(AND(G314&gt;=조회시작,G314&lt;=조회종료),1,0)</f>
        <v/>
      </c>
    </row>
    <row r="315">
      <c r="A315" s="2">
        <f>ROW()-1</f>
        <v/>
      </c>
      <c r="B315" s="5">
        <f>INDEX(상호범위,D315)</f>
        <v/>
      </c>
      <c r="C315" s="5">
        <f>INDEX(플랫폼명범위,E315)</f>
        <v/>
      </c>
      <c r="D315" s="2">
        <f>MOD(INT((A315-1)/4),8)+1</f>
        <v/>
      </c>
      <c r="E315" s="2">
        <f>MOD(A315-1,4)+1</f>
        <v/>
      </c>
      <c r="F315" s="20">
        <f>축시작+INT((A315-1)/32)</f>
        <v/>
      </c>
      <c r="G315" s="20">
        <f>F315+H315</f>
        <v/>
      </c>
      <c r="H315" s="5" t="n">
        <v>3</v>
      </c>
      <c r="I315" s="2">
        <f>ROUND(INDEX(가맹점!$P$2:$P$9,D315)*INDEX(가맹점!$J$2:$M$9,D315,E315),0)</f>
        <v/>
      </c>
      <c r="J315" s="2">
        <f>ROUND(I315*(1-할인율),0)</f>
        <v/>
      </c>
      <c r="K315" s="2">
        <f>ROUNDDOWN(I315*할인율,0)</f>
        <v/>
      </c>
      <c r="L315" s="2">
        <f>ROUND(I315*INDEX(미지급률범위,E315),0)</f>
        <v/>
      </c>
      <c r="M315" s="2">
        <f>ROUND(I315*INDEX(과지급률범위,E315),0)</f>
        <v/>
      </c>
      <c r="N315" s="2">
        <f>MAX(0,L315-M315)</f>
        <v/>
      </c>
      <c r="O315" s="2">
        <f>K315-N315</f>
        <v/>
      </c>
      <c r="P315" s="2">
        <f>I315-N315</f>
        <v/>
      </c>
      <c r="Q315" s="5">
        <f>IF(G315&gt;기준일,1,0)</f>
        <v/>
      </c>
      <c r="R315" s="5">
        <f>IF(G315&lt;=기준일,1,0)</f>
        <v/>
      </c>
      <c r="S315" s="2">
        <f>J315*H315</f>
        <v/>
      </c>
      <c r="T315" s="5">
        <f>IF(AND(F315&gt;=표본시작,F315&lt;=표본종료),1,0)</f>
        <v/>
      </c>
      <c r="U315" s="5">
        <f>IF(AND(G315&gt;=조회시작,G315&lt;=조회종료),1,0)</f>
        <v/>
      </c>
    </row>
    <row r="316">
      <c r="A316" s="2">
        <f>ROW()-1</f>
        <v/>
      </c>
      <c r="B316" s="5">
        <f>INDEX(상호범위,D316)</f>
        <v/>
      </c>
      <c r="C316" s="5">
        <f>INDEX(플랫폼명범위,E316)</f>
        <v/>
      </c>
      <c r="D316" s="2">
        <f>MOD(INT((A316-1)/4),8)+1</f>
        <v/>
      </c>
      <c r="E316" s="2">
        <f>MOD(A316-1,4)+1</f>
        <v/>
      </c>
      <c r="F316" s="20">
        <f>축시작+INT((A316-1)/32)</f>
        <v/>
      </c>
      <c r="G316" s="20">
        <f>F316+H316</f>
        <v/>
      </c>
      <c r="H316" s="5" t="n">
        <v>3</v>
      </c>
      <c r="I316" s="2">
        <f>ROUND(INDEX(가맹점!$P$2:$P$9,D316)*INDEX(가맹점!$J$2:$M$9,D316,E316),0)</f>
        <v/>
      </c>
      <c r="J316" s="2">
        <f>ROUND(I316*(1-할인율),0)</f>
        <v/>
      </c>
      <c r="K316" s="2">
        <f>ROUNDDOWN(I316*할인율,0)</f>
        <v/>
      </c>
      <c r="L316" s="2">
        <f>ROUND(I316*INDEX(미지급률범위,E316),0)</f>
        <v/>
      </c>
      <c r="M316" s="2">
        <f>ROUND(I316*INDEX(과지급률범위,E316),0)</f>
        <v/>
      </c>
      <c r="N316" s="2">
        <f>MAX(0,L316-M316)</f>
        <v/>
      </c>
      <c r="O316" s="2">
        <f>K316-N316</f>
        <v/>
      </c>
      <c r="P316" s="2">
        <f>I316-N316</f>
        <v/>
      </c>
      <c r="Q316" s="5">
        <f>IF(G316&gt;기준일,1,0)</f>
        <v/>
      </c>
      <c r="R316" s="5">
        <f>IF(G316&lt;=기준일,1,0)</f>
        <v/>
      </c>
      <c r="S316" s="2">
        <f>J316*H316</f>
        <v/>
      </c>
      <c r="T316" s="5">
        <f>IF(AND(F316&gt;=표본시작,F316&lt;=표본종료),1,0)</f>
        <v/>
      </c>
      <c r="U316" s="5">
        <f>IF(AND(G316&gt;=조회시작,G316&lt;=조회종료),1,0)</f>
        <v/>
      </c>
    </row>
    <row r="317">
      <c r="A317" s="2">
        <f>ROW()-1</f>
        <v/>
      </c>
      <c r="B317" s="5">
        <f>INDEX(상호범위,D317)</f>
        <v/>
      </c>
      <c r="C317" s="5">
        <f>INDEX(플랫폼명범위,E317)</f>
        <v/>
      </c>
      <c r="D317" s="2">
        <f>MOD(INT((A317-1)/4),8)+1</f>
        <v/>
      </c>
      <c r="E317" s="2">
        <f>MOD(A317-1,4)+1</f>
        <v/>
      </c>
      <c r="F317" s="20">
        <f>축시작+INT((A317-1)/32)</f>
        <v/>
      </c>
      <c r="G317" s="20">
        <f>F317+H317</f>
        <v/>
      </c>
      <c r="H317" s="5" t="n">
        <v>6</v>
      </c>
      <c r="I317" s="2">
        <f>ROUND(INDEX(가맹점!$P$2:$P$9,D317)*INDEX(가맹점!$J$2:$M$9,D317,E317),0)</f>
        <v/>
      </c>
      <c r="J317" s="2">
        <f>ROUND(I317*(1-할인율),0)</f>
        <v/>
      </c>
      <c r="K317" s="2">
        <f>ROUNDDOWN(I317*할인율,0)</f>
        <v/>
      </c>
      <c r="L317" s="2">
        <f>ROUND(I317*INDEX(미지급률범위,E317),0)</f>
        <v/>
      </c>
      <c r="M317" s="2">
        <f>ROUND(I317*INDEX(과지급률범위,E317),0)</f>
        <v/>
      </c>
      <c r="N317" s="2">
        <f>MAX(0,L317-M317)</f>
        <v/>
      </c>
      <c r="O317" s="2">
        <f>K317-N317</f>
        <v/>
      </c>
      <c r="P317" s="2">
        <f>I317-N317</f>
        <v/>
      </c>
      <c r="Q317" s="5">
        <f>IF(G317&gt;기준일,1,0)</f>
        <v/>
      </c>
      <c r="R317" s="5">
        <f>IF(G317&lt;=기준일,1,0)</f>
        <v/>
      </c>
      <c r="S317" s="2">
        <f>J317*H317</f>
        <v/>
      </c>
      <c r="T317" s="5">
        <f>IF(AND(F317&gt;=표본시작,F317&lt;=표본종료),1,0)</f>
        <v/>
      </c>
      <c r="U317" s="5">
        <f>IF(AND(G317&gt;=조회시작,G317&lt;=조회종료),1,0)</f>
        <v/>
      </c>
    </row>
    <row r="318">
      <c r="A318" s="2">
        <f>ROW()-1</f>
        <v/>
      </c>
      <c r="B318" s="5">
        <f>INDEX(상호범위,D318)</f>
        <v/>
      </c>
      <c r="C318" s="5">
        <f>INDEX(플랫폼명범위,E318)</f>
        <v/>
      </c>
      <c r="D318" s="2">
        <f>MOD(INT((A318-1)/4),8)+1</f>
        <v/>
      </c>
      <c r="E318" s="2">
        <f>MOD(A318-1,4)+1</f>
        <v/>
      </c>
      <c r="F318" s="20">
        <f>축시작+INT((A318-1)/32)</f>
        <v/>
      </c>
      <c r="G318" s="20">
        <f>F318+H318</f>
        <v/>
      </c>
      <c r="H318" s="5" t="n">
        <v>1</v>
      </c>
      <c r="I318" s="2">
        <f>ROUND(INDEX(가맹점!$P$2:$P$9,D318)*INDEX(가맹점!$J$2:$M$9,D318,E318),0)</f>
        <v/>
      </c>
      <c r="J318" s="2">
        <f>ROUND(I318*(1-할인율),0)</f>
        <v/>
      </c>
      <c r="K318" s="2">
        <f>ROUNDDOWN(I318*할인율,0)</f>
        <v/>
      </c>
      <c r="L318" s="2">
        <f>ROUND(I318*INDEX(미지급률범위,E318),0)</f>
        <v/>
      </c>
      <c r="M318" s="2">
        <f>ROUND(I318*INDEX(과지급률범위,E318),0)</f>
        <v/>
      </c>
      <c r="N318" s="2">
        <f>MAX(0,L318-M318)</f>
        <v/>
      </c>
      <c r="O318" s="2">
        <f>K318-N318</f>
        <v/>
      </c>
      <c r="P318" s="2">
        <f>I318-N318</f>
        <v/>
      </c>
      <c r="Q318" s="5">
        <f>IF(G318&gt;기준일,1,0)</f>
        <v/>
      </c>
      <c r="R318" s="5">
        <f>IF(G318&lt;=기준일,1,0)</f>
        <v/>
      </c>
      <c r="S318" s="2">
        <f>J318*H318</f>
        <v/>
      </c>
      <c r="T318" s="5">
        <f>IF(AND(F318&gt;=표본시작,F318&lt;=표본종료),1,0)</f>
        <v/>
      </c>
      <c r="U318" s="5">
        <f>IF(AND(G318&gt;=조회시작,G318&lt;=조회종료),1,0)</f>
        <v/>
      </c>
    </row>
    <row r="319">
      <c r="A319" s="2">
        <f>ROW()-1</f>
        <v/>
      </c>
      <c r="B319" s="5">
        <f>INDEX(상호범위,D319)</f>
        <v/>
      </c>
      <c r="C319" s="5">
        <f>INDEX(플랫폼명범위,E319)</f>
        <v/>
      </c>
      <c r="D319" s="2">
        <f>MOD(INT((A319-1)/4),8)+1</f>
        <v/>
      </c>
      <c r="E319" s="2">
        <f>MOD(A319-1,4)+1</f>
        <v/>
      </c>
      <c r="F319" s="20">
        <f>축시작+INT((A319-1)/32)</f>
        <v/>
      </c>
      <c r="G319" s="20">
        <f>F319+H319</f>
        <v/>
      </c>
      <c r="H319" s="5" t="n">
        <v>4</v>
      </c>
      <c r="I319" s="2">
        <f>ROUND(INDEX(가맹점!$P$2:$P$9,D319)*INDEX(가맹점!$J$2:$M$9,D319,E319),0)</f>
        <v/>
      </c>
      <c r="J319" s="2">
        <f>ROUND(I319*(1-할인율),0)</f>
        <v/>
      </c>
      <c r="K319" s="2">
        <f>ROUNDDOWN(I319*할인율,0)</f>
        <v/>
      </c>
      <c r="L319" s="2">
        <f>ROUND(I319*INDEX(미지급률범위,E319),0)</f>
        <v/>
      </c>
      <c r="M319" s="2">
        <f>ROUND(I319*INDEX(과지급률범위,E319),0)</f>
        <v/>
      </c>
      <c r="N319" s="2">
        <f>MAX(0,L319-M319)</f>
        <v/>
      </c>
      <c r="O319" s="2">
        <f>K319-N319</f>
        <v/>
      </c>
      <c r="P319" s="2">
        <f>I319-N319</f>
        <v/>
      </c>
      <c r="Q319" s="5">
        <f>IF(G319&gt;기준일,1,0)</f>
        <v/>
      </c>
      <c r="R319" s="5">
        <f>IF(G319&lt;=기준일,1,0)</f>
        <v/>
      </c>
      <c r="S319" s="2">
        <f>J319*H319</f>
        <v/>
      </c>
      <c r="T319" s="5">
        <f>IF(AND(F319&gt;=표본시작,F319&lt;=표본종료),1,0)</f>
        <v/>
      </c>
      <c r="U319" s="5">
        <f>IF(AND(G319&gt;=조회시작,G319&lt;=조회종료),1,0)</f>
        <v/>
      </c>
    </row>
    <row r="320">
      <c r="A320" s="2">
        <f>ROW()-1</f>
        <v/>
      </c>
      <c r="B320" s="5">
        <f>INDEX(상호범위,D320)</f>
        <v/>
      </c>
      <c r="C320" s="5">
        <f>INDEX(플랫폼명범위,E320)</f>
        <v/>
      </c>
      <c r="D320" s="2">
        <f>MOD(INT((A320-1)/4),8)+1</f>
        <v/>
      </c>
      <c r="E320" s="2">
        <f>MOD(A320-1,4)+1</f>
        <v/>
      </c>
      <c r="F320" s="20">
        <f>축시작+INT((A320-1)/32)</f>
        <v/>
      </c>
      <c r="G320" s="20">
        <f>F320+H320</f>
        <v/>
      </c>
      <c r="H320" s="5" t="n">
        <v>3</v>
      </c>
      <c r="I320" s="2">
        <f>ROUND(INDEX(가맹점!$P$2:$P$9,D320)*INDEX(가맹점!$J$2:$M$9,D320,E320),0)</f>
        <v/>
      </c>
      <c r="J320" s="2">
        <f>ROUND(I320*(1-할인율),0)</f>
        <v/>
      </c>
      <c r="K320" s="2">
        <f>ROUNDDOWN(I320*할인율,0)</f>
        <v/>
      </c>
      <c r="L320" s="2">
        <f>ROUND(I320*INDEX(미지급률범위,E320),0)</f>
        <v/>
      </c>
      <c r="M320" s="2">
        <f>ROUND(I320*INDEX(과지급률범위,E320),0)</f>
        <v/>
      </c>
      <c r="N320" s="2">
        <f>MAX(0,L320-M320)</f>
        <v/>
      </c>
      <c r="O320" s="2">
        <f>K320-N320</f>
        <v/>
      </c>
      <c r="P320" s="2">
        <f>I320-N320</f>
        <v/>
      </c>
      <c r="Q320" s="5">
        <f>IF(G320&gt;기준일,1,0)</f>
        <v/>
      </c>
      <c r="R320" s="5">
        <f>IF(G320&lt;=기준일,1,0)</f>
        <v/>
      </c>
      <c r="S320" s="2">
        <f>J320*H320</f>
        <v/>
      </c>
      <c r="T320" s="5">
        <f>IF(AND(F320&gt;=표본시작,F320&lt;=표본종료),1,0)</f>
        <v/>
      </c>
      <c r="U320" s="5">
        <f>IF(AND(G320&gt;=조회시작,G320&lt;=조회종료),1,0)</f>
        <v/>
      </c>
    </row>
    <row r="321">
      <c r="A321" s="2">
        <f>ROW()-1</f>
        <v/>
      </c>
      <c r="B321" s="5">
        <f>INDEX(상호범위,D321)</f>
        <v/>
      </c>
      <c r="C321" s="5">
        <f>INDEX(플랫폼명범위,E321)</f>
        <v/>
      </c>
      <c r="D321" s="2">
        <f>MOD(INT((A321-1)/4),8)+1</f>
        <v/>
      </c>
      <c r="E321" s="2">
        <f>MOD(A321-1,4)+1</f>
        <v/>
      </c>
      <c r="F321" s="20">
        <f>축시작+INT((A321-1)/32)</f>
        <v/>
      </c>
      <c r="G321" s="20">
        <f>F321+H321</f>
        <v/>
      </c>
      <c r="H321" s="5" t="n">
        <v>6</v>
      </c>
      <c r="I321" s="2">
        <f>ROUND(INDEX(가맹점!$P$2:$P$9,D321)*INDEX(가맹점!$J$2:$M$9,D321,E321),0)</f>
        <v/>
      </c>
      <c r="J321" s="2">
        <f>ROUND(I321*(1-할인율),0)</f>
        <v/>
      </c>
      <c r="K321" s="2">
        <f>ROUNDDOWN(I321*할인율,0)</f>
        <v/>
      </c>
      <c r="L321" s="2">
        <f>ROUND(I321*INDEX(미지급률범위,E321),0)</f>
        <v/>
      </c>
      <c r="M321" s="2">
        <f>ROUND(I321*INDEX(과지급률범위,E321),0)</f>
        <v/>
      </c>
      <c r="N321" s="2">
        <f>MAX(0,L321-M321)</f>
        <v/>
      </c>
      <c r="O321" s="2">
        <f>K321-N321</f>
        <v/>
      </c>
      <c r="P321" s="2">
        <f>I321-N321</f>
        <v/>
      </c>
      <c r="Q321" s="5">
        <f>IF(G321&gt;기준일,1,0)</f>
        <v/>
      </c>
      <c r="R321" s="5">
        <f>IF(G321&lt;=기준일,1,0)</f>
        <v/>
      </c>
      <c r="S321" s="2">
        <f>J321*H321</f>
        <v/>
      </c>
      <c r="T321" s="5">
        <f>IF(AND(F321&gt;=표본시작,F321&lt;=표본종료),1,0)</f>
        <v/>
      </c>
      <c r="U321" s="5">
        <f>IF(AND(G321&gt;=조회시작,G321&lt;=조회종료),1,0)</f>
        <v/>
      </c>
    </row>
    <row r="322">
      <c r="A322" s="2">
        <f>ROW()-1</f>
        <v/>
      </c>
      <c r="B322" s="5">
        <f>INDEX(상호범위,D322)</f>
        <v/>
      </c>
      <c r="C322" s="5">
        <f>INDEX(플랫폼명범위,E322)</f>
        <v/>
      </c>
      <c r="D322" s="2">
        <f>MOD(INT((A322-1)/4),8)+1</f>
        <v/>
      </c>
      <c r="E322" s="2">
        <f>MOD(A322-1,4)+1</f>
        <v/>
      </c>
      <c r="F322" s="20">
        <f>축시작+INT((A322-1)/32)</f>
        <v/>
      </c>
      <c r="G322" s="20">
        <f>F322+H322</f>
        <v/>
      </c>
      <c r="H322" s="5" t="n">
        <v>3</v>
      </c>
      <c r="I322" s="2">
        <f>ROUND(INDEX(가맹점!$P$2:$P$9,D322)*INDEX(가맹점!$J$2:$M$9,D322,E322),0)</f>
        <v/>
      </c>
      <c r="J322" s="2">
        <f>ROUND(I322*(1-할인율),0)</f>
        <v/>
      </c>
      <c r="K322" s="2">
        <f>ROUNDDOWN(I322*할인율,0)</f>
        <v/>
      </c>
      <c r="L322" s="2">
        <f>ROUND(I322*INDEX(미지급률범위,E322),0)</f>
        <v/>
      </c>
      <c r="M322" s="2">
        <f>ROUND(I322*INDEX(과지급률범위,E322),0)</f>
        <v/>
      </c>
      <c r="N322" s="2">
        <f>MAX(0,L322-M322)</f>
        <v/>
      </c>
      <c r="O322" s="2">
        <f>K322-N322</f>
        <v/>
      </c>
      <c r="P322" s="2">
        <f>I322-N322</f>
        <v/>
      </c>
      <c r="Q322" s="5">
        <f>IF(G322&gt;기준일,1,0)</f>
        <v/>
      </c>
      <c r="R322" s="5">
        <f>IF(G322&lt;=기준일,1,0)</f>
        <v/>
      </c>
      <c r="S322" s="2">
        <f>J322*H322</f>
        <v/>
      </c>
      <c r="T322" s="5">
        <f>IF(AND(F322&gt;=표본시작,F322&lt;=표본종료),1,0)</f>
        <v/>
      </c>
      <c r="U322" s="5">
        <f>IF(AND(G322&gt;=조회시작,G322&lt;=조회종료),1,0)</f>
        <v/>
      </c>
    </row>
    <row r="323">
      <c r="A323" s="2">
        <f>ROW()-1</f>
        <v/>
      </c>
      <c r="B323" s="5">
        <f>INDEX(상호범위,D323)</f>
        <v/>
      </c>
      <c r="C323" s="5">
        <f>INDEX(플랫폼명범위,E323)</f>
        <v/>
      </c>
      <c r="D323" s="2">
        <f>MOD(INT((A323-1)/4),8)+1</f>
        <v/>
      </c>
      <c r="E323" s="2">
        <f>MOD(A323-1,4)+1</f>
        <v/>
      </c>
      <c r="F323" s="20">
        <f>축시작+INT((A323-1)/32)</f>
        <v/>
      </c>
      <c r="G323" s="20">
        <f>F323+H323</f>
        <v/>
      </c>
      <c r="H323" s="5" t="n">
        <v>4</v>
      </c>
      <c r="I323" s="2">
        <f>ROUND(INDEX(가맹점!$P$2:$P$9,D323)*INDEX(가맹점!$J$2:$M$9,D323,E323),0)</f>
        <v/>
      </c>
      <c r="J323" s="2">
        <f>ROUND(I323*(1-할인율),0)</f>
        <v/>
      </c>
      <c r="K323" s="2">
        <f>ROUNDDOWN(I323*할인율,0)</f>
        <v/>
      </c>
      <c r="L323" s="2">
        <f>ROUND(I323*INDEX(미지급률범위,E323),0)</f>
        <v/>
      </c>
      <c r="M323" s="2">
        <f>ROUND(I323*INDEX(과지급률범위,E323),0)</f>
        <v/>
      </c>
      <c r="N323" s="2">
        <f>MAX(0,L323-M323)</f>
        <v/>
      </c>
      <c r="O323" s="2">
        <f>K323-N323</f>
        <v/>
      </c>
      <c r="P323" s="2">
        <f>I323-N323</f>
        <v/>
      </c>
      <c r="Q323" s="5">
        <f>IF(G323&gt;기준일,1,0)</f>
        <v/>
      </c>
      <c r="R323" s="5">
        <f>IF(G323&lt;=기준일,1,0)</f>
        <v/>
      </c>
      <c r="S323" s="2">
        <f>J323*H323</f>
        <v/>
      </c>
      <c r="T323" s="5">
        <f>IF(AND(F323&gt;=표본시작,F323&lt;=표본종료),1,0)</f>
        <v/>
      </c>
      <c r="U323" s="5">
        <f>IF(AND(G323&gt;=조회시작,G323&lt;=조회종료),1,0)</f>
        <v/>
      </c>
    </row>
    <row r="324">
      <c r="A324" s="2">
        <f>ROW()-1</f>
        <v/>
      </c>
      <c r="B324" s="5">
        <f>INDEX(상호범위,D324)</f>
        <v/>
      </c>
      <c r="C324" s="5">
        <f>INDEX(플랫폼명범위,E324)</f>
        <v/>
      </c>
      <c r="D324" s="2">
        <f>MOD(INT((A324-1)/4),8)+1</f>
        <v/>
      </c>
      <c r="E324" s="2">
        <f>MOD(A324-1,4)+1</f>
        <v/>
      </c>
      <c r="F324" s="20">
        <f>축시작+INT((A324-1)/32)</f>
        <v/>
      </c>
      <c r="G324" s="20">
        <f>F324+H324</f>
        <v/>
      </c>
      <c r="H324" s="5" t="n">
        <v>4</v>
      </c>
      <c r="I324" s="2">
        <f>ROUND(INDEX(가맹점!$P$2:$P$9,D324)*INDEX(가맹점!$J$2:$M$9,D324,E324),0)</f>
        <v/>
      </c>
      <c r="J324" s="2">
        <f>ROUND(I324*(1-할인율),0)</f>
        <v/>
      </c>
      <c r="K324" s="2">
        <f>ROUNDDOWN(I324*할인율,0)</f>
        <v/>
      </c>
      <c r="L324" s="2">
        <f>ROUND(I324*INDEX(미지급률범위,E324),0)</f>
        <v/>
      </c>
      <c r="M324" s="2">
        <f>ROUND(I324*INDEX(과지급률범위,E324),0)</f>
        <v/>
      </c>
      <c r="N324" s="2">
        <f>MAX(0,L324-M324)</f>
        <v/>
      </c>
      <c r="O324" s="2">
        <f>K324-N324</f>
        <v/>
      </c>
      <c r="P324" s="2">
        <f>I324-N324</f>
        <v/>
      </c>
      <c r="Q324" s="5">
        <f>IF(G324&gt;기준일,1,0)</f>
        <v/>
      </c>
      <c r="R324" s="5">
        <f>IF(G324&lt;=기준일,1,0)</f>
        <v/>
      </c>
      <c r="S324" s="2">
        <f>J324*H324</f>
        <v/>
      </c>
      <c r="T324" s="5">
        <f>IF(AND(F324&gt;=표본시작,F324&lt;=표본종료),1,0)</f>
        <v/>
      </c>
      <c r="U324" s="5">
        <f>IF(AND(G324&gt;=조회시작,G324&lt;=조회종료),1,0)</f>
        <v/>
      </c>
    </row>
    <row r="325">
      <c r="A325" s="2">
        <f>ROW()-1</f>
        <v/>
      </c>
      <c r="B325" s="5">
        <f>INDEX(상호범위,D325)</f>
        <v/>
      </c>
      <c r="C325" s="5">
        <f>INDEX(플랫폼명범위,E325)</f>
        <v/>
      </c>
      <c r="D325" s="2">
        <f>MOD(INT((A325-1)/4),8)+1</f>
        <v/>
      </c>
      <c r="E325" s="2">
        <f>MOD(A325-1,4)+1</f>
        <v/>
      </c>
      <c r="F325" s="20">
        <f>축시작+INT((A325-1)/32)</f>
        <v/>
      </c>
      <c r="G325" s="20">
        <f>F325+H325</f>
        <v/>
      </c>
      <c r="H325" s="5" t="n">
        <v>4</v>
      </c>
      <c r="I325" s="2">
        <f>ROUND(INDEX(가맹점!$P$2:$P$9,D325)*INDEX(가맹점!$J$2:$M$9,D325,E325),0)</f>
        <v/>
      </c>
      <c r="J325" s="2">
        <f>ROUND(I325*(1-할인율),0)</f>
        <v/>
      </c>
      <c r="K325" s="2">
        <f>ROUNDDOWN(I325*할인율,0)</f>
        <v/>
      </c>
      <c r="L325" s="2">
        <f>ROUND(I325*INDEX(미지급률범위,E325),0)</f>
        <v/>
      </c>
      <c r="M325" s="2">
        <f>ROUND(I325*INDEX(과지급률범위,E325),0)</f>
        <v/>
      </c>
      <c r="N325" s="2">
        <f>MAX(0,L325-M325)</f>
        <v/>
      </c>
      <c r="O325" s="2">
        <f>K325-N325</f>
        <v/>
      </c>
      <c r="P325" s="2">
        <f>I325-N325</f>
        <v/>
      </c>
      <c r="Q325" s="5">
        <f>IF(G325&gt;기준일,1,0)</f>
        <v/>
      </c>
      <c r="R325" s="5">
        <f>IF(G325&lt;=기준일,1,0)</f>
        <v/>
      </c>
      <c r="S325" s="2">
        <f>J325*H325</f>
        <v/>
      </c>
      <c r="T325" s="5">
        <f>IF(AND(F325&gt;=표본시작,F325&lt;=표본종료),1,0)</f>
        <v/>
      </c>
      <c r="U325" s="5">
        <f>IF(AND(G325&gt;=조회시작,G325&lt;=조회종료),1,0)</f>
        <v/>
      </c>
    </row>
    <row r="326">
      <c r="A326" s="2">
        <f>ROW()-1</f>
        <v/>
      </c>
      <c r="B326" s="5">
        <f>INDEX(상호범위,D326)</f>
        <v/>
      </c>
      <c r="C326" s="5">
        <f>INDEX(플랫폼명범위,E326)</f>
        <v/>
      </c>
      <c r="D326" s="2">
        <f>MOD(INT((A326-1)/4),8)+1</f>
        <v/>
      </c>
      <c r="E326" s="2">
        <f>MOD(A326-1,4)+1</f>
        <v/>
      </c>
      <c r="F326" s="20">
        <f>축시작+INT((A326-1)/32)</f>
        <v/>
      </c>
      <c r="G326" s="20">
        <f>F326+H326</f>
        <v/>
      </c>
      <c r="H326" s="5" t="n">
        <v>1</v>
      </c>
      <c r="I326" s="2">
        <f>ROUND(INDEX(가맹점!$P$2:$P$9,D326)*INDEX(가맹점!$J$2:$M$9,D326,E326),0)</f>
        <v/>
      </c>
      <c r="J326" s="2">
        <f>ROUND(I326*(1-할인율),0)</f>
        <v/>
      </c>
      <c r="K326" s="2">
        <f>ROUNDDOWN(I326*할인율,0)</f>
        <v/>
      </c>
      <c r="L326" s="2">
        <f>ROUND(I326*INDEX(미지급률범위,E326),0)</f>
        <v/>
      </c>
      <c r="M326" s="2">
        <f>ROUND(I326*INDEX(과지급률범위,E326),0)</f>
        <v/>
      </c>
      <c r="N326" s="2">
        <f>MAX(0,L326-M326)</f>
        <v/>
      </c>
      <c r="O326" s="2">
        <f>K326-N326</f>
        <v/>
      </c>
      <c r="P326" s="2">
        <f>I326-N326</f>
        <v/>
      </c>
      <c r="Q326" s="5">
        <f>IF(G326&gt;기준일,1,0)</f>
        <v/>
      </c>
      <c r="R326" s="5">
        <f>IF(G326&lt;=기준일,1,0)</f>
        <v/>
      </c>
      <c r="S326" s="2">
        <f>J326*H326</f>
        <v/>
      </c>
      <c r="T326" s="5">
        <f>IF(AND(F326&gt;=표본시작,F326&lt;=표본종료),1,0)</f>
        <v/>
      </c>
      <c r="U326" s="5">
        <f>IF(AND(G326&gt;=조회시작,G326&lt;=조회종료),1,0)</f>
        <v/>
      </c>
    </row>
    <row r="327">
      <c r="A327" s="2">
        <f>ROW()-1</f>
        <v/>
      </c>
      <c r="B327" s="5">
        <f>INDEX(상호범위,D327)</f>
        <v/>
      </c>
      <c r="C327" s="5">
        <f>INDEX(플랫폼명범위,E327)</f>
        <v/>
      </c>
      <c r="D327" s="2">
        <f>MOD(INT((A327-1)/4),8)+1</f>
        <v/>
      </c>
      <c r="E327" s="2">
        <f>MOD(A327-1,4)+1</f>
        <v/>
      </c>
      <c r="F327" s="20">
        <f>축시작+INT((A327-1)/32)</f>
        <v/>
      </c>
      <c r="G327" s="20">
        <f>F327+H327</f>
        <v/>
      </c>
      <c r="H327" s="5" t="n">
        <v>4</v>
      </c>
      <c r="I327" s="2">
        <f>ROUND(INDEX(가맹점!$P$2:$P$9,D327)*INDEX(가맹점!$J$2:$M$9,D327,E327),0)</f>
        <v/>
      </c>
      <c r="J327" s="2">
        <f>ROUND(I327*(1-할인율),0)</f>
        <v/>
      </c>
      <c r="K327" s="2">
        <f>ROUNDDOWN(I327*할인율,0)</f>
        <v/>
      </c>
      <c r="L327" s="2">
        <f>ROUND(I327*INDEX(미지급률범위,E327),0)</f>
        <v/>
      </c>
      <c r="M327" s="2">
        <f>ROUND(I327*INDEX(과지급률범위,E327),0)</f>
        <v/>
      </c>
      <c r="N327" s="2">
        <f>MAX(0,L327-M327)</f>
        <v/>
      </c>
      <c r="O327" s="2">
        <f>K327-N327</f>
        <v/>
      </c>
      <c r="P327" s="2">
        <f>I327-N327</f>
        <v/>
      </c>
      <c r="Q327" s="5">
        <f>IF(G327&gt;기준일,1,0)</f>
        <v/>
      </c>
      <c r="R327" s="5">
        <f>IF(G327&lt;=기준일,1,0)</f>
        <v/>
      </c>
      <c r="S327" s="2">
        <f>J327*H327</f>
        <v/>
      </c>
      <c r="T327" s="5">
        <f>IF(AND(F327&gt;=표본시작,F327&lt;=표본종료),1,0)</f>
        <v/>
      </c>
      <c r="U327" s="5">
        <f>IF(AND(G327&gt;=조회시작,G327&lt;=조회종료),1,0)</f>
        <v/>
      </c>
    </row>
    <row r="328">
      <c r="A328" s="2">
        <f>ROW()-1</f>
        <v/>
      </c>
      <c r="B328" s="5">
        <f>INDEX(상호범위,D328)</f>
        <v/>
      </c>
      <c r="C328" s="5">
        <f>INDEX(플랫폼명범위,E328)</f>
        <v/>
      </c>
      <c r="D328" s="2">
        <f>MOD(INT((A328-1)/4),8)+1</f>
        <v/>
      </c>
      <c r="E328" s="2">
        <f>MOD(A328-1,4)+1</f>
        <v/>
      </c>
      <c r="F328" s="20">
        <f>축시작+INT((A328-1)/32)</f>
        <v/>
      </c>
      <c r="G328" s="20">
        <f>F328+H328</f>
        <v/>
      </c>
      <c r="H328" s="5" t="n">
        <v>5</v>
      </c>
      <c r="I328" s="2">
        <f>ROUND(INDEX(가맹점!$P$2:$P$9,D328)*INDEX(가맹점!$J$2:$M$9,D328,E328),0)</f>
        <v/>
      </c>
      <c r="J328" s="2">
        <f>ROUND(I328*(1-할인율),0)</f>
        <v/>
      </c>
      <c r="K328" s="2">
        <f>ROUNDDOWN(I328*할인율,0)</f>
        <v/>
      </c>
      <c r="L328" s="2">
        <f>ROUND(I328*INDEX(미지급률범위,E328),0)</f>
        <v/>
      </c>
      <c r="M328" s="2">
        <f>ROUND(I328*INDEX(과지급률범위,E328),0)</f>
        <v/>
      </c>
      <c r="N328" s="2">
        <f>MAX(0,L328-M328)</f>
        <v/>
      </c>
      <c r="O328" s="2">
        <f>K328-N328</f>
        <v/>
      </c>
      <c r="P328" s="2">
        <f>I328-N328</f>
        <v/>
      </c>
      <c r="Q328" s="5">
        <f>IF(G328&gt;기준일,1,0)</f>
        <v/>
      </c>
      <c r="R328" s="5">
        <f>IF(G328&lt;=기준일,1,0)</f>
        <v/>
      </c>
      <c r="S328" s="2">
        <f>J328*H328</f>
        <v/>
      </c>
      <c r="T328" s="5">
        <f>IF(AND(F328&gt;=표본시작,F328&lt;=표본종료),1,0)</f>
        <v/>
      </c>
      <c r="U328" s="5">
        <f>IF(AND(G328&gt;=조회시작,G328&lt;=조회종료),1,0)</f>
        <v/>
      </c>
    </row>
    <row r="329">
      <c r="A329" s="2">
        <f>ROW()-1</f>
        <v/>
      </c>
      <c r="B329" s="5">
        <f>INDEX(상호범위,D329)</f>
        <v/>
      </c>
      <c r="C329" s="5">
        <f>INDEX(플랫폼명범위,E329)</f>
        <v/>
      </c>
      <c r="D329" s="2">
        <f>MOD(INT((A329-1)/4),8)+1</f>
        <v/>
      </c>
      <c r="E329" s="2">
        <f>MOD(A329-1,4)+1</f>
        <v/>
      </c>
      <c r="F329" s="20">
        <f>축시작+INT((A329-1)/32)</f>
        <v/>
      </c>
      <c r="G329" s="20">
        <f>F329+H329</f>
        <v/>
      </c>
      <c r="H329" s="5" t="n">
        <v>13</v>
      </c>
      <c r="I329" s="2">
        <f>ROUND(INDEX(가맹점!$P$2:$P$9,D329)*INDEX(가맹점!$J$2:$M$9,D329,E329),0)</f>
        <v/>
      </c>
      <c r="J329" s="2">
        <f>ROUND(I329*(1-할인율),0)</f>
        <v/>
      </c>
      <c r="K329" s="2">
        <f>ROUNDDOWN(I329*할인율,0)</f>
        <v/>
      </c>
      <c r="L329" s="2">
        <f>ROUND(I329*INDEX(미지급률범위,E329),0)</f>
        <v/>
      </c>
      <c r="M329" s="2">
        <f>ROUND(I329*INDEX(과지급률범위,E329),0)</f>
        <v/>
      </c>
      <c r="N329" s="2">
        <f>MAX(0,L329-M329)</f>
        <v/>
      </c>
      <c r="O329" s="2">
        <f>K329-N329</f>
        <v/>
      </c>
      <c r="P329" s="2">
        <f>I329-N329</f>
        <v/>
      </c>
      <c r="Q329" s="5">
        <f>IF(G329&gt;기준일,1,0)</f>
        <v/>
      </c>
      <c r="R329" s="5">
        <f>IF(G329&lt;=기준일,1,0)</f>
        <v/>
      </c>
      <c r="S329" s="2">
        <f>J329*H329</f>
        <v/>
      </c>
      <c r="T329" s="5">
        <f>IF(AND(F329&gt;=표본시작,F329&lt;=표본종료),1,0)</f>
        <v/>
      </c>
      <c r="U329" s="5">
        <f>IF(AND(G329&gt;=조회시작,G329&lt;=조회종료),1,0)</f>
        <v/>
      </c>
    </row>
    <row r="330">
      <c r="A330" s="2">
        <f>ROW()-1</f>
        <v/>
      </c>
      <c r="B330" s="5">
        <f>INDEX(상호범위,D330)</f>
        <v/>
      </c>
      <c r="C330" s="5">
        <f>INDEX(플랫폼명범위,E330)</f>
        <v/>
      </c>
      <c r="D330" s="2">
        <f>MOD(INT((A330-1)/4),8)+1</f>
        <v/>
      </c>
      <c r="E330" s="2">
        <f>MOD(A330-1,4)+1</f>
        <v/>
      </c>
      <c r="F330" s="20">
        <f>축시작+INT((A330-1)/32)</f>
        <v/>
      </c>
      <c r="G330" s="20">
        <f>F330+H330</f>
        <v/>
      </c>
      <c r="H330" s="5" t="n">
        <v>1</v>
      </c>
      <c r="I330" s="2">
        <f>ROUND(INDEX(가맹점!$P$2:$P$9,D330)*INDEX(가맹점!$J$2:$M$9,D330,E330),0)</f>
        <v/>
      </c>
      <c r="J330" s="2">
        <f>ROUND(I330*(1-할인율),0)</f>
        <v/>
      </c>
      <c r="K330" s="2">
        <f>ROUNDDOWN(I330*할인율,0)</f>
        <v/>
      </c>
      <c r="L330" s="2">
        <f>ROUND(I330*INDEX(미지급률범위,E330),0)</f>
        <v/>
      </c>
      <c r="M330" s="2">
        <f>ROUND(I330*INDEX(과지급률범위,E330),0)</f>
        <v/>
      </c>
      <c r="N330" s="2">
        <f>MAX(0,L330-M330)</f>
        <v/>
      </c>
      <c r="O330" s="2">
        <f>K330-N330</f>
        <v/>
      </c>
      <c r="P330" s="2">
        <f>I330-N330</f>
        <v/>
      </c>
      <c r="Q330" s="5">
        <f>IF(G330&gt;기준일,1,0)</f>
        <v/>
      </c>
      <c r="R330" s="5">
        <f>IF(G330&lt;=기준일,1,0)</f>
        <v/>
      </c>
      <c r="S330" s="2">
        <f>J330*H330</f>
        <v/>
      </c>
      <c r="T330" s="5">
        <f>IF(AND(F330&gt;=표본시작,F330&lt;=표본종료),1,0)</f>
        <v/>
      </c>
      <c r="U330" s="5">
        <f>IF(AND(G330&gt;=조회시작,G330&lt;=조회종료),1,0)</f>
        <v/>
      </c>
    </row>
    <row r="331">
      <c r="A331" s="2">
        <f>ROW()-1</f>
        <v/>
      </c>
      <c r="B331" s="5">
        <f>INDEX(상호범위,D331)</f>
        <v/>
      </c>
      <c r="C331" s="5">
        <f>INDEX(플랫폼명범위,E331)</f>
        <v/>
      </c>
      <c r="D331" s="2">
        <f>MOD(INT((A331-1)/4),8)+1</f>
        <v/>
      </c>
      <c r="E331" s="2">
        <f>MOD(A331-1,4)+1</f>
        <v/>
      </c>
      <c r="F331" s="20">
        <f>축시작+INT((A331-1)/32)</f>
        <v/>
      </c>
      <c r="G331" s="20">
        <f>F331+H331</f>
        <v/>
      </c>
      <c r="H331" s="5" t="n">
        <v>4</v>
      </c>
      <c r="I331" s="2">
        <f>ROUND(INDEX(가맹점!$P$2:$P$9,D331)*INDEX(가맹점!$J$2:$M$9,D331,E331),0)</f>
        <v/>
      </c>
      <c r="J331" s="2">
        <f>ROUND(I331*(1-할인율),0)</f>
        <v/>
      </c>
      <c r="K331" s="2">
        <f>ROUNDDOWN(I331*할인율,0)</f>
        <v/>
      </c>
      <c r="L331" s="2">
        <f>ROUND(I331*INDEX(미지급률범위,E331),0)</f>
        <v/>
      </c>
      <c r="M331" s="2">
        <f>ROUND(I331*INDEX(과지급률범위,E331),0)</f>
        <v/>
      </c>
      <c r="N331" s="2">
        <f>MAX(0,L331-M331)</f>
        <v/>
      </c>
      <c r="O331" s="2">
        <f>K331-N331</f>
        <v/>
      </c>
      <c r="P331" s="2">
        <f>I331-N331</f>
        <v/>
      </c>
      <c r="Q331" s="5">
        <f>IF(G331&gt;기준일,1,0)</f>
        <v/>
      </c>
      <c r="R331" s="5">
        <f>IF(G331&lt;=기준일,1,0)</f>
        <v/>
      </c>
      <c r="S331" s="2">
        <f>J331*H331</f>
        <v/>
      </c>
      <c r="T331" s="5">
        <f>IF(AND(F331&gt;=표본시작,F331&lt;=표본종료),1,0)</f>
        <v/>
      </c>
      <c r="U331" s="5">
        <f>IF(AND(G331&gt;=조회시작,G331&lt;=조회종료),1,0)</f>
        <v/>
      </c>
    </row>
    <row r="332">
      <c r="A332" s="2">
        <f>ROW()-1</f>
        <v/>
      </c>
      <c r="B332" s="5">
        <f>INDEX(상호범위,D332)</f>
        <v/>
      </c>
      <c r="C332" s="5">
        <f>INDEX(플랫폼명범위,E332)</f>
        <v/>
      </c>
      <c r="D332" s="2">
        <f>MOD(INT((A332-1)/4),8)+1</f>
        <v/>
      </c>
      <c r="E332" s="2">
        <f>MOD(A332-1,4)+1</f>
        <v/>
      </c>
      <c r="F332" s="20">
        <f>축시작+INT((A332-1)/32)</f>
        <v/>
      </c>
      <c r="G332" s="20">
        <f>F332+H332</f>
        <v/>
      </c>
      <c r="H332" s="5" t="n">
        <v>5</v>
      </c>
      <c r="I332" s="2">
        <f>ROUND(INDEX(가맹점!$P$2:$P$9,D332)*INDEX(가맹점!$J$2:$M$9,D332,E332),0)</f>
        <v/>
      </c>
      <c r="J332" s="2">
        <f>ROUND(I332*(1-할인율),0)</f>
        <v/>
      </c>
      <c r="K332" s="2">
        <f>ROUNDDOWN(I332*할인율,0)</f>
        <v/>
      </c>
      <c r="L332" s="2">
        <f>ROUND(I332*INDEX(미지급률범위,E332),0)</f>
        <v/>
      </c>
      <c r="M332" s="2">
        <f>ROUND(I332*INDEX(과지급률범위,E332),0)</f>
        <v/>
      </c>
      <c r="N332" s="2">
        <f>MAX(0,L332-M332)</f>
        <v/>
      </c>
      <c r="O332" s="2">
        <f>K332-N332</f>
        <v/>
      </c>
      <c r="P332" s="2">
        <f>I332-N332</f>
        <v/>
      </c>
      <c r="Q332" s="5">
        <f>IF(G332&gt;기준일,1,0)</f>
        <v/>
      </c>
      <c r="R332" s="5">
        <f>IF(G332&lt;=기준일,1,0)</f>
        <v/>
      </c>
      <c r="S332" s="2">
        <f>J332*H332</f>
        <v/>
      </c>
      <c r="T332" s="5">
        <f>IF(AND(F332&gt;=표본시작,F332&lt;=표본종료),1,0)</f>
        <v/>
      </c>
      <c r="U332" s="5">
        <f>IF(AND(G332&gt;=조회시작,G332&lt;=조회종료),1,0)</f>
        <v/>
      </c>
    </row>
    <row r="333">
      <c r="A333" s="2">
        <f>ROW()-1</f>
        <v/>
      </c>
      <c r="B333" s="5">
        <f>INDEX(상호범위,D333)</f>
        <v/>
      </c>
      <c r="C333" s="5">
        <f>INDEX(플랫폼명범위,E333)</f>
        <v/>
      </c>
      <c r="D333" s="2">
        <f>MOD(INT((A333-1)/4),8)+1</f>
        <v/>
      </c>
      <c r="E333" s="2">
        <f>MOD(A333-1,4)+1</f>
        <v/>
      </c>
      <c r="F333" s="20">
        <f>축시작+INT((A333-1)/32)</f>
        <v/>
      </c>
      <c r="G333" s="20">
        <f>F333+H333</f>
        <v/>
      </c>
      <c r="H333" s="5" t="n">
        <v>7</v>
      </c>
      <c r="I333" s="2">
        <f>ROUND(INDEX(가맹점!$P$2:$P$9,D333)*INDEX(가맹점!$J$2:$M$9,D333,E333),0)</f>
        <v/>
      </c>
      <c r="J333" s="2">
        <f>ROUND(I333*(1-할인율),0)</f>
        <v/>
      </c>
      <c r="K333" s="2">
        <f>ROUNDDOWN(I333*할인율,0)</f>
        <v/>
      </c>
      <c r="L333" s="2">
        <f>ROUND(I333*INDEX(미지급률범위,E333),0)</f>
        <v/>
      </c>
      <c r="M333" s="2">
        <f>ROUND(I333*INDEX(과지급률범위,E333),0)</f>
        <v/>
      </c>
      <c r="N333" s="2">
        <f>MAX(0,L333-M333)</f>
        <v/>
      </c>
      <c r="O333" s="2">
        <f>K333-N333</f>
        <v/>
      </c>
      <c r="P333" s="2">
        <f>I333-N333</f>
        <v/>
      </c>
      <c r="Q333" s="5">
        <f>IF(G333&gt;기준일,1,0)</f>
        <v/>
      </c>
      <c r="R333" s="5">
        <f>IF(G333&lt;=기준일,1,0)</f>
        <v/>
      </c>
      <c r="S333" s="2">
        <f>J333*H333</f>
        <v/>
      </c>
      <c r="T333" s="5">
        <f>IF(AND(F333&gt;=표본시작,F333&lt;=표본종료),1,0)</f>
        <v/>
      </c>
      <c r="U333" s="5">
        <f>IF(AND(G333&gt;=조회시작,G333&lt;=조회종료),1,0)</f>
        <v/>
      </c>
    </row>
    <row r="334">
      <c r="A334" s="2">
        <f>ROW()-1</f>
        <v/>
      </c>
      <c r="B334" s="5">
        <f>INDEX(상호범위,D334)</f>
        <v/>
      </c>
      <c r="C334" s="5">
        <f>INDEX(플랫폼명범위,E334)</f>
        <v/>
      </c>
      <c r="D334" s="2">
        <f>MOD(INT((A334-1)/4),8)+1</f>
        <v/>
      </c>
      <c r="E334" s="2">
        <f>MOD(A334-1,4)+1</f>
        <v/>
      </c>
      <c r="F334" s="20">
        <f>축시작+INT((A334-1)/32)</f>
        <v/>
      </c>
      <c r="G334" s="20">
        <f>F334+H334</f>
        <v/>
      </c>
      <c r="H334" s="5" t="n">
        <v>1</v>
      </c>
      <c r="I334" s="2">
        <f>ROUND(INDEX(가맹점!$P$2:$P$9,D334)*INDEX(가맹점!$J$2:$M$9,D334,E334),0)</f>
        <v/>
      </c>
      <c r="J334" s="2">
        <f>ROUND(I334*(1-할인율),0)</f>
        <v/>
      </c>
      <c r="K334" s="2">
        <f>ROUNDDOWN(I334*할인율,0)</f>
        <v/>
      </c>
      <c r="L334" s="2">
        <f>ROUND(I334*INDEX(미지급률범위,E334),0)</f>
        <v/>
      </c>
      <c r="M334" s="2">
        <f>ROUND(I334*INDEX(과지급률범위,E334),0)</f>
        <v/>
      </c>
      <c r="N334" s="2">
        <f>MAX(0,L334-M334)</f>
        <v/>
      </c>
      <c r="O334" s="2">
        <f>K334-N334</f>
        <v/>
      </c>
      <c r="P334" s="2">
        <f>I334-N334</f>
        <v/>
      </c>
      <c r="Q334" s="5">
        <f>IF(G334&gt;기준일,1,0)</f>
        <v/>
      </c>
      <c r="R334" s="5">
        <f>IF(G334&lt;=기준일,1,0)</f>
        <v/>
      </c>
      <c r="S334" s="2">
        <f>J334*H334</f>
        <v/>
      </c>
      <c r="T334" s="5">
        <f>IF(AND(F334&gt;=표본시작,F334&lt;=표본종료),1,0)</f>
        <v/>
      </c>
      <c r="U334" s="5">
        <f>IF(AND(G334&gt;=조회시작,G334&lt;=조회종료),1,0)</f>
        <v/>
      </c>
    </row>
    <row r="335">
      <c r="A335" s="2">
        <f>ROW()-1</f>
        <v/>
      </c>
      <c r="B335" s="5">
        <f>INDEX(상호범위,D335)</f>
        <v/>
      </c>
      <c r="C335" s="5">
        <f>INDEX(플랫폼명범위,E335)</f>
        <v/>
      </c>
      <c r="D335" s="2">
        <f>MOD(INT((A335-1)/4),8)+1</f>
        <v/>
      </c>
      <c r="E335" s="2">
        <f>MOD(A335-1,4)+1</f>
        <v/>
      </c>
      <c r="F335" s="20">
        <f>축시작+INT((A335-1)/32)</f>
        <v/>
      </c>
      <c r="G335" s="20">
        <f>F335+H335</f>
        <v/>
      </c>
      <c r="H335" s="5" t="n">
        <v>3</v>
      </c>
      <c r="I335" s="2">
        <f>ROUND(INDEX(가맹점!$P$2:$P$9,D335)*INDEX(가맹점!$J$2:$M$9,D335,E335),0)</f>
        <v/>
      </c>
      <c r="J335" s="2">
        <f>ROUND(I335*(1-할인율),0)</f>
        <v/>
      </c>
      <c r="K335" s="2">
        <f>ROUNDDOWN(I335*할인율,0)</f>
        <v/>
      </c>
      <c r="L335" s="2">
        <f>ROUND(I335*INDEX(미지급률범위,E335),0)</f>
        <v/>
      </c>
      <c r="M335" s="2">
        <f>ROUND(I335*INDEX(과지급률범위,E335),0)</f>
        <v/>
      </c>
      <c r="N335" s="2">
        <f>MAX(0,L335-M335)</f>
        <v/>
      </c>
      <c r="O335" s="2">
        <f>K335-N335</f>
        <v/>
      </c>
      <c r="P335" s="2">
        <f>I335-N335</f>
        <v/>
      </c>
      <c r="Q335" s="5">
        <f>IF(G335&gt;기준일,1,0)</f>
        <v/>
      </c>
      <c r="R335" s="5">
        <f>IF(G335&lt;=기준일,1,0)</f>
        <v/>
      </c>
      <c r="S335" s="2">
        <f>J335*H335</f>
        <v/>
      </c>
      <c r="T335" s="5">
        <f>IF(AND(F335&gt;=표본시작,F335&lt;=표본종료),1,0)</f>
        <v/>
      </c>
      <c r="U335" s="5">
        <f>IF(AND(G335&gt;=조회시작,G335&lt;=조회종료),1,0)</f>
        <v/>
      </c>
    </row>
    <row r="336">
      <c r="A336" s="2">
        <f>ROW()-1</f>
        <v/>
      </c>
      <c r="B336" s="5">
        <f>INDEX(상호범위,D336)</f>
        <v/>
      </c>
      <c r="C336" s="5">
        <f>INDEX(플랫폼명범위,E336)</f>
        <v/>
      </c>
      <c r="D336" s="2">
        <f>MOD(INT((A336-1)/4),8)+1</f>
        <v/>
      </c>
      <c r="E336" s="2">
        <f>MOD(A336-1,4)+1</f>
        <v/>
      </c>
      <c r="F336" s="20">
        <f>축시작+INT((A336-1)/32)</f>
        <v/>
      </c>
      <c r="G336" s="20">
        <f>F336+H336</f>
        <v/>
      </c>
      <c r="H336" s="5" t="n">
        <v>7</v>
      </c>
      <c r="I336" s="2">
        <f>ROUND(INDEX(가맹점!$P$2:$P$9,D336)*INDEX(가맹점!$J$2:$M$9,D336,E336),0)</f>
        <v/>
      </c>
      <c r="J336" s="2">
        <f>ROUND(I336*(1-할인율),0)</f>
        <v/>
      </c>
      <c r="K336" s="2">
        <f>ROUNDDOWN(I336*할인율,0)</f>
        <v/>
      </c>
      <c r="L336" s="2">
        <f>ROUND(I336*INDEX(미지급률범위,E336),0)</f>
        <v/>
      </c>
      <c r="M336" s="2">
        <f>ROUND(I336*INDEX(과지급률범위,E336),0)</f>
        <v/>
      </c>
      <c r="N336" s="2">
        <f>MAX(0,L336-M336)</f>
        <v/>
      </c>
      <c r="O336" s="2">
        <f>K336-N336</f>
        <v/>
      </c>
      <c r="P336" s="2">
        <f>I336-N336</f>
        <v/>
      </c>
      <c r="Q336" s="5">
        <f>IF(G336&gt;기준일,1,0)</f>
        <v/>
      </c>
      <c r="R336" s="5">
        <f>IF(G336&lt;=기준일,1,0)</f>
        <v/>
      </c>
      <c r="S336" s="2">
        <f>J336*H336</f>
        <v/>
      </c>
      <c r="T336" s="5">
        <f>IF(AND(F336&gt;=표본시작,F336&lt;=표본종료),1,0)</f>
        <v/>
      </c>
      <c r="U336" s="5">
        <f>IF(AND(G336&gt;=조회시작,G336&lt;=조회종료),1,0)</f>
        <v/>
      </c>
    </row>
    <row r="337">
      <c r="A337" s="2">
        <f>ROW()-1</f>
        <v/>
      </c>
      <c r="B337" s="5">
        <f>INDEX(상호범위,D337)</f>
        <v/>
      </c>
      <c r="C337" s="5">
        <f>INDEX(플랫폼명범위,E337)</f>
        <v/>
      </c>
      <c r="D337" s="2">
        <f>MOD(INT((A337-1)/4),8)+1</f>
        <v/>
      </c>
      <c r="E337" s="2">
        <f>MOD(A337-1,4)+1</f>
        <v/>
      </c>
      <c r="F337" s="20">
        <f>축시작+INT((A337-1)/32)</f>
        <v/>
      </c>
      <c r="G337" s="20">
        <f>F337+H337</f>
        <v/>
      </c>
      <c r="H337" s="5" t="n">
        <v>8</v>
      </c>
      <c r="I337" s="2">
        <f>ROUND(INDEX(가맹점!$P$2:$P$9,D337)*INDEX(가맹점!$J$2:$M$9,D337,E337),0)</f>
        <v/>
      </c>
      <c r="J337" s="2">
        <f>ROUND(I337*(1-할인율),0)</f>
        <v/>
      </c>
      <c r="K337" s="2">
        <f>ROUNDDOWN(I337*할인율,0)</f>
        <v/>
      </c>
      <c r="L337" s="2">
        <f>ROUND(I337*INDEX(미지급률범위,E337),0)</f>
        <v/>
      </c>
      <c r="M337" s="2">
        <f>ROUND(I337*INDEX(과지급률범위,E337),0)</f>
        <v/>
      </c>
      <c r="N337" s="2">
        <f>MAX(0,L337-M337)</f>
        <v/>
      </c>
      <c r="O337" s="2">
        <f>K337-N337</f>
        <v/>
      </c>
      <c r="P337" s="2">
        <f>I337-N337</f>
        <v/>
      </c>
      <c r="Q337" s="5">
        <f>IF(G337&gt;기준일,1,0)</f>
        <v/>
      </c>
      <c r="R337" s="5">
        <f>IF(G337&lt;=기준일,1,0)</f>
        <v/>
      </c>
      <c r="S337" s="2">
        <f>J337*H337</f>
        <v/>
      </c>
      <c r="T337" s="5">
        <f>IF(AND(F337&gt;=표본시작,F337&lt;=표본종료),1,0)</f>
        <v/>
      </c>
      <c r="U337" s="5">
        <f>IF(AND(G337&gt;=조회시작,G337&lt;=조회종료),1,0)</f>
        <v/>
      </c>
    </row>
    <row r="338">
      <c r="A338" s="2">
        <f>ROW()-1</f>
        <v/>
      </c>
      <c r="B338" s="5">
        <f>INDEX(상호범위,D338)</f>
        <v/>
      </c>
      <c r="C338" s="5">
        <f>INDEX(플랫폼명범위,E338)</f>
        <v/>
      </c>
      <c r="D338" s="2">
        <f>MOD(INT((A338-1)/4),8)+1</f>
        <v/>
      </c>
      <c r="E338" s="2">
        <f>MOD(A338-1,4)+1</f>
        <v/>
      </c>
      <c r="F338" s="20">
        <f>축시작+INT((A338-1)/32)</f>
        <v/>
      </c>
      <c r="G338" s="20">
        <f>F338+H338</f>
        <v/>
      </c>
      <c r="H338" s="5" t="n">
        <v>1</v>
      </c>
      <c r="I338" s="2">
        <f>ROUND(INDEX(가맹점!$P$2:$P$9,D338)*INDEX(가맹점!$J$2:$M$9,D338,E338),0)</f>
        <v/>
      </c>
      <c r="J338" s="2">
        <f>ROUND(I338*(1-할인율),0)</f>
        <v/>
      </c>
      <c r="K338" s="2">
        <f>ROUNDDOWN(I338*할인율,0)</f>
        <v/>
      </c>
      <c r="L338" s="2">
        <f>ROUND(I338*INDEX(미지급률범위,E338),0)</f>
        <v/>
      </c>
      <c r="M338" s="2">
        <f>ROUND(I338*INDEX(과지급률범위,E338),0)</f>
        <v/>
      </c>
      <c r="N338" s="2">
        <f>MAX(0,L338-M338)</f>
        <v/>
      </c>
      <c r="O338" s="2">
        <f>K338-N338</f>
        <v/>
      </c>
      <c r="P338" s="2">
        <f>I338-N338</f>
        <v/>
      </c>
      <c r="Q338" s="5">
        <f>IF(G338&gt;기준일,1,0)</f>
        <v/>
      </c>
      <c r="R338" s="5">
        <f>IF(G338&lt;=기준일,1,0)</f>
        <v/>
      </c>
      <c r="S338" s="2">
        <f>J338*H338</f>
        <v/>
      </c>
      <c r="T338" s="5">
        <f>IF(AND(F338&gt;=표본시작,F338&lt;=표본종료),1,0)</f>
        <v/>
      </c>
      <c r="U338" s="5">
        <f>IF(AND(G338&gt;=조회시작,G338&lt;=조회종료),1,0)</f>
        <v/>
      </c>
    </row>
    <row r="339">
      <c r="A339" s="2">
        <f>ROW()-1</f>
        <v/>
      </c>
      <c r="B339" s="5">
        <f>INDEX(상호범위,D339)</f>
        <v/>
      </c>
      <c r="C339" s="5">
        <f>INDEX(플랫폼명범위,E339)</f>
        <v/>
      </c>
      <c r="D339" s="2">
        <f>MOD(INT((A339-1)/4),8)+1</f>
        <v/>
      </c>
      <c r="E339" s="2">
        <f>MOD(A339-1,4)+1</f>
        <v/>
      </c>
      <c r="F339" s="20">
        <f>축시작+INT((A339-1)/32)</f>
        <v/>
      </c>
      <c r="G339" s="20">
        <f>F339+H339</f>
        <v/>
      </c>
      <c r="H339" s="5" t="n">
        <v>8</v>
      </c>
      <c r="I339" s="2">
        <f>ROUND(INDEX(가맹점!$P$2:$P$9,D339)*INDEX(가맹점!$J$2:$M$9,D339,E339),0)</f>
        <v/>
      </c>
      <c r="J339" s="2">
        <f>ROUND(I339*(1-할인율),0)</f>
        <v/>
      </c>
      <c r="K339" s="2">
        <f>ROUNDDOWN(I339*할인율,0)</f>
        <v/>
      </c>
      <c r="L339" s="2">
        <f>ROUND(I339*INDEX(미지급률범위,E339),0)</f>
        <v/>
      </c>
      <c r="M339" s="2">
        <f>ROUND(I339*INDEX(과지급률범위,E339),0)</f>
        <v/>
      </c>
      <c r="N339" s="2">
        <f>MAX(0,L339-M339)</f>
        <v/>
      </c>
      <c r="O339" s="2">
        <f>K339-N339</f>
        <v/>
      </c>
      <c r="P339" s="2">
        <f>I339-N339</f>
        <v/>
      </c>
      <c r="Q339" s="5">
        <f>IF(G339&gt;기준일,1,0)</f>
        <v/>
      </c>
      <c r="R339" s="5">
        <f>IF(G339&lt;=기준일,1,0)</f>
        <v/>
      </c>
      <c r="S339" s="2">
        <f>J339*H339</f>
        <v/>
      </c>
      <c r="T339" s="5">
        <f>IF(AND(F339&gt;=표본시작,F339&lt;=표본종료),1,0)</f>
        <v/>
      </c>
      <c r="U339" s="5">
        <f>IF(AND(G339&gt;=조회시작,G339&lt;=조회종료),1,0)</f>
        <v/>
      </c>
    </row>
    <row r="340">
      <c r="A340" s="2">
        <f>ROW()-1</f>
        <v/>
      </c>
      <c r="B340" s="5">
        <f>INDEX(상호범위,D340)</f>
        <v/>
      </c>
      <c r="C340" s="5">
        <f>INDEX(플랫폼명범위,E340)</f>
        <v/>
      </c>
      <c r="D340" s="2">
        <f>MOD(INT((A340-1)/4),8)+1</f>
        <v/>
      </c>
      <c r="E340" s="2">
        <f>MOD(A340-1,4)+1</f>
        <v/>
      </c>
      <c r="F340" s="20">
        <f>축시작+INT((A340-1)/32)</f>
        <v/>
      </c>
      <c r="G340" s="20">
        <f>F340+H340</f>
        <v/>
      </c>
      <c r="H340" s="5" t="n">
        <v>5</v>
      </c>
      <c r="I340" s="2">
        <f>ROUND(INDEX(가맹점!$P$2:$P$9,D340)*INDEX(가맹점!$J$2:$M$9,D340,E340),0)</f>
        <v/>
      </c>
      <c r="J340" s="2">
        <f>ROUND(I340*(1-할인율),0)</f>
        <v/>
      </c>
      <c r="K340" s="2">
        <f>ROUNDDOWN(I340*할인율,0)</f>
        <v/>
      </c>
      <c r="L340" s="2">
        <f>ROUND(I340*INDEX(미지급률범위,E340),0)</f>
        <v/>
      </c>
      <c r="M340" s="2">
        <f>ROUND(I340*INDEX(과지급률범위,E340),0)</f>
        <v/>
      </c>
      <c r="N340" s="2">
        <f>MAX(0,L340-M340)</f>
        <v/>
      </c>
      <c r="O340" s="2">
        <f>K340-N340</f>
        <v/>
      </c>
      <c r="P340" s="2">
        <f>I340-N340</f>
        <v/>
      </c>
      <c r="Q340" s="5">
        <f>IF(G340&gt;기준일,1,0)</f>
        <v/>
      </c>
      <c r="R340" s="5">
        <f>IF(G340&lt;=기준일,1,0)</f>
        <v/>
      </c>
      <c r="S340" s="2">
        <f>J340*H340</f>
        <v/>
      </c>
      <c r="T340" s="5">
        <f>IF(AND(F340&gt;=표본시작,F340&lt;=표본종료),1,0)</f>
        <v/>
      </c>
      <c r="U340" s="5">
        <f>IF(AND(G340&gt;=조회시작,G340&lt;=조회종료),1,0)</f>
        <v/>
      </c>
    </row>
    <row r="341">
      <c r="A341" s="2">
        <f>ROW()-1</f>
        <v/>
      </c>
      <c r="B341" s="5">
        <f>INDEX(상호범위,D341)</f>
        <v/>
      </c>
      <c r="C341" s="5">
        <f>INDEX(플랫폼명범위,E341)</f>
        <v/>
      </c>
      <c r="D341" s="2">
        <f>MOD(INT((A341-1)/4),8)+1</f>
        <v/>
      </c>
      <c r="E341" s="2">
        <f>MOD(A341-1,4)+1</f>
        <v/>
      </c>
      <c r="F341" s="20">
        <f>축시작+INT((A341-1)/32)</f>
        <v/>
      </c>
      <c r="G341" s="20">
        <f>F341+H341</f>
        <v/>
      </c>
      <c r="H341" s="5" t="n">
        <v>10</v>
      </c>
      <c r="I341" s="2">
        <f>ROUND(INDEX(가맹점!$P$2:$P$9,D341)*INDEX(가맹점!$J$2:$M$9,D341,E341),0)</f>
        <v/>
      </c>
      <c r="J341" s="2">
        <f>ROUND(I341*(1-할인율),0)</f>
        <v/>
      </c>
      <c r="K341" s="2">
        <f>ROUNDDOWN(I341*할인율,0)</f>
        <v/>
      </c>
      <c r="L341" s="2">
        <f>ROUND(I341*INDEX(미지급률범위,E341),0)</f>
        <v/>
      </c>
      <c r="M341" s="2">
        <f>ROUND(I341*INDEX(과지급률범위,E341),0)</f>
        <v/>
      </c>
      <c r="N341" s="2">
        <f>MAX(0,L341-M341)</f>
        <v/>
      </c>
      <c r="O341" s="2">
        <f>K341-N341</f>
        <v/>
      </c>
      <c r="P341" s="2">
        <f>I341-N341</f>
        <v/>
      </c>
      <c r="Q341" s="5">
        <f>IF(G341&gt;기준일,1,0)</f>
        <v/>
      </c>
      <c r="R341" s="5">
        <f>IF(G341&lt;=기준일,1,0)</f>
        <v/>
      </c>
      <c r="S341" s="2">
        <f>J341*H341</f>
        <v/>
      </c>
      <c r="T341" s="5">
        <f>IF(AND(F341&gt;=표본시작,F341&lt;=표본종료),1,0)</f>
        <v/>
      </c>
      <c r="U341" s="5">
        <f>IF(AND(G341&gt;=조회시작,G341&lt;=조회종료),1,0)</f>
        <v/>
      </c>
    </row>
    <row r="342">
      <c r="A342" s="2">
        <f>ROW()-1</f>
        <v/>
      </c>
      <c r="B342" s="5">
        <f>INDEX(상호범위,D342)</f>
        <v/>
      </c>
      <c r="C342" s="5">
        <f>INDEX(플랫폼명범위,E342)</f>
        <v/>
      </c>
      <c r="D342" s="2">
        <f>MOD(INT((A342-1)/4),8)+1</f>
        <v/>
      </c>
      <c r="E342" s="2">
        <f>MOD(A342-1,4)+1</f>
        <v/>
      </c>
      <c r="F342" s="20">
        <f>축시작+INT((A342-1)/32)</f>
        <v/>
      </c>
      <c r="G342" s="20">
        <f>F342+H342</f>
        <v/>
      </c>
      <c r="H342" s="5" t="n">
        <v>2</v>
      </c>
      <c r="I342" s="2">
        <f>ROUND(INDEX(가맹점!$P$2:$P$9,D342)*INDEX(가맹점!$J$2:$M$9,D342,E342),0)</f>
        <v/>
      </c>
      <c r="J342" s="2">
        <f>ROUND(I342*(1-할인율),0)</f>
        <v/>
      </c>
      <c r="K342" s="2">
        <f>ROUNDDOWN(I342*할인율,0)</f>
        <v/>
      </c>
      <c r="L342" s="2">
        <f>ROUND(I342*INDEX(미지급률범위,E342),0)</f>
        <v/>
      </c>
      <c r="M342" s="2">
        <f>ROUND(I342*INDEX(과지급률범위,E342),0)</f>
        <v/>
      </c>
      <c r="N342" s="2">
        <f>MAX(0,L342-M342)</f>
        <v/>
      </c>
      <c r="O342" s="2">
        <f>K342-N342</f>
        <v/>
      </c>
      <c r="P342" s="2">
        <f>I342-N342</f>
        <v/>
      </c>
      <c r="Q342" s="5">
        <f>IF(G342&gt;기준일,1,0)</f>
        <v/>
      </c>
      <c r="R342" s="5">
        <f>IF(G342&lt;=기준일,1,0)</f>
        <v/>
      </c>
      <c r="S342" s="2">
        <f>J342*H342</f>
        <v/>
      </c>
      <c r="T342" s="5">
        <f>IF(AND(F342&gt;=표본시작,F342&lt;=표본종료),1,0)</f>
        <v/>
      </c>
      <c r="U342" s="5">
        <f>IF(AND(G342&gt;=조회시작,G342&lt;=조회종료),1,0)</f>
        <v/>
      </c>
    </row>
    <row r="343">
      <c r="A343" s="2">
        <f>ROW()-1</f>
        <v/>
      </c>
      <c r="B343" s="5">
        <f>INDEX(상호범위,D343)</f>
        <v/>
      </c>
      <c r="C343" s="5">
        <f>INDEX(플랫폼명범위,E343)</f>
        <v/>
      </c>
      <c r="D343" s="2">
        <f>MOD(INT((A343-1)/4),8)+1</f>
        <v/>
      </c>
      <c r="E343" s="2">
        <f>MOD(A343-1,4)+1</f>
        <v/>
      </c>
      <c r="F343" s="20">
        <f>축시작+INT((A343-1)/32)</f>
        <v/>
      </c>
      <c r="G343" s="20">
        <f>F343+H343</f>
        <v/>
      </c>
      <c r="H343" s="5" t="n">
        <v>4</v>
      </c>
      <c r="I343" s="2">
        <f>ROUND(INDEX(가맹점!$P$2:$P$9,D343)*INDEX(가맹점!$J$2:$M$9,D343,E343),0)</f>
        <v/>
      </c>
      <c r="J343" s="2">
        <f>ROUND(I343*(1-할인율),0)</f>
        <v/>
      </c>
      <c r="K343" s="2">
        <f>ROUNDDOWN(I343*할인율,0)</f>
        <v/>
      </c>
      <c r="L343" s="2">
        <f>ROUND(I343*INDEX(미지급률범위,E343),0)</f>
        <v/>
      </c>
      <c r="M343" s="2">
        <f>ROUND(I343*INDEX(과지급률범위,E343),0)</f>
        <v/>
      </c>
      <c r="N343" s="2">
        <f>MAX(0,L343-M343)</f>
        <v/>
      </c>
      <c r="O343" s="2">
        <f>K343-N343</f>
        <v/>
      </c>
      <c r="P343" s="2">
        <f>I343-N343</f>
        <v/>
      </c>
      <c r="Q343" s="5">
        <f>IF(G343&gt;기준일,1,0)</f>
        <v/>
      </c>
      <c r="R343" s="5">
        <f>IF(G343&lt;=기준일,1,0)</f>
        <v/>
      </c>
      <c r="S343" s="2">
        <f>J343*H343</f>
        <v/>
      </c>
      <c r="T343" s="5">
        <f>IF(AND(F343&gt;=표본시작,F343&lt;=표본종료),1,0)</f>
        <v/>
      </c>
      <c r="U343" s="5">
        <f>IF(AND(G343&gt;=조회시작,G343&lt;=조회종료),1,0)</f>
        <v/>
      </c>
    </row>
    <row r="344">
      <c r="A344" s="2">
        <f>ROW()-1</f>
        <v/>
      </c>
      <c r="B344" s="5">
        <f>INDEX(상호범위,D344)</f>
        <v/>
      </c>
      <c r="C344" s="5">
        <f>INDEX(플랫폼명범위,E344)</f>
        <v/>
      </c>
      <c r="D344" s="2">
        <f>MOD(INT((A344-1)/4),8)+1</f>
        <v/>
      </c>
      <c r="E344" s="2">
        <f>MOD(A344-1,4)+1</f>
        <v/>
      </c>
      <c r="F344" s="20">
        <f>축시작+INT((A344-1)/32)</f>
        <v/>
      </c>
      <c r="G344" s="20">
        <f>F344+H344</f>
        <v/>
      </c>
      <c r="H344" s="5" t="n">
        <v>3</v>
      </c>
      <c r="I344" s="2">
        <f>ROUND(INDEX(가맹점!$P$2:$P$9,D344)*INDEX(가맹점!$J$2:$M$9,D344,E344),0)</f>
        <v/>
      </c>
      <c r="J344" s="2">
        <f>ROUND(I344*(1-할인율),0)</f>
        <v/>
      </c>
      <c r="K344" s="2">
        <f>ROUNDDOWN(I344*할인율,0)</f>
        <v/>
      </c>
      <c r="L344" s="2">
        <f>ROUND(I344*INDEX(미지급률범위,E344),0)</f>
        <v/>
      </c>
      <c r="M344" s="2">
        <f>ROUND(I344*INDEX(과지급률범위,E344),0)</f>
        <v/>
      </c>
      <c r="N344" s="2">
        <f>MAX(0,L344-M344)</f>
        <v/>
      </c>
      <c r="O344" s="2">
        <f>K344-N344</f>
        <v/>
      </c>
      <c r="P344" s="2">
        <f>I344-N344</f>
        <v/>
      </c>
      <c r="Q344" s="5">
        <f>IF(G344&gt;기준일,1,0)</f>
        <v/>
      </c>
      <c r="R344" s="5">
        <f>IF(G344&lt;=기준일,1,0)</f>
        <v/>
      </c>
      <c r="S344" s="2">
        <f>J344*H344</f>
        <v/>
      </c>
      <c r="T344" s="5">
        <f>IF(AND(F344&gt;=표본시작,F344&lt;=표본종료),1,0)</f>
        <v/>
      </c>
      <c r="U344" s="5">
        <f>IF(AND(G344&gt;=조회시작,G344&lt;=조회종료),1,0)</f>
        <v/>
      </c>
    </row>
    <row r="345">
      <c r="A345" s="2">
        <f>ROW()-1</f>
        <v/>
      </c>
      <c r="B345" s="5">
        <f>INDEX(상호범위,D345)</f>
        <v/>
      </c>
      <c r="C345" s="5">
        <f>INDEX(플랫폼명범위,E345)</f>
        <v/>
      </c>
      <c r="D345" s="2">
        <f>MOD(INT((A345-1)/4),8)+1</f>
        <v/>
      </c>
      <c r="E345" s="2">
        <f>MOD(A345-1,4)+1</f>
        <v/>
      </c>
      <c r="F345" s="20">
        <f>축시작+INT((A345-1)/32)</f>
        <v/>
      </c>
      <c r="G345" s="20">
        <f>F345+H345</f>
        <v/>
      </c>
      <c r="H345" s="5" t="n">
        <v>8</v>
      </c>
      <c r="I345" s="2">
        <f>ROUND(INDEX(가맹점!$P$2:$P$9,D345)*INDEX(가맹점!$J$2:$M$9,D345,E345),0)</f>
        <v/>
      </c>
      <c r="J345" s="2">
        <f>ROUND(I345*(1-할인율),0)</f>
        <v/>
      </c>
      <c r="K345" s="2">
        <f>ROUNDDOWN(I345*할인율,0)</f>
        <v/>
      </c>
      <c r="L345" s="2">
        <f>ROUND(I345*INDEX(미지급률범위,E345),0)</f>
        <v/>
      </c>
      <c r="M345" s="2">
        <f>ROUND(I345*INDEX(과지급률범위,E345),0)</f>
        <v/>
      </c>
      <c r="N345" s="2">
        <f>MAX(0,L345-M345)</f>
        <v/>
      </c>
      <c r="O345" s="2">
        <f>K345-N345</f>
        <v/>
      </c>
      <c r="P345" s="2">
        <f>I345-N345</f>
        <v/>
      </c>
      <c r="Q345" s="5">
        <f>IF(G345&gt;기준일,1,0)</f>
        <v/>
      </c>
      <c r="R345" s="5">
        <f>IF(G345&lt;=기준일,1,0)</f>
        <v/>
      </c>
      <c r="S345" s="2">
        <f>J345*H345</f>
        <v/>
      </c>
      <c r="T345" s="5">
        <f>IF(AND(F345&gt;=표본시작,F345&lt;=표본종료),1,0)</f>
        <v/>
      </c>
      <c r="U345" s="5">
        <f>IF(AND(G345&gt;=조회시작,G345&lt;=조회종료),1,0)</f>
        <v/>
      </c>
    </row>
    <row r="346">
      <c r="A346" s="2">
        <f>ROW()-1</f>
        <v/>
      </c>
      <c r="B346" s="5">
        <f>INDEX(상호범위,D346)</f>
        <v/>
      </c>
      <c r="C346" s="5">
        <f>INDEX(플랫폼명범위,E346)</f>
        <v/>
      </c>
      <c r="D346" s="2">
        <f>MOD(INT((A346-1)/4),8)+1</f>
        <v/>
      </c>
      <c r="E346" s="2">
        <f>MOD(A346-1,4)+1</f>
        <v/>
      </c>
      <c r="F346" s="20">
        <f>축시작+INT((A346-1)/32)</f>
        <v/>
      </c>
      <c r="G346" s="20">
        <f>F346+H346</f>
        <v/>
      </c>
      <c r="H346" s="5" t="n">
        <v>1</v>
      </c>
      <c r="I346" s="2">
        <f>ROUND(INDEX(가맹점!$P$2:$P$9,D346)*INDEX(가맹점!$J$2:$M$9,D346,E346),0)</f>
        <v/>
      </c>
      <c r="J346" s="2">
        <f>ROUND(I346*(1-할인율),0)</f>
        <v/>
      </c>
      <c r="K346" s="2">
        <f>ROUNDDOWN(I346*할인율,0)</f>
        <v/>
      </c>
      <c r="L346" s="2">
        <f>ROUND(I346*INDEX(미지급률범위,E346),0)</f>
        <v/>
      </c>
      <c r="M346" s="2">
        <f>ROUND(I346*INDEX(과지급률범위,E346),0)</f>
        <v/>
      </c>
      <c r="N346" s="2">
        <f>MAX(0,L346-M346)</f>
        <v/>
      </c>
      <c r="O346" s="2">
        <f>K346-N346</f>
        <v/>
      </c>
      <c r="P346" s="2">
        <f>I346-N346</f>
        <v/>
      </c>
      <c r="Q346" s="5">
        <f>IF(G346&gt;기준일,1,0)</f>
        <v/>
      </c>
      <c r="R346" s="5">
        <f>IF(G346&lt;=기준일,1,0)</f>
        <v/>
      </c>
      <c r="S346" s="2">
        <f>J346*H346</f>
        <v/>
      </c>
      <c r="T346" s="5">
        <f>IF(AND(F346&gt;=표본시작,F346&lt;=표본종료),1,0)</f>
        <v/>
      </c>
      <c r="U346" s="5">
        <f>IF(AND(G346&gt;=조회시작,G346&lt;=조회종료),1,0)</f>
        <v/>
      </c>
    </row>
    <row r="347">
      <c r="A347" s="2">
        <f>ROW()-1</f>
        <v/>
      </c>
      <c r="B347" s="5">
        <f>INDEX(상호범위,D347)</f>
        <v/>
      </c>
      <c r="C347" s="5">
        <f>INDEX(플랫폼명범위,E347)</f>
        <v/>
      </c>
      <c r="D347" s="2">
        <f>MOD(INT((A347-1)/4),8)+1</f>
        <v/>
      </c>
      <c r="E347" s="2">
        <f>MOD(A347-1,4)+1</f>
        <v/>
      </c>
      <c r="F347" s="20">
        <f>축시작+INT((A347-1)/32)</f>
        <v/>
      </c>
      <c r="G347" s="20">
        <f>F347+H347</f>
        <v/>
      </c>
      <c r="H347" s="5" t="n">
        <v>3</v>
      </c>
      <c r="I347" s="2">
        <f>ROUND(INDEX(가맹점!$P$2:$P$9,D347)*INDEX(가맹점!$J$2:$M$9,D347,E347),0)</f>
        <v/>
      </c>
      <c r="J347" s="2">
        <f>ROUND(I347*(1-할인율),0)</f>
        <v/>
      </c>
      <c r="K347" s="2">
        <f>ROUNDDOWN(I347*할인율,0)</f>
        <v/>
      </c>
      <c r="L347" s="2">
        <f>ROUND(I347*INDEX(미지급률범위,E347),0)</f>
        <v/>
      </c>
      <c r="M347" s="2">
        <f>ROUND(I347*INDEX(과지급률범위,E347),0)</f>
        <v/>
      </c>
      <c r="N347" s="2">
        <f>MAX(0,L347-M347)</f>
        <v/>
      </c>
      <c r="O347" s="2">
        <f>K347-N347</f>
        <v/>
      </c>
      <c r="P347" s="2">
        <f>I347-N347</f>
        <v/>
      </c>
      <c r="Q347" s="5">
        <f>IF(G347&gt;기준일,1,0)</f>
        <v/>
      </c>
      <c r="R347" s="5">
        <f>IF(G347&lt;=기준일,1,0)</f>
        <v/>
      </c>
      <c r="S347" s="2">
        <f>J347*H347</f>
        <v/>
      </c>
      <c r="T347" s="5">
        <f>IF(AND(F347&gt;=표본시작,F347&lt;=표본종료),1,0)</f>
        <v/>
      </c>
      <c r="U347" s="5">
        <f>IF(AND(G347&gt;=조회시작,G347&lt;=조회종료),1,0)</f>
        <v/>
      </c>
    </row>
    <row r="348">
      <c r="A348" s="2">
        <f>ROW()-1</f>
        <v/>
      </c>
      <c r="B348" s="5">
        <f>INDEX(상호범위,D348)</f>
        <v/>
      </c>
      <c r="C348" s="5">
        <f>INDEX(플랫폼명범위,E348)</f>
        <v/>
      </c>
      <c r="D348" s="2">
        <f>MOD(INT((A348-1)/4),8)+1</f>
        <v/>
      </c>
      <c r="E348" s="2">
        <f>MOD(A348-1,4)+1</f>
        <v/>
      </c>
      <c r="F348" s="20">
        <f>축시작+INT((A348-1)/32)</f>
        <v/>
      </c>
      <c r="G348" s="20">
        <f>F348+H348</f>
        <v/>
      </c>
      <c r="H348" s="5" t="n">
        <v>4</v>
      </c>
      <c r="I348" s="2">
        <f>ROUND(INDEX(가맹점!$P$2:$P$9,D348)*INDEX(가맹점!$J$2:$M$9,D348,E348),0)</f>
        <v/>
      </c>
      <c r="J348" s="2">
        <f>ROUND(I348*(1-할인율),0)</f>
        <v/>
      </c>
      <c r="K348" s="2">
        <f>ROUNDDOWN(I348*할인율,0)</f>
        <v/>
      </c>
      <c r="L348" s="2">
        <f>ROUND(I348*INDEX(미지급률범위,E348),0)</f>
        <v/>
      </c>
      <c r="M348" s="2">
        <f>ROUND(I348*INDEX(과지급률범위,E348),0)</f>
        <v/>
      </c>
      <c r="N348" s="2">
        <f>MAX(0,L348-M348)</f>
        <v/>
      </c>
      <c r="O348" s="2">
        <f>K348-N348</f>
        <v/>
      </c>
      <c r="P348" s="2">
        <f>I348-N348</f>
        <v/>
      </c>
      <c r="Q348" s="5">
        <f>IF(G348&gt;기준일,1,0)</f>
        <v/>
      </c>
      <c r="R348" s="5">
        <f>IF(G348&lt;=기준일,1,0)</f>
        <v/>
      </c>
      <c r="S348" s="2">
        <f>J348*H348</f>
        <v/>
      </c>
      <c r="T348" s="5">
        <f>IF(AND(F348&gt;=표본시작,F348&lt;=표본종료),1,0)</f>
        <v/>
      </c>
      <c r="U348" s="5">
        <f>IF(AND(G348&gt;=조회시작,G348&lt;=조회종료),1,0)</f>
        <v/>
      </c>
    </row>
    <row r="349">
      <c r="A349" s="2">
        <f>ROW()-1</f>
        <v/>
      </c>
      <c r="B349" s="5">
        <f>INDEX(상호범위,D349)</f>
        <v/>
      </c>
      <c r="C349" s="5">
        <f>INDEX(플랫폼명범위,E349)</f>
        <v/>
      </c>
      <c r="D349" s="2">
        <f>MOD(INT((A349-1)/4),8)+1</f>
        <v/>
      </c>
      <c r="E349" s="2">
        <f>MOD(A349-1,4)+1</f>
        <v/>
      </c>
      <c r="F349" s="20">
        <f>축시작+INT((A349-1)/32)</f>
        <v/>
      </c>
      <c r="G349" s="20">
        <f>F349+H349</f>
        <v/>
      </c>
      <c r="H349" s="5" t="n">
        <v>6</v>
      </c>
      <c r="I349" s="2">
        <f>ROUND(INDEX(가맹점!$P$2:$P$9,D349)*INDEX(가맹점!$J$2:$M$9,D349,E349),0)</f>
        <v/>
      </c>
      <c r="J349" s="2">
        <f>ROUND(I349*(1-할인율),0)</f>
        <v/>
      </c>
      <c r="K349" s="2">
        <f>ROUNDDOWN(I349*할인율,0)</f>
        <v/>
      </c>
      <c r="L349" s="2">
        <f>ROUND(I349*INDEX(미지급률범위,E349),0)</f>
        <v/>
      </c>
      <c r="M349" s="2">
        <f>ROUND(I349*INDEX(과지급률범위,E349),0)</f>
        <v/>
      </c>
      <c r="N349" s="2">
        <f>MAX(0,L349-M349)</f>
        <v/>
      </c>
      <c r="O349" s="2">
        <f>K349-N349</f>
        <v/>
      </c>
      <c r="P349" s="2">
        <f>I349-N349</f>
        <v/>
      </c>
      <c r="Q349" s="5">
        <f>IF(G349&gt;기준일,1,0)</f>
        <v/>
      </c>
      <c r="R349" s="5">
        <f>IF(G349&lt;=기준일,1,0)</f>
        <v/>
      </c>
      <c r="S349" s="2">
        <f>J349*H349</f>
        <v/>
      </c>
      <c r="T349" s="5">
        <f>IF(AND(F349&gt;=표본시작,F349&lt;=표본종료),1,0)</f>
        <v/>
      </c>
      <c r="U349" s="5">
        <f>IF(AND(G349&gt;=조회시작,G349&lt;=조회종료),1,0)</f>
        <v/>
      </c>
    </row>
    <row r="350">
      <c r="A350" s="2">
        <f>ROW()-1</f>
        <v/>
      </c>
      <c r="B350" s="5">
        <f>INDEX(상호범위,D350)</f>
        <v/>
      </c>
      <c r="C350" s="5">
        <f>INDEX(플랫폼명범위,E350)</f>
        <v/>
      </c>
      <c r="D350" s="2">
        <f>MOD(INT((A350-1)/4),8)+1</f>
        <v/>
      </c>
      <c r="E350" s="2">
        <f>MOD(A350-1,4)+1</f>
        <v/>
      </c>
      <c r="F350" s="20">
        <f>축시작+INT((A350-1)/32)</f>
        <v/>
      </c>
      <c r="G350" s="20">
        <f>F350+H350</f>
        <v/>
      </c>
      <c r="H350" s="5" t="n">
        <v>1</v>
      </c>
      <c r="I350" s="2">
        <f>ROUND(INDEX(가맹점!$P$2:$P$9,D350)*INDEX(가맹점!$J$2:$M$9,D350,E350),0)</f>
        <v/>
      </c>
      <c r="J350" s="2">
        <f>ROUND(I350*(1-할인율),0)</f>
        <v/>
      </c>
      <c r="K350" s="2">
        <f>ROUNDDOWN(I350*할인율,0)</f>
        <v/>
      </c>
      <c r="L350" s="2">
        <f>ROUND(I350*INDEX(미지급률범위,E350),0)</f>
        <v/>
      </c>
      <c r="M350" s="2">
        <f>ROUND(I350*INDEX(과지급률범위,E350),0)</f>
        <v/>
      </c>
      <c r="N350" s="2">
        <f>MAX(0,L350-M350)</f>
        <v/>
      </c>
      <c r="O350" s="2">
        <f>K350-N350</f>
        <v/>
      </c>
      <c r="P350" s="2">
        <f>I350-N350</f>
        <v/>
      </c>
      <c r="Q350" s="5">
        <f>IF(G350&gt;기준일,1,0)</f>
        <v/>
      </c>
      <c r="R350" s="5">
        <f>IF(G350&lt;=기준일,1,0)</f>
        <v/>
      </c>
      <c r="S350" s="2">
        <f>J350*H350</f>
        <v/>
      </c>
      <c r="T350" s="5">
        <f>IF(AND(F350&gt;=표본시작,F350&lt;=표본종료),1,0)</f>
        <v/>
      </c>
      <c r="U350" s="5">
        <f>IF(AND(G350&gt;=조회시작,G350&lt;=조회종료),1,0)</f>
        <v/>
      </c>
    </row>
    <row r="351">
      <c r="A351" s="2">
        <f>ROW()-1</f>
        <v/>
      </c>
      <c r="B351" s="5">
        <f>INDEX(상호범위,D351)</f>
        <v/>
      </c>
      <c r="C351" s="5">
        <f>INDEX(플랫폼명범위,E351)</f>
        <v/>
      </c>
      <c r="D351" s="2">
        <f>MOD(INT((A351-1)/4),8)+1</f>
        <v/>
      </c>
      <c r="E351" s="2">
        <f>MOD(A351-1,4)+1</f>
        <v/>
      </c>
      <c r="F351" s="20">
        <f>축시작+INT((A351-1)/32)</f>
        <v/>
      </c>
      <c r="G351" s="20">
        <f>F351+H351</f>
        <v/>
      </c>
      <c r="H351" s="5" t="n">
        <v>6</v>
      </c>
      <c r="I351" s="2">
        <f>ROUND(INDEX(가맹점!$P$2:$P$9,D351)*INDEX(가맹점!$J$2:$M$9,D351,E351),0)</f>
        <v/>
      </c>
      <c r="J351" s="2">
        <f>ROUND(I351*(1-할인율),0)</f>
        <v/>
      </c>
      <c r="K351" s="2">
        <f>ROUNDDOWN(I351*할인율,0)</f>
        <v/>
      </c>
      <c r="L351" s="2">
        <f>ROUND(I351*INDEX(미지급률범위,E351),0)</f>
        <v/>
      </c>
      <c r="M351" s="2">
        <f>ROUND(I351*INDEX(과지급률범위,E351),0)</f>
        <v/>
      </c>
      <c r="N351" s="2">
        <f>MAX(0,L351-M351)</f>
        <v/>
      </c>
      <c r="O351" s="2">
        <f>K351-N351</f>
        <v/>
      </c>
      <c r="P351" s="2">
        <f>I351-N351</f>
        <v/>
      </c>
      <c r="Q351" s="5">
        <f>IF(G351&gt;기준일,1,0)</f>
        <v/>
      </c>
      <c r="R351" s="5">
        <f>IF(G351&lt;=기준일,1,0)</f>
        <v/>
      </c>
      <c r="S351" s="2">
        <f>J351*H351</f>
        <v/>
      </c>
      <c r="T351" s="5">
        <f>IF(AND(F351&gt;=표본시작,F351&lt;=표본종료),1,0)</f>
        <v/>
      </c>
      <c r="U351" s="5">
        <f>IF(AND(G351&gt;=조회시작,G351&lt;=조회종료),1,0)</f>
        <v/>
      </c>
    </row>
    <row r="352">
      <c r="A352" s="2">
        <f>ROW()-1</f>
        <v/>
      </c>
      <c r="B352" s="5">
        <f>INDEX(상호범위,D352)</f>
        <v/>
      </c>
      <c r="C352" s="5">
        <f>INDEX(플랫폼명범위,E352)</f>
        <v/>
      </c>
      <c r="D352" s="2">
        <f>MOD(INT((A352-1)/4),8)+1</f>
        <v/>
      </c>
      <c r="E352" s="2">
        <f>MOD(A352-1,4)+1</f>
        <v/>
      </c>
      <c r="F352" s="20">
        <f>축시작+INT((A352-1)/32)</f>
        <v/>
      </c>
      <c r="G352" s="20">
        <f>F352+H352</f>
        <v/>
      </c>
      <c r="H352" s="5" t="n">
        <v>9</v>
      </c>
      <c r="I352" s="2">
        <f>ROUND(INDEX(가맹점!$P$2:$P$9,D352)*INDEX(가맹점!$J$2:$M$9,D352,E352),0)</f>
        <v/>
      </c>
      <c r="J352" s="2">
        <f>ROUND(I352*(1-할인율),0)</f>
        <v/>
      </c>
      <c r="K352" s="2">
        <f>ROUNDDOWN(I352*할인율,0)</f>
        <v/>
      </c>
      <c r="L352" s="2">
        <f>ROUND(I352*INDEX(미지급률범위,E352),0)</f>
        <v/>
      </c>
      <c r="M352" s="2">
        <f>ROUND(I352*INDEX(과지급률범위,E352),0)</f>
        <v/>
      </c>
      <c r="N352" s="2">
        <f>MAX(0,L352-M352)</f>
        <v/>
      </c>
      <c r="O352" s="2">
        <f>K352-N352</f>
        <v/>
      </c>
      <c r="P352" s="2">
        <f>I352-N352</f>
        <v/>
      </c>
      <c r="Q352" s="5">
        <f>IF(G352&gt;기준일,1,0)</f>
        <v/>
      </c>
      <c r="R352" s="5">
        <f>IF(G352&lt;=기준일,1,0)</f>
        <v/>
      </c>
      <c r="S352" s="2">
        <f>J352*H352</f>
        <v/>
      </c>
      <c r="T352" s="5">
        <f>IF(AND(F352&gt;=표본시작,F352&lt;=표본종료),1,0)</f>
        <v/>
      </c>
      <c r="U352" s="5">
        <f>IF(AND(G352&gt;=조회시작,G352&lt;=조회종료),1,0)</f>
        <v/>
      </c>
    </row>
    <row r="353">
      <c r="A353" s="2">
        <f>ROW()-1</f>
        <v/>
      </c>
      <c r="B353" s="5">
        <f>INDEX(상호범위,D353)</f>
        <v/>
      </c>
      <c r="C353" s="5">
        <f>INDEX(플랫폼명범위,E353)</f>
        <v/>
      </c>
      <c r="D353" s="2">
        <f>MOD(INT((A353-1)/4),8)+1</f>
        <v/>
      </c>
      <c r="E353" s="2">
        <f>MOD(A353-1,4)+1</f>
        <v/>
      </c>
      <c r="F353" s="20">
        <f>축시작+INT((A353-1)/32)</f>
        <v/>
      </c>
      <c r="G353" s="20">
        <f>F353+H353</f>
        <v/>
      </c>
      <c r="H353" s="5" t="n">
        <v>4</v>
      </c>
      <c r="I353" s="2">
        <f>ROUND(INDEX(가맹점!$P$2:$P$9,D353)*INDEX(가맹점!$J$2:$M$9,D353,E353),0)</f>
        <v/>
      </c>
      <c r="J353" s="2">
        <f>ROUND(I353*(1-할인율),0)</f>
        <v/>
      </c>
      <c r="K353" s="2">
        <f>ROUNDDOWN(I353*할인율,0)</f>
        <v/>
      </c>
      <c r="L353" s="2">
        <f>ROUND(I353*INDEX(미지급률범위,E353),0)</f>
        <v/>
      </c>
      <c r="M353" s="2">
        <f>ROUND(I353*INDEX(과지급률범위,E353),0)</f>
        <v/>
      </c>
      <c r="N353" s="2">
        <f>MAX(0,L353-M353)</f>
        <v/>
      </c>
      <c r="O353" s="2">
        <f>K353-N353</f>
        <v/>
      </c>
      <c r="P353" s="2">
        <f>I353-N353</f>
        <v/>
      </c>
      <c r="Q353" s="5">
        <f>IF(G353&gt;기준일,1,0)</f>
        <v/>
      </c>
      <c r="R353" s="5">
        <f>IF(G353&lt;=기준일,1,0)</f>
        <v/>
      </c>
      <c r="S353" s="2">
        <f>J353*H353</f>
        <v/>
      </c>
      <c r="T353" s="5">
        <f>IF(AND(F353&gt;=표본시작,F353&lt;=표본종료),1,0)</f>
        <v/>
      </c>
      <c r="U353" s="5">
        <f>IF(AND(G353&gt;=조회시작,G353&lt;=조회종료),1,0)</f>
        <v/>
      </c>
    </row>
    <row r="354">
      <c r="A354" s="2">
        <f>ROW()-1</f>
        <v/>
      </c>
      <c r="B354" s="5">
        <f>INDEX(상호범위,D354)</f>
        <v/>
      </c>
      <c r="C354" s="5">
        <f>INDEX(플랫폼명범위,E354)</f>
        <v/>
      </c>
      <c r="D354" s="2">
        <f>MOD(INT((A354-1)/4),8)+1</f>
        <v/>
      </c>
      <c r="E354" s="2">
        <f>MOD(A354-1,4)+1</f>
        <v/>
      </c>
      <c r="F354" s="20">
        <f>축시작+INT((A354-1)/32)</f>
        <v/>
      </c>
      <c r="G354" s="20">
        <f>F354+H354</f>
        <v/>
      </c>
      <c r="H354" s="5" t="n">
        <v>3</v>
      </c>
      <c r="I354" s="2">
        <f>ROUND(INDEX(가맹점!$P$2:$P$9,D354)*INDEX(가맹점!$J$2:$M$9,D354,E354),0)</f>
        <v/>
      </c>
      <c r="J354" s="2">
        <f>ROUND(I354*(1-할인율),0)</f>
        <v/>
      </c>
      <c r="K354" s="2">
        <f>ROUNDDOWN(I354*할인율,0)</f>
        <v/>
      </c>
      <c r="L354" s="2">
        <f>ROUND(I354*INDEX(미지급률범위,E354),0)</f>
        <v/>
      </c>
      <c r="M354" s="2">
        <f>ROUND(I354*INDEX(과지급률범위,E354),0)</f>
        <v/>
      </c>
      <c r="N354" s="2">
        <f>MAX(0,L354-M354)</f>
        <v/>
      </c>
      <c r="O354" s="2">
        <f>K354-N354</f>
        <v/>
      </c>
      <c r="P354" s="2">
        <f>I354-N354</f>
        <v/>
      </c>
      <c r="Q354" s="5">
        <f>IF(G354&gt;기준일,1,0)</f>
        <v/>
      </c>
      <c r="R354" s="5">
        <f>IF(G354&lt;=기준일,1,0)</f>
        <v/>
      </c>
      <c r="S354" s="2">
        <f>J354*H354</f>
        <v/>
      </c>
      <c r="T354" s="5">
        <f>IF(AND(F354&gt;=표본시작,F354&lt;=표본종료),1,0)</f>
        <v/>
      </c>
      <c r="U354" s="5">
        <f>IF(AND(G354&gt;=조회시작,G354&lt;=조회종료),1,0)</f>
        <v/>
      </c>
    </row>
    <row r="355">
      <c r="A355" s="2">
        <f>ROW()-1</f>
        <v/>
      </c>
      <c r="B355" s="5">
        <f>INDEX(상호범위,D355)</f>
        <v/>
      </c>
      <c r="C355" s="5">
        <f>INDEX(플랫폼명범위,E355)</f>
        <v/>
      </c>
      <c r="D355" s="2">
        <f>MOD(INT((A355-1)/4),8)+1</f>
        <v/>
      </c>
      <c r="E355" s="2">
        <f>MOD(A355-1,4)+1</f>
        <v/>
      </c>
      <c r="F355" s="20">
        <f>축시작+INT((A355-1)/32)</f>
        <v/>
      </c>
      <c r="G355" s="20">
        <f>F355+H355</f>
        <v/>
      </c>
      <c r="H355" s="5" t="n">
        <v>4</v>
      </c>
      <c r="I355" s="2">
        <f>ROUND(INDEX(가맹점!$P$2:$P$9,D355)*INDEX(가맹점!$J$2:$M$9,D355,E355),0)</f>
        <v/>
      </c>
      <c r="J355" s="2">
        <f>ROUND(I355*(1-할인율),0)</f>
        <v/>
      </c>
      <c r="K355" s="2">
        <f>ROUNDDOWN(I355*할인율,0)</f>
        <v/>
      </c>
      <c r="L355" s="2">
        <f>ROUND(I355*INDEX(미지급률범위,E355),0)</f>
        <v/>
      </c>
      <c r="M355" s="2">
        <f>ROUND(I355*INDEX(과지급률범위,E355),0)</f>
        <v/>
      </c>
      <c r="N355" s="2">
        <f>MAX(0,L355-M355)</f>
        <v/>
      </c>
      <c r="O355" s="2">
        <f>K355-N355</f>
        <v/>
      </c>
      <c r="P355" s="2">
        <f>I355-N355</f>
        <v/>
      </c>
      <c r="Q355" s="5">
        <f>IF(G355&gt;기준일,1,0)</f>
        <v/>
      </c>
      <c r="R355" s="5">
        <f>IF(G355&lt;=기준일,1,0)</f>
        <v/>
      </c>
      <c r="S355" s="2">
        <f>J355*H355</f>
        <v/>
      </c>
      <c r="T355" s="5">
        <f>IF(AND(F355&gt;=표본시작,F355&lt;=표본종료),1,0)</f>
        <v/>
      </c>
      <c r="U355" s="5">
        <f>IF(AND(G355&gt;=조회시작,G355&lt;=조회종료),1,0)</f>
        <v/>
      </c>
    </row>
    <row r="356">
      <c r="A356" s="2">
        <f>ROW()-1</f>
        <v/>
      </c>
      <c r="B356" s="5">
        <f>INDEX(상호범위,D356)</f>
        <v/>
      </c>
      <c r="C356" s="5">
        <f>INDEX(플랫폼명범위,E356)</f>
        <v/>
      </c>
      <c r="D356" s="2">
        <f>MOD(INT((A356-1)/4),8)+1</f>
        <v/>
      </c>
      <c r="E356" s="2">
        <f>MOD(A356-1,4)+1</f>
        <v/>
      </c>
      <c r="F356" s="20">
        <f>축시작+INT((A356-1)/32)</f>
        <v/>
      </c>
      <c r="G356" s="20">
        <f>F356+H356</f>
        <v/>
      </c>
      <c r="H356" s="5" t="n">
        <v>7</v>
      </c>
      <c r="I356" s="2">
        <f>ROUND(INDEX(가맹점!$P$2:$P$9,D356)*INDEX(가맹점!$J$2:$M$9,D356,E356),0)</f>
        <v/>
      </c>
      <c r="J356" s="2">
        <f>ROUND(I356*(1-할인율),0)</f>
        <v/>
      </c>
      <c r="K356" s="2">
        <f>ROUNDDOWN(I356*할인율,0)</f>
        <v/>
      </c>
      <c r="L356" s="2">
        <f>ROUND(I356*INDEX(미지급률범위,E356),0)</f>
        <v/>
      </c>
      <c r="M356" s="2">
        <f>ROUND(I356*INDEX(과지급률범위,E356),0)</f>
        <v/>
      </c>
      <c r="N356" s="2">
        <f>MAX(0,L356-M356)</f>
        <v/>
      </c>
      <c r="O356" s="2">
        <f>K356-N356</f>
        <v/>
      </c>
      <c r="P356" s="2">
        <f>I356-N356</f>
        <v/>
      </c>
      <c r="Q356" s="5">
        <f>IF(G356&gt;기준일,1,0)</f>
        <v/>
      </c>
      <c r="R356" s="5">
        <f>IF(G356&lt;=기준일,1,0)</f>
        <v/>
      </c>
      <c r="S356" s="2">
        <f>J356*H356</f>
        <v/>
      </c>
      <c r="T356" s="5">
        <f>IF(AND(F356&gt;=표본시작,F356&lt;=표본종료),1,0)</f>
        <v/>
      </c>
      <c r="U356" s="5">
        <f>IF(AND(G356&gt;=조회시작,G356&lt;=조회종료),1,0)</f>
        <v/>
      </c>
    </row>
    <row r="357">
      <c r="A357" s="2">
        <f>ROW()-1</f>
        <v/>
      </c>
      <c r="B357" s="5">
        <f>INDEX(상호범위,D357)</f>
        <v/>
      </c>
      <c r="C357" s="5">
        <f>INDEX(플랫폼명범위,E357)</f>
        <v/>
      </c>
      <c r="D357" s="2">
        <f>MOD(INT((A357-1)/4),8)+1</f>
        <v/>
      </c>
      <c r="E357" s="2">
        <f>MOD(A357-1,4)+1</f>
        <v/>
      </c>
      <c r="F357" s="20">
        <f>축시작+INT((A357-1)/32)</f>
        <v/>
      </c>
      <c r="G357" s="20">
        <f>F357+H357</f>
        <v/>
      </c>
      <c r="H357" s="5" t="n">
        <v>4</v>
      </c>
      <c r="I357" s="2">
        <f>ROUND(INDEX(가맹점!$P$2:$P$9,D357)*INDEX(가맹점!$J$2:$M$9,D357,E357),0)</f>
        <v/>
      </c>
      <c r="J357" s="2">
        <f>ROUND(I357*(1-할인율),0)</f>
        <v/>
      </c>
      <c r="K357" s="2">
        <f>ROUNDDOWN(I357*할인율,0)</f>
        <v/>
      </c>
      <c r="L357" s="2">
        <f>ROUND(I357*INDEX(미지급률범위,E357),0)</f>
        <v/>
      </c>
      <c r="M357" s="2">
        <f>ROUND(I357*INDEX(과지급률범위,E357),0)</f>
        <v/>
      </c>
      <c r="N357" s="2">
        <f>MAX(0,L357-M357)</f>
        <v/>
      </c>
      <c r="O357" s="2">
        <f>K357-N357</f>
        <v/>
      </c>
      <c r="P357" s="2">
        <f>I357-N357</f>
        <v/>
      </c>
      <c r="Q357" s="5">
        <f>IF(G357&gt;기준일,1,0)</f>
        <v/>
      </c>
      <c r="R357" s="5">
        <f>IF(G357&lt;=기준일,1,0)</f>
        <v/>
      </c>
      <c r="S357" s="2">
        <f>J357*H357</f>
        <v/>
      </c>
      <c r="T357" s="5">
        <f>IF(AND(F357&gt;=표본시작,F357&lt;=표본종료),1,0)</f>
        <v/>
      </c>
      <c r="U357" s="5">
        <f>IF(AND(G357&gt;=조회시작,G357&lt;=조회종료),1,0)</f>
        <v/>
      </c>
    </row>
    <row r="358">
      <c r="A358" s="2">
        <f>ROW()-1</f>
        <v/>
      </c>
      <c r="B358" s="5">
        <f>INDEX(상호범위,D358)</f>
        <v/>
      </c>
      <c r="C358" s="5">
        <f>INDEX(플랫폼명범위,E358)</f>
        <v/>
      </c>
      <c r="D358" s="2">
        <f>MOD(INT((A358-1)/4),8)+1</f>
        <v/>
      </c>
      <c r="E358" s="2">
        <f>MOD(A358-1,4)+1</f>
        <v/>
      </c>
      <c r="F358" s="20">
        <f>축시작+INT((A358-1)/32)</f>
        <v/>
      </c>
      <c r="G358" s="20">
        <f>F358+H358</f>
        <v/>
      </c>
      <c r="H358" s="5" t="n">
        <v>5</v>
      </c>
      <c r="I358" s="2">
        <f>ROUND(INDEX(가맹점!$P$2:$P$9,D358)*INDEX(가맹점!$J$2:$M$9,D358,E358),0)</f>
        <v/>
      </c>
      <c r="J358" s="2">
        <f>ROUND(I358*(1-할인율),0)</f>
        <v/>
      </c>
      <c r="K358" s="2">
        <f>ROUNDDOWN(I358*할인율,0)</f>
        <v/>
      </c>
      <c r="L358" s="2">
        <f>ROUND(I358*INDEX(미지급률범위,E358),0)</f>
        <v/>
      </c>
      <c r="M358" s="2">
        <f>ROUND(I358*INDEX(과지급률범위,E358),0)</f>
        <v/>
      </c>
      <c r="N358" s="2">
        <f>MAX(0,L358-M358)</f>
        <v/>
      </c>
      <c r="O358" s="2">
        <f>K358-N358</f>
        <v/>
      </c>
      <c r="P358" s="2">
        <f>I358-N358</f>
        <v/>
      </c>
      <c r="Q358" s="5">
        <f>IF(G358&gt;기준일,1,0)</f>
        <v/>
      </c>
      <c r="R358" s="5">
        <f>IF(G358&lt;=기준일,1,0)</f>
        <v/>
      </c>
      <c r="S358" s="2">
        <f>J358*H358</f>
        <v/>
      </c>
      <c r="T358" s="5">
        <f>IF(AND(F358&gt;=표본시작,F358&lt;=표본종료),1,0)</f>
        <v/>
      </c>
      <c r="U358" s="5">
        <f>IF(AND(G358&gt;=조회시작,G358&lt;=조회종료),1,0)</f>
        <v/>
      </c>
    </row>
    <row r="359">
      <c r="A359" s="2">
        <f>ROW()-1</f>
        <v/>
      </c>
      <c r="B359" s="5">
        <f>INDEX(상호범위,D359)</f>
        <v/>
      </c>
      <c r="C359" s="5">
        <f>INDEX(플랫폼명범위,E359)</f>
        <v/>
      </c>
      <c r="D359" s="2">
        <f>MOD(INT((A359-1)/4),8)+1</f>
        <v/>
      </c>
      <c r="E359" s="2">
        <f>MOD(A359-1,4)+1</f>
        <v/>
      </c>
      <c r="F359" s="20">
        <f>축시작+INT((A359-1)/32)</f>
        <v/>
      </c>
      <c r="G359" s="20">
        <f>F359+H359</f>
        <v/>
      </c>
      <c r="H359" s="5" t="n">
        <v>4</v>
      </c>
      <c r="I359" s="2">
        <f>ROUND(INDEX(가맹점!$P$2:$P$9,D359)*INDEX(가맹점!$J$2:$M$9,D359,E359),0)</f>
        <v/>
      </c>
      <c r="J359" s="2">
        <f>ROUND(I359*(1-할인율),0)</f>
        <v/>
      </c>
      <c r="K359" s="2">
        <f>ROUNDDOWN(I359*할인율,0)</f>
        <v/>
      </c>
      <c r="L359" s="2">
        <f>ROUND(I359*INDEX(미지급률범위,E359),0)</f>
        <v/>
      </c>
      <c r="M359" s="2">
        <f>ROUND(I359*INDEX(과지급률범위,E359),0)</f>
        <v/>
      </c>
      <c r="N359" s="2">
        <f>MAX(0,L359-M359)</f>
        <v/>
      </c>
      <c r="O359" s="2">
        <f>K359-N359</f>
        <v/>
      </c>
      <c r="P359" s="2">
        <f>I359-N359</f>
        <v/>
      </c>
      <c r="Q359" s="5">
        <f>IF(G359&gt;기준일,1,0)</f>
        <v/>
      </c>
      <c r="R359" s="5">
        <f>IF(G359&lt;=기준일,1,0)</f>
        <v/>
      </c>
      <c r="S359" s="2">
        <f>J359*H359</f>
        <v/>
      </c>
      <c r="T359" s="5">
        <f>IF(AND(F359&gt;=표본시작,F359&lt;=표본종료),1,0)</f>
        <v/>
      </c>
      <c r="U359" s="5">
        <f>IF(AND(G359&gt;=조회시작,G359&lt;=조회종료),1,0)</f>
        <v/>
      </c>
    </row>
    <row r="360">
      <c r="A360" s="2">
        <f>ROW()-1</f>
        <v/>
      </c>
      <c r="B360" s="5">
        <f>INDEX(상호범위,D360)</f>
        <v/>
      </c>
      <c r="C360" s="5">
        <f>INDEX(플랫폼명범위,E360)</f>
        <v/>
      </c>
      <c r="D360" s="2">
        <f>MOD(INT((A360-1)/4),8)+1</f>
        <v/>
      </c>
      <c r="E360" s="2">
        <f>MOD(A360-1,4)+1</f>
        <v/>
      </c>
      <c r="F360" s="20">
        <f>축시작+INT((A360-1)/32)</f>
        <v/>
      </c>
      <c r="G360" s="20">
        <f>F360+H360</f>
        <v/>
      </c>
      <c r="H360" s="5" t="n">
        <v>3</v>
      </c>
      <c r="I360" s="2">
        <f>ROUND(INDEX(가맹점!$P$2:$P$9,D360)*INDEX(가맹점!$J$2:$M$9,D360,E360),0)</f>
        <v/>
      </c>
      <c r="J360" s="2">
        <f>ROUND(I360*(1-할인율),0)</f>
        <v/>
      </c>
      <c r="K360" s="2">
        <f>ROUNDDOWN(I360*할인율,0)</f>
        <v/>
      </c>
      <c r="L360" s="2">
        <f>ROUND(I360*INDEX(미지급률범위,E360),0)</f>
        <v/>
      </c>
      <c r="M360" s="2">
        <f>ROUND(I360*INDEX(과지급률범위,E360),0)</f>
        <v/>
      </c>
      <c r="N360" s="2">
        <f>MAX(0,L360-M360)</f>
        <v/>
      </c>
      <c r="O360" s="2">
        <f>K360-N360</f>
        <v/>
      </c>
      <c r="P360" s="2">
        <f>I360-N360</f>
        <v/>
      </c>
      <c r="Q360" s="5">
        <f>IF(G360&gt;기준일,1,0)</f>
        <v/>
      </c>
      <c r="R360" s="5">
        <f>IF(G360&lt;=기준일,1,0)</f>
        <v/>
      </c>
      <c r="S360" s="2">
        <f>J360*H360</f>
        <v/>
      </c>
      <c r="T360" s="5">
        <f>IF(AND(F360&gt;=표본시작,F360&lt;=표본종료),1,0)</f>
        <v/>
      </c>
      <c r="U360" s="5">
        <f>IF(AND(G360&gt;=조회시작,G360&lt;=조회종료),1,0)</f>
        <v/>
      </c>
    </row>
    <row r="361">
      <c r="A361" s="2">
        <f>ROW()-1</f>
        <v/>
      </c>
      <c r="B361" s="5">
        <f>INDEX(상호범위,D361)</f>
        <v/>
      </c>
      <c r="C361" s="5">
        <f>INDEX(플랫폼명범위,E361)</f>
        <v/>
      </c>
      <c r="D361" s="2">
        <f>MOD(INT((A361-1)/4),8)+1</f>
        <v/>
      </c>
      <c r="E361" s="2">
        <f>MOD(A361-1,4)+1</f>
        <v/>
      </c>
      <c r="F361" s="20">
        <f>축시작+INT((A361-1)/32)</f>
        <v/>
      </c>
      <c r="G361" s="20">
        <f>F361+H361</f>
        <v/>
      </c>
      <c r="H361" s="5" t="n">
        <v>5</v>
      </c>
      <c r="I361" s="2">
        <f>ROUND(INDEX(가맹점!$P$2:$P$9,D361)*INDEX(가맹점!$J$2:$M$9,D361,E361),0)</f>
        <v/>
      </c>
      <c r="J361" s="2">
        <f>ROUND(I361*(1-할인율),0)</f>
        <v/>
      </c>
      <c r="K361" s="2">
        <f>ROUNDDOWN(I361*할인율,0)</f>
        <v/>
      </c>
      <c r="L361" s="2">
        <f>ROUND(I361*INDEX(미지급률범위,E361),0)</f>
        <v/>
      </c>
      <c r="M361" s="2">
        <f>ROUND(I361*INDEX(과지급률범위,E361),0)</f>
        <v/>
      </c>
      <c r="N361" s="2">
        <f>MAX(0,L361-M361)</f>
        <v/>
      </c>
      <c r="O361" s="2">
        <f>K361-N361</f>
        <v/>
      </c>
      <c r="P361" s="2">
        <f>I361-N361</f>
        <v/>
      </c>
      <c r="Q361" s="5">
        <f>IF(G361&gt;기준일,1,0)</f>
        <v/>
      </c>
      <c r="R361" s="5">
        <f>IF(G361&lt;=기준일,1,0)</f>
        <v/>
      </c>
      <c r="S361" s="2">
        <f>J361*H361</f>
        <v/>
      </c>
      <c r="T361" s="5">
        <f>IF(AND(F361&gt;=표본시작,F361&lt;=표본종료),1,0)</f>
        <v/>
      </c>
      <c r="U361" s="5">
        <f>IF(AND(G361&gt;=조회시작,G361&lt;=조회종료),1,0)</f>
        <v/>
      </c>
    </row>
    <row r="362">
      <c r="A362" s="2">
        <f>ROW()-1</f>
        <v/>
      </c>
      <c r="B362" s="5">
        <f>INDEX(상호범위,D362)</f>
        <v/>
      </c>
      <c r="C362" s="5">
        <f>INDEX(플랫폼명범위,E362)</f>
        <v/>
      </c>
      <c r="D362" s="2">
        <f>MOD(INT((A362-1)/4),8)+1</f>
        <v/>
      </c>
      <c r="E362" s="2">
        <f>MOD(A362-1,4)+1</f>
        <v/>
      </c>
      <c r="F362" s="20">
        <f>축시작+INT((A362-1)/32)</f>
        <v/>
      </c>
      <c r="G362" s="20">
        <f>F362+H362</f>
        <v/>
      </c>
      <c r="H362" s="5" t="n">
        <v>3</v>
      </c>
      <c r="I362" s="2">
        <f>ROUND(INDEX(가맹점!$P$2:$P$9,D362)*INDEX(가맹점!$J$2:$M$9,D362,E362),0)</f>
        <v/>
      </c>
      <c r="J362" s="2">
        <f>ROUND(I362*(1-할인율),0)</f>
        <v/>
      </c>
      <c r="K362" s="2">
        <f>ROUNDDOWN(I362*할인율,0)</f>
        <v/>
      </c>
      <c r="L362" s="2">
        <f>ROUND(I362*INDEX(미지급률범위,E362),0)</f>
        <v/>
      </c>
      <c r="M362" s="2">
        <f>ROUND(I362*INDEX(과지급률범위,E362),0)</f>
        <v/>
      </c>
      <c r="N362" s="2">
        <f>MAX(0,L362-M362)</f>
        <v/>
      </c>
      <c r="O362" s="2">
        <f>K362-N362</f>
        <v/>
      </c>
      <c r="P362" s="2">
        <f>I362-N362</f>
        <v/>
      </c>
      <c r="Q362" s="5">
        <f>IF(G362&gt;기준일,1,0)</f>
        <v/>
      </c>
      <c r="R362" s="5">
        <f>IF(G362&lt;=기준일,1,0)</f>
        <v/>
      </c>
      <c r="S362" s="2">
        <f>J362*H362</f>
        <v/>
      </c>
      <c r="T362" s="5">
        <f>IF(AND(F362&gt;=표본시작,F362&lt;=표본종료),1,0)</f>
        <v/>
      </c>
      <c r="U362" s="5">
        <f>IF(AND(G362&gt;=조회시작,G362&lt;=조회종료),1,0)</f>
        <v/>
      </c>
    </row>
    <row r="363">
      <c r="A363" s="2">
        <f>ROW()-1</f>
        <v/>
      </c>
      <c r="B363" s="5">
        <f>INDEX(상호범위,D363)</f>
        <v/>
      </c>
      <c r="C363" s="5">
        <f>INDEX(플랫폼명범위,E363)</f>
        <v/>
      </c>
      <c r="D363" s="2">
        <f>MOD(INT((A363-1)/4),8)+1</f>
        <v/>
      </c>
      <c r="E363" s="2">
        <f>MOD(A363-1,4)+1</f>
        <v/>
      </c>
      <c r="F363" s="20">
        <f>축시작+INT((A363-1)/32)</f>
        <v/>
      </c>
      <c r="G363" s="20">
        <f>F363+H363</f>
        <v/>
      </c>
      <c r="H363" s="5" t="n">
        <v>4</v>
      </c>
      <c r="I363" s="2">
        <f>ROUND(INDEX(가맹점!$P$2:$P$9,D363)*INDEX(가맹점!$J$2:$M$9,D363,E363),0)</f>
        <v/>
      </c>
      <c r="J363" s="2">
        <f>ROUND(I363*(1-할인율),0)</f>
        <v/>
      </c>
      <c r="K363" s="2">
        <f>ROUNDDOWN(I363*할인율,0)</f>
        <v/>
      </c>
      <c r="L363" s="2">
        <f>ROUND(I363*INDEX(미지급률범위,E363),0)</f>
        <v/>
      </c>
      <c r="M363" s="2">
        <f>ROUND(I363*INDEX(과지급률범위,E363),0)</f>
        <v/>
      </c>
      <c r="N363" s="2">
        <f>MAX(0,L363-M363)</f>
        <v/>
      </c>
      <c r="O363" s="2">
        <f>K363-N363</f>
        <v/>
      </c>
      <c r="P363" s="2">
        <f>I363-N363</f>
        <v/>
      </c>
      <c r="Q363" s="5">
        <f>IF(G363&gt;기준일,1,0)</f>
        <v/>
      </c>
      <c r="R363" s="5">
        <f>IF(G363&lt;=기준일,1,0)</f>
        <v/>
      </c>
      <c r="S363" s="2">
        <f>J363*H363</f>
        <v/>
      </c>
      <c r="T363" s="5">
        <f>IF(AND(F363&gt;=표본시작,F363&lt;=표본종료),1,0)</f>
        <v/>
      </c>
      <c r="U363" s="5">
        <f>IF(AND(G363&gt;=조회시작,G363&lt;=조회종료),1,0)</f>
        <v/>
      </c>
    </row>
    <row r="364">
      <c r="A364" s="2">
        <f>ROW()-1</f>
        <v/>
      </c>
      <c r="B364" s="5">
        <f>INDEX(상호범위,D364)</f>
        <v/>
      </c>
      <c r="C364" s="5">
        <f>INDEX(플랫폼명범위,E364)</f>
        <v/>
      </c>
      <c r="D364" s="2">
        <f>MOD(INT((A364-1)/4),8)+1</f>
        <v/>
      </c>
      <c r="E364" s="2">
        <f>MOD(A364-1,4)+1</f>
        <v/>
      </c>
      <c r="F364" s="20">
        <f>축시작+INT((A364-1)/32)</f>
        <v/>
      </c>
      <c r="G364" s="20">
        <f>F364+H364</f>
        <v/>
      </c>
      <c r="H364" s="5" t="n">
        <v>3</v>
      </c>
      <c r="I364" s="2">
        <f>ROUND(INDEX(가맹점!$P$2:$P$9,D364)*INDEX(가맹점!$J$2:$M$9,D364,E364),0)</f>
        <v/>
      </c>
      <c r="J364" s="2">
        <f>ROUND(I364*(1-할인율),0)</f>
        <v/>
      </c>
      <c r="K364" s="2">
        <f>ROUNDDOWN(I364*할인율,0)</f>
        <v/>
      </c>
      <c r="L364" s="2">
        <f>ROUND(I364*INDEX(미지급률범위,E364),0)</f>
        <v/>
      </c>
      <c r="M364" s="2">
        <f>ROUND(I364*INDEX(과지급률범위,E364),0)</f>
        <v/>
      </c>
      <c r="N364" s="2">
        <f>MAX(0,L364-M364)</f>
        <v/>
      </c>
      <c r="O364" s="2">
        <f>K364-N364</f>
        <v/>
      </c>
      <c r="P364" s="2">
        <f>I364-N364</f>
        <v/>
      </c>
      <c r="Q364" s="5">
        <f>IF(G364&gt;기준일,1,0)</f>
        <v/>
      </c>
      <c r="R364" s="5">
        <f>IF(G364&lt;=기준일,1,0)</f>
        <v/>
      </c>
      <c r="S364" s="2">
        <f>J364*H364</f>
        <v/>
      </c>
      <c r="T364" s="5">
        <f>IF(AND(F364&gt;=표본시작,F364&lt;=표본종료),1,0)</f>
        <v/>
      </c>
      <c r="U364" s="5">
        <f>IF(AND(G364&gt;=조회시작,G364&lt;=조회종료),1,0)</f>
        <v/>
      </c>
    </row>
    <row r="365">
      <c r="A365" s="2">
        <f>ROW()-1</f>
        <v/>
      </c>
      <c r="B365" s="5">
        <f>INDEX(상호범위,D365)</f>
        <v/>
      </c>
      <c r="C365" s="5">
        <f>INDEX(플랫폼명범위,E365)</f>
        <v/>
      </c>
      <c r="D365" s="2">
        <f>MOD(INT((A365-1)/4),8)+1</f>
        <v/>
      </c>
      <c r="E365" s="2">
        <f>MOD(A365-1,4)+1</f>
        <v/>
      </c>
      <c r="F365" s="20">
        <f>축시작+INT((A365-1)/32)</f>
        <v/>
      </c>
      <c r="G365" s="20">
        <f>F365+H365</f>
        <v/>
      </c>
      <c r="H365" s="5" t="n">
        <v>7</v>
      </c>
      <c r="I365" s="2">
        <f>ROUND(INDEX(가맹점!$P$2:$P$9,D365)*INDEX(가맹점!$J$2:$M$9,D365,E365),0)</f>
        <v/>
      </c>
      <c r="J365" s="2">
        <f>ROUND(I365*(1-할인율),0)</f>
        <v/>
      </c>
      <c r="K365" s="2">
        <f>ROUNDDOWN(I365*할인율,0)</f>
        <v/>
      </c>
      <c r="L365" s="2">
        <f>ROUND(I365*INDEX(미지급률범위,E365),0)</f>
        <v/>
      </c>
      <c r="M365" s="2">
        <f>ROUND(I365*INDEX(과지급률범위,E365),0)</f>
        <v/>
      </c>
      <c r="N365" s="2">
        <f>MAX(0,L365-M365)</f>
        <v/>
      </c>
      <c r="O365" s="2">
        <f>K365-N365</f>
        <v/>
      </c>
      <c r="P365" s="2">
        <f>I365-N365</f>
        <v/>
      </c>
      <c r="Q365" s="5">
        <f>IF(G365&gt;기준일,1,0)</f>
        <v/>
      </c>
      <c r="R365" s="5">
        <f>IF(G365&lt;=기준일,1,0)</f>
        <v/>
      </c>
      <c r="S365" s="2">
        <f>J365*H365</f>
        <v/>
      </c>
      <c r="T365" s="5">
        <f>IF(AND(F365&gt;=표본시작,F365&lt;=표본종료),1,0)</f>
        <v/>
      </c>
      <c r="U365" s="5">
        <f>IF(AND(G365&gt;=조회시작,G365&lt;=조회종료),1,0)</f>
        <v/>
      </c>
    </row>
    <row r="366">
      <c r="A366" s="2">
        <f>ROW()-1</f>
        <v/>
      </c>
      <c r="B366" s="5">
        <f>INDEX(상호범위,D366)</f>
        <v/>
      </c>
      <c r="C366" s="5">
        <f>INDEX(플랫폼명범위,E366)</f>
        <v/>
      </c>
      <c r="D366" s="2">
        <f>MOD(INT((A366-1)/4),8)+1</f>
        <v/>
      </c>
      <c r="E366" s="2">
        <f>MOD(A366-1,4)+1</f>
        <v/>
      </c>
      <c r="F366" s="20">
        <f>축시작+INT((A366-1)/32)</f>
        <v/>
      </c>
      <c r="G366" s="20">
        <f>F366+H366</f>
        <v/>
      </c>
      <c r="H366" s="5" t="n">
        <v>3</v>
      </c>
      <c r="I366" s="2">
        <f>ROUND(INDEX(가맹점!$P$2:$P$9,D366)*INDEX(가맹점!$J$2:$M$9,D366,E366),0)</f>
        <v/>
      </c>
      <c r="J366" s="2">
        <f>ROUND(I366*(1-할인율),0)</f>
        <v/>
      </c>
      <c r="K366" s="2">
        <f>ROUNDDOWN(I366*할인율,0)</f>
        <v/>
      </c>
      <c r="L366" s="2">
        <f>ROUND(I366*INDEX(미지급률범위,E366),0)</f>
        <v/>
      </c>
      <c r="M366" s="2">
        <f>ROUND(I366*INDEX(과지급률범위,E366),0)</f>
        <v/>
      </c>
      <c r="N366" s="2">
        <f>MAX(0,L366-M366)</f>
        <v/>
      </c>
      <c r="O366" s="2">
        <f>K366-N366</f>
        <v/>
      </c>
      <c r="P366" s="2">
        <f>I366-N366</f>
        <v/>
      </c>
      <c r="Q366" s="5">
        <f>IF(G366&gt;기준일,1,0)</f>
        <v/>
      </c>
      <c r="R366" s="5">
        <f>IF(G366&lt;=기준일,1,0)</f>
        <v/>
      </c>
      <c r="S366" s="2">
        <f>J366*H366</f>
        <v/>
      </c>
      <c r="T366" s="5">
        <f>IF(AND(F366&gt;=표본시작,F366&lt;=표본종료),1,0)</f>
        <v/>
      </c>
      <c r="U366" s="5">
        <f>IF(AND(G366&gt;=조회시작,G366&lt;=조회종료),1,0)</f>
        <v/>
      </c>
    </row>
    <row r="367">
      <c r="A367" s="2">
        <f>ROW()-1</f>
        <v/>
      </c>
      <c r="B367" s="5">
        <f>INDEX(상호범위,D367)</f>
        <v/>
      </c>
      <c r="C367" s="5">
        <f>INDEX(플랫폼명범위,E367)</f>
        <v/>
      </c>
      <c r="D367" s="2">
        <f>MOD(INT((A367-1)/4),8)+1</f>
        <v/>
      </c>
      <c r="E367" s="2">
        <f>MOD(A367-1,4)+1</f>
        <v/>
      </c>
      <c r="F367" s="20">
        <f>축시작+INT((A367-1)/32)</f>
        <v/>
      </c>
      <c r="G367" s="20">
        <f>F367+H367</f>
        <v/>
      </c>
      <c r="H367" s="5" t="n">
        <v>3</v>
      </c>
      <c r="I367" s="2">
        <f>ROUND(INDEX(가맹점!$P$2:$P$9,D367)*INDEX(가맹점!$J$2:$M$9,D367,E367),0)</f>
        <v/>
      </c>
      <c r="J367" s="2">
        <f>ROUND(I367*(1-할인율),0)</f>
        <v/>
      </c>
      <c r="K367" s="2">
        <f>ROUNDDOWN(I367*할인율,0)</f>
        <v/>
      </c>
      <c r="L367" s="2">
        <f>ROUND(I367*INDEX(미지급률범위,E367),0)</f>
        <v/>
      </c>
      <c r="M367" s="2">
        <f>ROUND(I367*INDEX(과지급률범위,E367),0)</f>
        <v/>
      </c>
      <c r="N367" s="2">
        <f>MAX(0,L367-M367)</f>
        <v/>
      </c>
      <c r="O367" s="2">
        <f>K367-N367</f>
        <v/>
      </c>
      <c r="P367" s="2">
        <f>I367-N367</f>
        <v/>
      </c>
      <c r="Q367" s="5">
        <f>IF(G367&gt;기준일,1,0)</f>
        <v/>
      </c>
      <c r="R367" s="5">
        <f>IF(G367&lt;=기준일,1,0)</f>
        <v/>
      </c>
      <c r="S367" s="2">
        <f>J367*H367</f>
        <v/>
      </c>
      <c r="T367" s="5">
        <f>IF(AND(F367&gt;=표본시작,F367&lt;=표본종료),1,0)</f>
        <v/>
      </c>
      <c r="U367" s="5">
        <f>IF(AND(G367&gt;=조회시작,G367&lt;=조회종료),1,0)</f>
        <v/>
      </c>
    </row>
    <row r="368">
      <c r="A368" s="2">
        <f>ROW()-1</f>
        <v/>
      </c>
      <c r="B368" s="5">
        <f>INDEX(상호범위,D368)</f>
        <v/>
      </c>
      <c r="C368" s="5">
        <f>INDEX(플랫폼명범위,E368)</f>
        <v/>
      </c>
      <c r="D368" s="2">
        <f>MOD(INT((A368-1)/4),8)+1</f>
        <v/>
      </c>
      <c r="E368" s="2">
        <f>MOD(A368-1,4)+1</f>
        <v/>
      </c>
      <c r="F368" s="20">
        <f>축시작+INT((A368-1)/32)</f>
        <v/>
      </c>
      <c r="G368" s="20">
        <f>F368+H368</f>
        <v/>
      </c>
      <c r="H368" s="5" t="n">
        <v>5</v>
      </c>
      <c r="I368" s="2">
        <f>ROUND(INDEX(가맹점!$P$2:$P$9,D368)*INDEX(가맹점!$J$2:$M$9,D368,E368),0)</f>
        <v/>
      </c>
      <c r="J368" s="2">
        <f>ROUND(I368*(1-할인율),0)</f>
        <v/>
      </c>
      <c r="K368" s="2">
        <f>ROUNDDOWN(I368*할인율,0)</f>
        <v/>
      </c>
      <c r="L368" s="2">
        <f>ROUND(I368*INDEX(미지급률범위,E368),0)</f>
        <v/>
      </c>
      <c r="M368" s="2">
        <f>ROUND(I368*INDEX(과지급률범위,E368),0)</f>
        <v/>
      </c>
      <c r="N368" s="2">
        <f>MAX(0,L368-M368)</f>
        <v/>
      </c>
      <c r="O368" s="2">
        <f>K368-N368</f>
        <v/>
      </c>
      <c r="P368" s="2">
        <f>I368-N368</f>
        <v/>
      </c>
      <c r="Q368" s="5">
        <f>IF(G368&gt;기준일,1,0)</f>
        <v/>
      </c>
      <c r="R368" s="5">
        <f>IF(G368&lt;=기준일,1,0)</f>
        <v/>
      </c>
      <c r="S368" s="2">
        <f>J368*H368</f>
        <v/>
      </c>
      <c r="T368" s="5">
        <f>IF(AND(F368&gt;=표본시작,F368&lt;=표본종료),1,0)</f>
        <v/>
      </c>
      <c r="U368" s="5">
        <f>IF(AND(G368&gt;=조회시작,G368&lt;=조회종료),1,0)</f>
        <v/>
      </c>
    </row>
    <row r="369">
      <c r="A369" s="2">
        <f>ROW()-1</f>
        <v/>
      </c>
      <c r="B369" s="5">
        <f>INDEX(상호범위,D369)</f>
        <v/>
      </c>
      <c r="C369" s="5">
        <f>INDEX(플랫폼명범위,E369)</f>
        <v/>
      </c>
      <c r="D369" s="2">
        <f>MOD(INT((A369-1)/4),8)+1</f>
        <v/>
      </c>
      <c r="E369" s="2">
        <f>MOD(A369-1,4)+1</f>
        <v/>
      </c>
      <c r="F369" s="20">
        <f>축시작+INT((A369-1)/32)</f>
        <v/>
      </c>
      <c r="G369" s="20">
        <f>F369+H369</f>
        <v/>
      </c>
      <c r="H369" s="5" t="n">
        <v>6</v>
      </c>
      <c r="I369" s="2">
        <f>ROUND(INDEX(가맹점!$P$2:$P$9,D369)*INDEX(가맹점!$J$2:$M$9,D369,E369),0)</f>
        <v/>
      </c>
      <c r="J369" s="2">
        <f>ROUND(I369*(1-할인율),0)</f>
        <v/>
      </c>
      <c r="K369" s="2">
        <f>ROUNDDOWN(I369*할인율,0)</f>
        <v/>
      </c>
      <c r="L369" s="2">
        <f>ROUND(I369*INDEX(미지급률범위,E369),0)</f>
        <v/>
      </c>
      <c r="M369" s="2">
        <f>ROUND(I369*INDEX(과지급률범위,E369),0)</f>
        <v/>
      </c>
      <c r="N369" s="2">
        <f>MAX(0,L369-M369)</f>
        <v/>
      </c>
      <c r="O369" s="2">
        <f>K369-N369</f>
        <v/>
      </c>
      <c r="P369" s="2">
        <f>I369-N369</f>
        <v/>
      </c>
      <c r="Q369" s="5">
        <f>IF(G369&gt;기준일,1,0)</f>
        <v/>
      </c>
      <c r="R369" s="5">
        <f>IF(G369&lt;=기준일,1,0)</f>
        <v/>
      </c>
      <c r="S369" s="2">
        <f>J369*H369</f>
        <v/>
      </c>
      <c r="T369" s="5">
        <f>IF(AND(F369&gt;=표본시작,F369&lt;=표본종료),1,0)</f>
        <v/>
      </c>
      <c r="U369" s="5">
        <f>IF(AND(G369&gt;=조회시작,G369&lt;=조회종료),1,0)</f>
        <v/>
      </c>
    </row>
    <row r="370">
      <c r="A370" s="2">
        <f>ROW()-1</f>
        <v/>
      </c>
      <c r="B370" s="5">
        <f>INDEX(상호범위,D370)</f>
        <v/>
      </c>
      <c r="C370" s="5">
        <f>INDEX(플랫폼명범위,E370)</f>
        <v/>
      </c>
      <c r="D370" s="2">
        <f>MOD(INT((A370-1)/4),8)+1</f>
        <v/>
      </c>
      <c r="E370" s="2">
        <f>MOD(A370-1,4)+1</f>
        <v/>
      </c>
      <c r="F370" s="20">
        <f>축시작+INT((A370-1)/32)</f>
        <v/>
      </c>
      <c r="G370" s="20">
        <f>F370+H370</f>
        <v/>
      </c>
      <c r="H370" s="5" t="n">
        <v>2</v>
      </c>
      <c r="I370" s="2">
        <f>ROUND(INDEX(가맹점!$P$2:$P$9,D370)*INDEX(가맹점!$J$2:$M$9,D370,E370),0)</f>
        <v/>
      </c>
      <c r="J370" s="2">
        <f>ROUND(I370*(1-할인율),0)</f>
        <v/>
      </c>
      <c r="K370" s="2">
        <f>ROUNDDOWN(I370*할인율,0)</f>
        <v/>
      </c>
      <c r="L370" s="2">
        <f>ROUND(I370*INDEX(미지급률범위,E370),0)</f>
        <v/>
      </c>
      <c r="M370" s="2">
        <f>ROUND(I370*INDEX(과지급률범위,E370),0)</f>
        <v/>
      </c>
      <c r="N370" s="2">
        <f>MAX(0,L370-M370)</f>
        <v/>
      </c>
      <c r="O370" s="2">
        <f>K370-N370</f>
        <v/>
      </c>
      <c r="P370" s="2">
        <f>I370-N370</f>
        <v/>
      </c>
      <c r="Q370" s="5">
        <f>IF(G370&gt;기준일,1,0)</f>
        <v/>
      </c>
      <c r="R370" s="5">
        <f>IF(G370&lt;=기준일,1,0)</f>
        <v/>
      </c>
      <c r="S370" s="2">
        <f>J370*H370</f>
        <v/>
      </c>
      <c r="T370" s="5">
        <f>IF(AND(F370&gt;=표본시작,F370&lt;=표본종료),1,0)</f>
        <v/>
      </c>
      <c r="U370" s="5">
        <f>IF(AND(G370&gt;=조회시작,G370&lt;=조회종료),1,0)</f>
        <v/>
      </c>
    </row>
    <row r="371">
      <c r="A371" s="2">
        <f>ROW()-1</f>
        <v/>
      </c>
      <c r="B371" s="5">
        <f>INDEX(상호범위,D371)</f>
        <v/>
      </c>
      <c r="C371" s="5">
        <f>INDEX(플랫폼명범위,E371)</f>
        <v/>
      </c>
      <c r="D371" s="2">
        <f>MOD(INT((A371-1)/4),8)+1</f>
        <v/>
      </c>
      <c r="E371" s="2">
        <f>MOD(A371-1,4)+1</f>
        <v/>
      </c>
      <c r="F371" s="20">
        <f>축시작+INT((A371-1)/32)</f>
        <v/>
      </c>
      <c r="G371" s="20">
        <f>F371+H371</f>
        <v/>
      </c>
      <c r="H371" s="5" t="n">
        <v>2</v>
      </c>
      <c r="I371" s="2">
        <f>ROUND(INDEX(가맹점!$P$2:$P$9,D371)*INDEX(가맹점!$J$2:$M$9,D371,E371),0)</f>
        <v/>
      </c>
      <c r="J371" s="2">
        <f>ROUND(I371*(1-할인율),0)</f>
        <v/>
      </c>
      <c r="K371" s="2">
        <f>ROUNDDOWN(I371*할인율,0)</f>
        <v/>
      </c>
      <c r="L371" s="2">
        <f>ROUND(I371*INDEX(미지급률범위,E371),0)</f>
        <v/>
      </c>
      <c r="M371" s="2">
        <f>ROUND(I371*INDEX(과지급률범위,E371),0)</f>
        <v/>
      </c>
      <c r="N371" s="2">
        <f>MAX(0,L371-M371)</f>
        <v/>
      </c>
      <c r="O371" s="2">
        <f>K371-N371</f>
        <v/>
      </c>
      <c r="P371" s="2">
        <f>I371-N371</f>
        <v/>
      </c>
      <c r="Q371" s="5">
        <f>IF(G371&gt;기준일,1,0)</f>
        <v/>
      </c>
      <c r="R371" s="5">
        <f>IF(G371&lt;=기준일,1,0)</f>
        <v/>
      </c>
      <c r="S371" s="2">
        <f>J371*H371</f>
        <v/>
      </c>
      <c r="T371" s="5">
        <f>IF(AND(F371&gt;=표본시작,F371&lt;=표본종료),1,0)</f>
        <v/>
      </c>
      <c r="U371" s="5">
        <f>IF(AND(G371&gt;=조회시작,G371&lt;=조회종료),1,0)</f>
        <v/>
      </c>
    </row>
    <row r="372">
      <c r="A372" s="2">
        <f>ROW()-1</f>
        <v/>
      </c>
      <c r="B372" s="5">
        <f>INDEX(상호범위,D372)</f>
        <v/>
      </c>
      <c r="C372" s="5">
        <f>INDEX(플랫폼명범위,E372)</f>
        <v/>
      </c>
      <c r="D372" s="2">
        <f>MOD(INT((A372-1)/4),8)+1</f>
        <v/>
      </c>
      <c r="E372" s="2">
        <f>MOD(A372-1,4)+1</f>
        <v/>
      </c>
      <c r="F372" s="20">
        <f>축시작+INT((A372-1)/32)</f>
        <v/>
      </c>
      <c r="G372" s="20">
        <f>F372+H372</f>
        <v/>
      </c>
      <c r="H372" s="5" t="n">
        <v>3</v>
      </c>
      <c r="I372" s="2">
        <f>ROUND(INDEX(가맹점!$P$2:$P$9,D372)*INDEX(가맹점!$J$2:$M$9,D372,E372),0)</f>
        <v/>
      </c>
      <c r="J372" s="2">
        <f>ROUND(I372*(1-할인율),0)</f>
        <v/>
      </c>
      <c r="K372" s="2">
        <f>ROUNDDOWN(I372*할인율,0)</f>
        <v/>
      </c>
      <c r="L372" s="2">
        <f>ROUND(I372*INDEX(미지급률범위,E372),0)</f>
        <v/>
      </c>
      <c r="M372" s="2">
        <f>ROUND(I372*INDEX(과지급률범위,E372),0)</f>
        <v/>
      </c>
      <c r="N372" s="2">
        <f>MAX(0,L372-M372)</f>
        <v/>
      </c>
      <c r="O372" s="2">
        <f>K372-N372</f>
        <v/>
      </c>
      <c r="P372" s="2">
        <f>I372-N372</f>
        <v/>
      </c>
      <c r="Q372" s="5">
        <f>IF(G372&gt;기준일,1,0)</f>
        <v/>
      </c>
      <c r="R372" s="5">
        <f>IF(G372&lt;=기준일,1,0)</f>
        <v/>
      </c>
      <c r="S372" s="2">
        <f>J372*H372</f>
        <v/>
      </c>
      <c r="T372" s="5">
        <f>IF(AND(F372&gt;=표본시작,F372&lt;=표본종료),1,0)</f>
        <v/>
      </c>
      <c r="U372" s="5">
        <f>IF(AND(G372&gt;=조회시작,G372&lt;=조회종료),1,0)</f>
        <v/>
      </c>
    </row>
    <row r="373">
      <c r="A373" s="2">
        <f>ROW()-1</f>
        <v/>
      </c>
      <c r="B373" s="5">
        <f>INDEX(상호범위,D373)</f>
        <v/>
      </c>
      <c r="C373" s="5">
        <f>INDEX(플랫폼명범위,E373)</f>
        <v/>
      </c>
      <c r="D373" s="2">
        <f>MOD(INT((A373-1)/4),8)+1</f>
        <v/>
      </c>
      <c r="E373" s="2">
        <f>MOD(A373-1,4)+1</f>
        <v/>
      </c>
      <c r="F373" s="20">
        <f>축시작+INT((A373-1)/32)</f>
        <v/>
      </c>
      <c r="G373" s="20">
        <f>F373+H373</f>
        <v/>
      </c>
      <c r="H373" s="5" t="n">
        <v>6</v>
      </c>
      <c r="I373" s="2">
        <f>ROUND(INDEX(가맹점!$P$2:$P$9,D373)*INDEX(가맹점!$J$2:$M$9,D373,E373),0)</f>
        <v/>
      </c>
      <c r="J373" s="2">
        <f>ROUND(I373*(1-할인율),0)</f>
        <v/>
      </c>
      <c r="K373" s="2">
        <f>ROUNDDOWN(I373*할인율,0)</f>
        <v/>
      </c>
      <c r="L373" s="2">
        <f>ROUND(I373*INDEX(미지급률범위,E373),0)</f>
        <v/>
      </c>
      <c r="M373" s="2">
        <f>ROUND(I373*INDEX(과지급률범위,E373),0)</f>
        <v/>
      </c>
      <c r="N373" s="2">
        <f>MAX(0,L373-M373)</f>
        <v/>
      </c>
      <c r="O373" s="2">
        <f>K373-N373</f>
        <v/>
      </c>
      <c r="P373" s="2">
        <f>I373-N373</f>
        <v/>
      </c>
      <c r="Q373" s="5">
        <f>IF(G373&gt;기준일,1,0)</f>
        <v/>
      </c>
      <c r="R373" s="5">
        <f>IF(G373&lt;=기준일,1,0)</f>
        <v/>
      </c>
      <c r="S373" s="2">
        <f>J373*H373</f>
        <v/>
      </c>
      <c r="T373" s="5">
        <f>IF(AND(F373&gt;=표본시작,F373&lt;=표본종료),1,0)</f>
        <v/>
      </c>
      <c r="U373" s="5">
        <f>IF(AND(G373&gt;=조회시작,G373&lt;=조회종료),1,0)</f>
        <v/>
      </c>
    </row>
    <row r="374">
      <c r="A374" s="2">
        <f>ROW()-1</f>
        <v/>
      </c>
      <c r="B374" s="5">
        <f>INDEX(상호범위,D374)</f>
        <v/>
      </c>
      <c r="C374" s="5">
        <f>INDEX(플랫폼명범위,E374)</f>
        <v/>
      </c>
      <c r="D374" s="2">
        <f>MOD(INT((A374-1)/4),8)+1</f>
        <v/>
      </c>
      <c r="E374" s="2">
        <f>MOD(A374-1,4)+1</f>
        <v/>
      </c>
      <c r="F374" s="20">
        <f>축시작+INT((A374-1)/32)</f>
        <v/>
      </c>
      <c r="G374" s="20">
        <f>F374+H374</f>
        <v/>
      </c>
      <c r="H374" s="5" t="n">
        <v>8</v>
      </c>
      <c r="I374" s="2">
        <f>ROUND(INDEX(가맹점!$P$2:$P$9,D374)*INDEX(가맹점!$J$2:$M$9,D374,E374),0)</f>
        <v/>
      </c>
      <c r="J374" s="2">
        <f>ROUND(I374*(1-할인율),0)</f>
        <v/>
      </c>
      <c r="K374" s="2">
        <f>ROUNDDOWN(I374*할인율,0)</f>
        <v/>
      </c>
      <c r="L374" s="2">
        <f>ROUND(I374*INDEX(미지급률범위,E374),0)</f>
        <v/>
      </c>
      <c r="M374" s="2">
        <f>ROUND(I374*INDEX(과지급률범위,E374),0)</f>
        <v/>
      </c>
      <c r="N374" s="2">
        <f>MAX(0,L374-M374)</f>
        <v/>
      </c>
      <c r="O374" s="2">
        <f>K374-N374</f>
        <v/>
      </c>
      <c r="P374" s="2">
        <f>I374-N374</f>
        <v/>
      </c>
      <c r="Q374" s="5">
        <f>IF(G374&gt;기준일,1,0)</f>
        <v/>
      </c>
      <c r="R374" s="5">
        <f>IF(G374&lt;=기준일,1,0)</f>
        <v/>
      </c>
      <c r="S374" s="2">
        <f>J374*H374</f>
        <v/>
      </c>
      <c r="T374" s="5">
        <f>IF(AND(F374&gt;=표본시작,F374&lt;=표본종료),1,0)</f>
        <v/>
      </c>
      <c r="U374" s="5">
        <f>IF(AND(G374&gt;=조회시작,G374&lt;=조회종료),1,0)</f>
        <v/>
      </c>
    </row>
    <row r="375">
      <c r="A375" s="2">
        <f>ROW()-1</f>
        <v/>
      </c>
      <c r="B375" s="5">
        <f>INDEX(상호범위,D375)</f>
        <v/>
      </c>
      <c r="C375" s="5">
        <f>INDEX(플랫폼명범위,E375)</f>
        <v/>
      </c>
      <c r="D375" s="2">
        <f>MOD(INT((A375-1)/4),8)+1</f>
        <v/>
      </c>
      <c r="E375" s="2">
        <f>MOD(A375-1,4)+1</f>
        <v/>
      </c>
      <c r="F375" s="20">
        <f>축시작+INT((A375-1)/32)</f>
        <v/>
      </c>
      <c r="G375" s="20">
        <f>F375+H375</f>
        <v/>
      </c>
      <c r="H375" s="5" t="n">
        <v>4</v>
      </c>
      <c r="I375" s="2">
        <f>ROUND(INDEX(가맹점!$P$2:$P$9,D375)*INDEX(가맹점!$J$2:$M$9,D375,E375),0)</f>
        <v/>
      </c>
      <c r="J375" s="2">
        <f>ROUND(I375*(1-할인율),0)</f>
        <v/>
      </c>
      <c r="K375" s="2">
        <f>ROUNDDOWN(I375*할인율,0)</f>
        <v/>
      </c>
      <c r="L375" s="2">
        <f>ROUND(I375*INDEX(미지급률범위,E375),0)</f>
        <v/>
      </c>
      <c r="M375" s="2">
        <f>ROUND(I375*INDEX(과지급률범위,E375),0)</f>
        <v/>
      </c>
      <c r="N375" s="2">
        <f>MAX(0,L375-M375)</f>
        <v/>
      </c>
      <c r="O375" s="2">
        <f>K375-N375</f>
        <v/>
      </c>
      <c r="P375" s="2">
        <f>I375-N375</f>
        <v/>
      </c>
      <c r="Q375" s="5">
        <f>IF(G375&gt;기준일,1,0)</f>
        <v/>
      </c>
      <c r="R375" s="5">
        <f>IF(G375&lt;=기준일,1,0)</f>
        <v/>
      </c>
      <c r="S375" s="2">
        <f>J375*H375</f>
        <v/>
      </c>
      <c r="T375" s="5">
        <f>IF(AND(F375&gt;=표본시작,F375&lt;=표본종료),1,0)</f>
        <v/>
      </c>
      <c r="U375" s="5">
        <f>IF(AND(G375&gt;=조회시작,G375&lt;=조회종료),1,0)</f>
        <v/>
      </c>
    </row>
    <row r="376">
      <c r="A376" s="2">
        <f>ROW()-1</f>
        <v/>
      </c>
      <c r="B376" s="5">
        <f>INDEX(상호범위,D376)</f>
        <v/>
      </c>
      <c r="C376" s="5">
        <f>INDEX(플랫폼명범위,E376)</f>
        <v/>
      </c>
      <c r="D376" s="2">
        <f>MOD(INT((A376-1)/4),8)+1</f>
        <v/>
      </c>
      <c r="E376" s="2">
        <f>MOD(A376-1,4)+1</f>
        <v/>
      </c>
      <c r="F376" s="20">
        <f>축시작+INT((A376-1)/32)</f>
        <v/>
      </c>
      <c r="G376" s="20">
        <f>F376+H376</f>
        <v/>
      </c>
      <c r="H376" s="5" t="n">
        <v>5</v>
      </c>
      <c r="I376" s="2">
        <f>ROUND(INDEX(가맹점!$P$2:$P$9,D376)*INDEX(가맹점!$J$2:$M$9,D376,E376),0)</f>
        <v/>
      </c>
      <c r="J376" s="2">
        <f>ROUND(I376*(1-할인율),0)</f>
        <v/>
      </c>
      <c r="K376" s="2">
        <f>ROUNDDOWN(I376*할인율,0)</f>
        <v/>
      </c>
      <c r="L376" s="2">
        <f>ROUND(I376*INDEX(미지급률범위,E376),0)</f>
        <v/>
      </c>
      <c r="M376" s="2">
        <f>ROUND(I376*INDEX(과지급률범위,E376),0)</f>
        <v/>
      </c>
      <c r="N376" s="2">
        <f>MAX(0,L376-M376)</f>
        <v/>
      </c>
      <c r="O376" s="2">
        <f>K376-N376</f>
        <v/>
      </c>
      <c r="P376" s="2">
        <f>I376-N376</f>
        <v/>
      </c>
      <c r="Q376" s="5">
        <f>IF(G376&gt;기준일,1,0)</f>
        <v/>
      </c>
      <c r="R376" s="5">
        <f>IF(G376&lt;=기준일,1,0)</f>
        <v/>
      </c>
      <c r="S376" s="2">
        <f>J376*H376</f>
        <v/>
      </c>
      <c r="T376" s="5">
        <f>IF(AND(F376&gt;=표본시작,F376&lt;=표본종료),1,0)</f>
        <v/>
      </c>
      <c r="U376" s="5">
        <f>IF(AND(G376&gt;=조회시작,G376&lt;=조회종료),1,0)</f>
        <v/>
      </c>
    </row>
    <row r="377">
      <c r="A377" s="2">
        <f>ROW()-1</f>
        <v/>
      </c>
      <c r="B377" s="5">
        <f>INDEX(상호범위,D377)</f>
        <v/>
      </c>
      <c r="C377" s="5">
        <f>INDEX(플랫폼명범위,E377)</f>
        <v/>
      </c>
      <c r="D377" s="2">
        <f>MOD(INT((A377-1)/4),8)+1</f>
        <v/>
      </c>
      <c r="E377" s="2">
        <f>MOD(A377-1,4)+1</f>
        <v/>
      </c>
      <c r="F377" s="20">
        <f>축시작+INT((A377-1)/32)</f>
        <v/>
      </c>
      <c r="G377" s="20">
        <f>F377+H377</f>
        <v/>
      </c>
      <c r="H377" s="5" t="n">
        <v>5</v>
      </c>
      <c r="I377" s="2">
        <f>ROUND(INDEX(가맹점!$P$2:$P$9,D377)*INDEX(가맹점!$J$2:$M$9,D377,E377),0)</f>
        <v/>
      </c>
      <c r="J377" s="2">
        <f>ROUND(I377*(1-할인율),0)</f>
        <v/>
      </c>
      <c r="K377" s="2">
        <f>ROUNDDOWN(I377*할인율,0)</f>
        <v/>
      </c>
      <c r="L377" s="2">
        <f>ROUND(I377*INDEX(미지급률범위,E377),0)</f>
        <v/>
      </c>
      <c r="M377" s="2">
        <f>ROUND(I377*INDEX(과지급률범위,E377),0)</f>
        <v/>
      </c>
      <c r="N377" s="2">
        <f>MAX(0,L377-M377)</f>
        <v/>
      </c>
      <c r="O377" s="2">
        <f>K377-N377</f>
        <v/>
      </c>
      <c r="P377" s="2">
        <f>I377-N377</f>
        <v/>
      </c>
      <c r="Q377" s="5">
        <f>IF(G377&gt;기준일,1,0)</f>
        <v/>
      </c>
      <c r="R377" s="5">
        <f>IF(G377&lt;=기준일,1,0)</f>
        <v/>
      </c>
      <c r="S377" s="2">
        <f>J377*H377</f>
        <v/>
      </c>
      <c r="T377" s="5">
        <f>IF(AND(F377&gt;=표본시작,F377&lt;=표본종료),1,0)</f>
        <v/>
      </c>
      <c r="U377" s="5">
        <f>IF(AND(G377&gt;=조회시작,G377&lt;=조회종료),1,0)</f>
        <v/>
      </c>
    </row>
    <row r="378">
      <c r="A378" s="2">
        <f>ROW()-1</f>
        <v/>
      </c>
      <c r="B378" s="5">
        <f>INDEX(상호범위,D378)</f>
        <v/>
      </c>
      <c r="C378" s="5">
        <f>INDEX(플랫폼명범위,E378)</f>
        <v/>
      </c>
      <c r="D378" s="2">
        <f>MOD(INT((A378-1)/4),8)+1</f>
        <v/>
      </c>
      <c r="E378" s="2">
        <f>MOD(A378-1,4)+1</f>
        <v/>
      </c>
      <c r="F378" s="20">
        <f>축시작+INT((A378-1)/32)</f>
        <v/>
      </c>
      <c r="G378" s="20">
        <f>F378+H378</f>
        <v/>
      </c>
      <c r="H378" s="5" t="n">
        <v>8</v>
      </c>
      <c r="I378" s="2">
        <f>ROUND(INDEX(가맹점!$P$2:$P$9,D378)*INDEX(가맹점!$J$2:$M$9,D378,E378),0)</f>
        <v/>
      </c>
      <c r="J378" s="2">
        <f>ROUND(I378*(1-할인율),0)</f>
        <v/>
      </c>
      <c r="K378" s="2">
        <f>ROUNDDOWN(I378*할인율,0)</f>
        <v/>
      </c>
      <c r="L378" s="2">
        <f>ROUND(I378*INDEX(미지급률범위,E378),0)</f>
        <v/>
      </c>
      <c r="M378" s="2">
        <f>ROUND(I378*INDEX(과지급률범위,E378),0)</f>
        <v/>
      </c>
      <c r="N378" s="2">
        <f>MAX(0,L378-M378)</f>
        <v/>
      </c>
      <c r="O378" s="2">
        <f>K378-N378</f>
        <v/>
      </c>
      <c r="P378" s="2">
        <f>I378-N378</f>
        <v/>
      </c>
      <c r="Q378" s="5">
        <f>IF(G378&gt;기준일,1,0)</f>
        <v/>
      </c>
      <c r="R378" s="5">
        <f>IF(G378&lt;=기준일,1,0)</f>
        <v/>
      </c>
      <c r="S378" s="2">
        <f>J378*H378</f>
        <v/>
      </c>
      <c r="T378" s="5">
        <f>IF(AND(F378&gt;=표본시작,F378&lt;=표본종료),1,0)</f>
        <v/>
      </c>
      <c r="U378" s="5">
        <f>IF(AND(G378&gt;=조회시작,G378&lt;=조회종료),1,0)</f>
        <v/>
      </c>
    </row>
    <row r="379">
      <c r="A379" s="2">
        <f>ROW()-1</f>
        <v/>
      </c>
      <c r="B379" s="5">
        <f>INDEX(상호범위,D379)</f>
        <v/>
      </c>
      <c r="C379" s="5">
        <f>INDEX(플랫폼명범위,E379)</f>
        <v/>
      </c>
      <c r="D379" s="2">
        <f>MOD(INT((A379-1)/4),8)+1</f>
        <v/>
      </c>
      <c r="E379" s="2">
        <f>MOD(A379-1,4)+1</f>
        <v/>
      </c>
      <c r="F379" s="20">
        <f>축시작+INT((A379-1)/32)</f>
        <v/>
      </c>
      <c r="G379" s="20">
        <f>F379+H379</f>
        <v/>
      </c>
      <c r="H379" s="5" t="n">
        <v>6</v>
      </c>
      <c r="I379" s="2">
        <f>ROUND(INDEX(가맹점!$P$2:$P$9,D379)*INDEX(가맹점!$J$2:$M$9,D379,E379),0)</f>
        <v/>
      </c>
      <c r="J379" s="2">
        <f>ROUND(I379*(1-할인율),0)</f>
        <v/>
      </c>
      <c r="K379" s="2">
        <f>ROUNDDOWN(I379*할인율,0)</f>
        <v/>
      </c>
      <c r="L379" s="2">
        <f>ROUND(I379*INDEX(미지급률범위,E379),0)</f>
        <v/>
      </c>
      <c r="M379" s="2">
        <f>ROUND(I379*INDEX(과지급률범위,E379),0)</f>
        <v/>
      </c>
      <c r="N379" s="2">
        <f>MAX(0,L379-M379)</f>
        <v/>
      </c>
      <c r="O379" s="2">
        <f>K379-N379</f>
        <v/>
      </c>
      <c r="P379" s="2">
        <f>I379-N379</f>
        <v/>
      </c>
      <c r="Q379" s="5">
        <f>IF(G379&gt;기준일,1,0)</f>
        <v/>
      </c>
      <c r="R379" s="5">
        <f>IF(G379&lt;=기준일,1,0)</f>
        <v/>
      </c>
      <c r="S379" s="2">
        <f>J379*H379</f>
        <v/>
      </c>
      <c r="T379" s="5">
        <f>IF(AND(F379&gt;=표본시작,F379&lt;=표본종료),1,0)</f>
        <v/>
      </c>
      <c r="U379" s="5">
        <f>IF(AND(G379&gt;=조회시작,G379&lt;=조회종료),1,0)</f>
        <v/>
      </c>
    </row>
    <row r="380">
      <c r="A380" s="2">
        <f>ROW()-1</f>
        <v/>
      </c>
      <c r="B380" s="5">
        <f>INDEX(상호범위,D380)</f>
        <v/>
      </c>
      <c r="C380" s="5">
        <f>INDEX(플랫폼명범위,E380)</f>
        <v/>
      </c>
      <c r="D380" s="2">
        <f>MOD(INT((A380-1)/4),8)+1</f>
        <v/>
      </c>
      <c r="E380" s="2">
        <f>MOD(A380-1,4)+1</f>
        <v/>
      </c>
      <c r="F380" s="20">
        <f>축시작+INT((A380-1)/32)</f>
        <v/>
      </c>
      <c r="G380" s="20">
        <f>F380+H380</f>
        <v/>
      </c>
      <c r="H380" s="5" t="n">
        <v>5</v>
      </c>
      <c r="I380" s="2">
        <f>ROUND(INDEX(가맹점!$P$2:$P$9,D380)*INDEX(가맹점!$J$2:$M$9,D380,E380),0)</f>
        <v/>
      </c>
      <c r="J380" s="2">
        <f>ROUND(I380*(1-할인율),0)</f>
        <v/>
      </c>
      <c r="K380" s="2">
        <f>ROUNDDOWN(I380*할인율,0)</f>
        <v/>
      </c>
      <c r="L380" s="2">
        <f>ROUND(I380*INDEX(미지급률범위,E380),0)</f>
        <v/>
      </c>
      <c r="M380" s="2">
        <f>ROUND(I380*INDEX(과지급률범위,E380),0)</f>
        <v/>
      </c>
      <c r="N380" s="2">
        <f>MAX(0,L380-M380)</f>
        <v/>
      </c>
      <c r="O380" s="2">
        <f>K380-N380</f>
        <v/>
      </c>
      <c r="P380" s="2">
        <f>I380-N380</f>
        <v/>
      </c>
      <c r="Q380" s="5">
        <f>IF(G380&gt;기준일,1,0)</f>
        <v/>
      </c>
      <c r="R380" s="5">
        <f>IF(G380&lt;=기준일,1,0)</f>
        <v/>
      </c>
      <c r="S380" s="2">
        <f>J380*H380</f>
        <v/>
      </c>
      <c r="T380" s="5">
        <f>IF(AND(F380&gt;=표본시작,F380&lt;=표본종료),1,0)</f>
        <v/>
      </c>
      <c r="U380" s="5">
        <f>IF(AND(G380&gt;=조회시작,G380&lt;=조회종료),1,0)</f>
        <v/>
      </c>
    </row>
    <row r="381">
      <c r="A381" s="2">
        <f>ROW()-1</f>
        <v/>
      </c>
      <c r="B381" s="5">
        <f>INDEX(상호범위,D381)</f>
        <v/>
      </c>
      <c r="C381" s="5">
        <f>INDEX(플랫폼명범위,E381)</f>
        <v/>
      </c>
      <c r="D381" s="2">
        <f>MOD(INT((A381-1)/4),8)+1</f>
        <v/>
      </c>
      <c r="E381" s="2">
        <f>MOD(A381-1,4)+1</f>
        <v/>
      </c>
      <c r="F381" s="20">
        <f>축시작+INT((A381-1)/32)</f>
        <v/>
      </c>
      <c r="G381" s="20">
        <f>F381+H381</f>
        <v/>
      </c>
      <c r="H381" s="5" t="n">
        <v>13</v>
      </c>
      <c r="I381" s="2">
        <f>ROUND(INDEX(가맹점!$P$2:$P$9,D381)*INDEX(가맹점!$J$2:$M$9,D381,E381),0)</f>
        <v/>
      </c>
      <c r="J381" s="2">
        <f>ROUND(I381*(1-할인율),0)</f>
        <v/>
      </c>
      <c r="K381" s="2">
        <f>ROUNDDOWN(I381*할인율,0)</f>
        <v/>
      </c>
      <c r="L381" s="2">
        <f>ROUND(I381*INDEX(미지급률범위,E381),0)</f>
        <v/>
      </c>
      <c r="M381" s="2">
        <f>ROUND(I381*INDEX(과지급률범위,E381),0)</f>
        <v/>
      </c>
      <c r="N381" s="2">
        <f>MAX(0,L381-M381)</f>
        <v/>
      </c>
      <c r="O381" s="2">
        <f>K381-N381</f>
        <v/>
      </c>
      <c r="P381" s="2">
        <f>I381-N381</f>
        <v/>
      </c>
      <c r="Q381" s="5">
        <f>IF(G381&gt;기준일,1,0)</f>
        <v/>
      </c>
      <c r="R381" s="5">
        <f>IF(G381&lt;=기준일,1,0)</f>
        <v/>
      </c>
      <c r="S381" s="2">
        <f>J381*H381</f>
        <v/>
      </c>
      <c r="T381" s="5">
        <f>IF(AND(F381&gt;=표본시작,F381&lt;=표본종료),1,0)</f>
        <v/>
      </c>
      <c r="U381" s="5">
        <f>IF(AND(G381&gt;=조회시작,G381&lt;=조회종료),1,0)</f>
        <v/>
      </c>
    </row>
    <row r="382">
      <c r="A382" s="2">
        <f>ROW()-1</f>
        <v/>
      </c>
      <c r="B382" s="5">
        <f>INDEX(상호범위,D382)</f>
        <v/>
      </c>
      <c r="C382" s="5">
        <f>INDEX(플랫폼명범위,E382)</f>
        <v/>
      </c>
      <c r="D382" s="2">
        <f>MOD(INT((A382-1)/4),8)+1</f>
        <v/>
      </c>
      <c r="E382" s="2">
        <f>MOD(A382-1,4)+1</f>
        <v/>
      </c>
      <c r="F382" s="20">
        <f>축시작+INT((A382-1)/32)</f>
        <v/>
      </c>
      <c r="G382" s="20">
        <f>F382+H382</f>
        <v/>
      </c>
      <c r="H382" s="5" t="n">
        <v>2</v>
      </c>
      <c r="I382" s="2">
        <f>ROUND(INDEX(가맹점!$P$2:$P$9,D382)*INDEX(가맹점!$J$2:$M$9,D382,E382),0)</f>
        <v/>
      </c>
      <c r="J382" s="2">
        <f>ROUND(I382*(1-할인율),0)</f>
        <v/>
      </c>
      <c r="K382" s="2">
        <f>ROUNDDOWN(I382*할인율,0)</f>
        <v/>
      </c>
      <c r="L382" s="2">
        <f>ROUND(I382*INDEX(미지급률범위,E382),0)</f>
        <v/>
      </c>
      <c r="M382" s="2">
        <f>ROUND(I382*INDEX(과지급률범위,E382),0)</f>
        <v/>
      </c>
      <c r="N382" s="2">
        <f>MAX(0,L382-M382)</f>
        <v/>
      </c>
      <c r="O382" s="2">
        <f>K382-N382</f>
        <v/>
      </c>
      <c r="P382" s="2">
        <f>I382-N382</f>
        <v/>
      </c>
      <c r="Q382" s="5">
        <f>IF(G382&gt;기준일,1,0)</f>
        <v/>
      </c>
      <c r="R382" s="5">
        <f>IF(G382&lt;=기준일,1,0)</f>
        <v/>
      </c>
      <c r="S382" s="2">
        <f>J382*H382</f>
        <v/>
      </c>
      <c r="T382" s="5">
        <f>IF(AND(F382&gt;=표본시작,F382&lt;=표본종료),1,0)</f>
        <v/>
      </c>
      <c r="U382" s="5">
        <f>IF(AND(G382&gt;=조회시작,G382&lt;=조회종료),1,0)</f>
        <v/>
      </c>
    </row>
    <row r="383">
      <c r="A383" s="2">
        <f>ROW()-1</f>
        <v/>
      </c>
      <c r="B383" s="5">
        <f>INDEX(상호범위,D383)</f>
        <v/>
      </c>
      <c r="C383" s="5">
        <f>INDEX(플랫폼명범위,E383)</f>
        <v/>
      </c>
      <c r="D383" s="2">
        <f>MOD(INT((A383-1)/4),8)+1</f>
        <v/>
      </c>
      <c r="E383" s="2">
        <f>MOD(A383-1,4)+1</f>
        <v/>
      </c>
      <c r="F383" s="20">
        <f>축시작+INT((A383-1)/32)</f>
        <v/>
      </c>
      <c r="G383" s="20">
        <f>F383+H383</f>
        <v/>
      </c>
      <c r="H383" s="5" t="n">
        <v>4</v>
      </c>
      <c r="I383" s="2">
        <f>ROUND(INDEX(가맹점!$P$2:$P$9,D383)*INDEX(가맹점!$J$2:$M$9,D383,E383),0)</f>
        <v/>
      </c>
      <c r="J383" s="2">
        <f>ROUND(I383*(1-할인율),0)</f>
        <v/>
      </c>
      <c r="K383" s="2">
        <f>ROUNDDOWN(I383*할인율,0)</f>
        <v/>
      </c>
      <c r="L383" s="2">
        <f>ROUND(I383*INDEX(미지급률범위,E383),0)</f>
        <v/>
      </c>
      <c r="M383" s="2">
        <f>ROUND(I383*INDEX(과지급률범위,E383),0)</f>
        <v/>
      </c>
      <c r="N383" s="2">
        <f>MAX(0,L383-M383)</f>
        <v/>
      </c>
      <c r="O383" s="2">
        <f>K383-N383</f>
        <v/>
      </c>
      <c r="P383" s="2">
        <f>I383-N383</f>
        <v/>
      </c>
      <c r="Q383" s="5">
        <f>IF(G383&gt;기준일,1,0)</f>
        <v/>
      </c>
      <c r="R383" s="5">
        <f>IF(G383&lt;=기준일,1,0)</f>
        <v/>
      </c>
      <c r="S383" s="2">
        <f>J383*H383</f>
        <v/>
      </c>
      <c r="T383" s="5">
        <f>IF(AND(F383&gt;=표본시작,F383&lt;=표본종료),1,0)</f>
        <v/>
      </c>
      <c r="U383" s="5">
        <f>IF(AND(G383&gt;=조회시작,G383&lt;=조회종료),1,0)</f>
        <v/>
      </c>
    </row>
    <row r="384">
      <c r="A384" s="2">
        <f>ROW()-1</f>
        <v/>
      </c>
      <c r="B384" s="5">
        <f>INDEX(상호범위,D384)</f>
        <v/>
      </c>
      <c r="C384" s="5">
        <f>INDEX(플랫폼명범위,E384)</f>
        <v/>
      </c>
      <c r="D384" s="2">
        <f>MOD(INT((A384-1)/4),8)+1</f>
        <v/>
      </c>
      <c r="E384" s="2">
        <f>MOD(A384-1,4)+1</f>
        <v/>
      </c>
      <c r="F384" s="20">
        <f>축시작+INT((A384-1)/32)</f>
        <v/>
      </c>
      <c r="G384" s="20">
        <f>F384+H384</f>
        <v/>
      </c>
      <c r="H384" s="5" t="n">
        <v>3</v>
      </c>
      <c r="I384" s="2">
        <f>ROUND(INDEX(가맹점!$P$2:$P$9,D384)*INDEX(가맹점!$J$2:$M$9,D384,E384),0)</f>
        <v/>
      </c>
      <c r="J384" s="2">
        <f>ROUND(I384*(1-할인율),0)</f>
        <v/>
      </c>
      <c r="K384" s="2">
        <f>ROUNDDOWN(I384*할인율,0)</f>
        <v/>
      </c>
      <c r="L384" s="2">
        <f>ROUND(I384*INDEX(미지급률범위,E384),0)</f>
        <v/>
      </c>
      <c r="M384" s="2">
        <f>ROUND(I384*INDEX(과지급률범위,E384),0)</f>
        <v/>
      </c>
      <c r="N384" s="2">
        <f>MAX(0,L384-M384)</f>
        <v/>
      </c>
      <c r="O384" s="2">
        <f>K384-N384</f>
        <v/>
      </c>
      <c r="P384" s="2">
        <f>I384-N384</f>
        <v/>
      </c>
      <c r="Q384" s="5">
        <f>IF(G384&gt;기준일,1,0)</f>
        <v/>
      </c>
      <c r="R384" s="5">
        <f>IF(G384&lt;=기준일,1,0)</f>
        <v/>
      </c>
      <c r="S384" s="2">
        <f>J384*H384</f>
        <v/>
      </c>
      <c r="T384" s="5">
        <f>IF(AND(F384&gt;=표본시작,F384&lt;=표본종료),1,0)</f>
        <v/>
      </c>
      <c r="U384" s="5">
        <f>IF(AND(G384&gt;=조회시작,G384&lt;=조회종료),1,0)</f>
        <v/>
      </c>
    </row>
    <row r="385">
      <c r="A385" s="2">
        <f>ROW()-1</f>
        <v/>
      </c>
      <c r="B385" s="5">
        <f>INDEX(상호범위,D385)</f>
        <v/>
      </c>
      <c r="C385" s="5">
        <f>INDEX(플랫폼명범위,E385)</f>
        <v/>
      </c>
      <c r="D385" s="2">
        <f>MOD(INT((A385-1)/4),8)+1</f>
        <v/>
      </c>
      <c r="E385" s="2">
        <f>MOD(A385-1,4)+1</f>
        <v/>
      </c>
      <c r="F385" s="20">
        <f>축시작+INT((A385-1)/32)</f>
        <v/>
      </c>
      <c r="G385" s="20">
        <f>F385+H385</f>
        <v/>
      </c>
      <c r="H385" s="5" t="n">
        <v>10</v>
      </c>
      <c r="I385" s="2">
        <f>ROUND(INDEX(가맹점!$P$2:$P$9,D385)*INDEX(가맹점!$J$2:$M$9,D385,E385),0)</f>
        <v/>
      </c>
      <c r="J385" s="2">
        <f>ROUND(I385*(1-할인율),0)</f>
        <v/>
      </c>
      <c r="K385" s="2">
        <f>ROUNDDOWN(I385*할인율,0)</f>
        <v/>
      </c>
      <c r="L385" s="2">
        <f>ROUND(I385*INDEX(미지급률범위,E385),0)</f>
        <v/>
      </c>
      <c r="M385" s="2">
        <f>ROUND(I385*INDEX(과지급률범위,E385),0)</f>
        <v/>
      </c>
      <c r="N385" s="2">
        <f>MAX(0,L385-M385)</f>
        <v/>
      </c>
      <c r="O385" s="2">
        <f>K385-N385</f>
        <v/>
      </c>
      <c r="P385" s="2">
        <f>I385-N385</f>
        <v/>
      </c>
      <c r="Q385" s="5">
        <f>IF(G385&gt;기준일,1,0)</f>
        <v/>
      </c>
      <c r="R385" s="5">
        <f>IF(G385&lt;=기준일,1,0)</f>
        <v/>
      </c>
      <c r="S385" s="2">
        <f>J385*H385</f>
        <v/>
      </c>
      <c r="T385" s="5">
        <f>IF(AND(F385&gt;=표본시작,F385&lt;=표본종료),1,0)</f>
        <v/>
      </c>
      <c r="U385" s="5">
        <f>IF(AND(G385&gt;=조회시작,G385&lt;=조회종료),1,0)</f>
        <v/>
      </c>
    </row>
    <row r="386">
      <c r="A386" s="2">
        <f>ROW()-1</f>
        <v/>
      </c>
      <c r="B386" s="5">
        <f>INDEX(상호범위,D386)</f>
        <v/>
      </c>
      <c r="C386" s="5">
        <f>INDEX(플랫폼명범위,E386)</f>
        <v/>
      </c>
      <c r="D386" s="2">
        <f>MOD(INT((A386-1)/4),8)+1</f>
        <v/>
      </c>
      <c r="E386" s="2">
        <f>MOD(A386-1,4)+1</f>
        <v/>
      </c>
      <c r="F386" s="20">
        <f>축시작+INT((A386-1)/32)</f>
        <v/>
      </c>
      <c r="G386" s="20">
        <f>F386+H386</f>
        <v/>
      </c>
      <c r="H386" s="5" t="n">
        <v>3</v>
      </c>
      <c r="I386" s="2">
        <f>ROUND(INDEX(가맹점!$P$2:$P$9,D386)*INDEX(가맹점!$J$2:$M$9,D386,E386),0)</f>
        <v/>
      </c>
      <c r="J386" s="2">
        <f>ROUND(I386*(1-할인율),0)</f>
        <v/>
      </c>
      <c r="K386" s="2">
        <f>ROUNDDOWN(I386*할인율,0)</f>
        <v/>
      </c>
      <c r="L386" s="2">
        <f>ROUND(I386*INDEX(미지급률범위,E386),0)</f>
        <v/>
      </c>
      <c r="M386" s="2">
        <f>ROUND(I386*INDEX(과지급률범위,E386),0)</f>
        <v/>
      </c>
      <c r="N386" s="2">
        <f>MAX(0,L386-M386)</f>
        <v/>
      </c>
      <c r="O386" s="2">
        <f>K386-N386</f>
        <v/>
      </c>
      <c r="P386" s="2">
        <f>I386-N386</f>
        <v/>
      </c>
      <c r="Q386" s="5">
        <f>IF(G386&gt;기준일,1,0)</f>
        <v/>
      </c>
      <c r="R386" s="5">
        <f>IF(G386&lt;=기준일,1,0)</f>
        <v/>
      </c>
      <c r="S386" s="2">
        <f>J386*H386</f>
        <v/>
      </c>
      <c r="T386" s="5">
        <f>IF(AND(F386&gt;=표본시작,F386&lt;=표본종료),1,0)</f>
        <v/>
      </c>
      <c r="U386" s="5">
        <f>IF(AND(G386&gt;=조회시작,G386&lt;=조회종료),1,0)</f>
        <v/>
      </c>
    </row>
    <row r="387">
      <c r="A387" s="2">
        <f>ROW()-1</f>
        <v/>
      </c>
      <c r="B387" s="5">
        <f>INDEX(상호범위,D387)</f>
        <v/>
      </c>
      <c r="C387" s="5">
        <f>INDEX(플랫폼명범위,E387)</f>
        <v/>
      </c>
      <c r="D387" s="2">
        <f>MOD(INT((A387-1)/4),8)+1</f>
        <v/>
      </c>
      <c r="E387" s="2">
        <f>MOD(A387-1,4)+1</f>
        <v/>
      </c>
      <c r="F387" s="20">
        <f>축시작+INT((A387-1)/32)</f>
        <v/>
      </c>
      <c r="G387" s="20">
        <f>F387+H387</f>
        <v/>
      </c>
      <c r="H387" s="5" t="n">
        <v>4</v>
      </c>
      <c r="I387" s="2">
        <f>ROUND(INDEX(가맹점!$P$2:$P$9,D387)*INDEX(가맹점!$J$2:$M$9,D387,E387),0)</f>
        <v/>
      </c>
      <c r="J387" s="2">
        <f>ROUND(I387*(1-할인율),0)</f>
        <v/>
      </c>
      <c r="K387" s="2">
        <f>ROUNDDOWN(I387*할인율,0)</f>
        <v/>
      </c>
      <c r="L387" s="2">
        <f>ROUND(I387*INDEX(미지급률범위,E387),0)</f>
        <v/>
      </c>
      <c r="M387" s="2">
        <f>ROUND(I387*INDEX(과지급률범위,E387),0)</f>
        <v/>
      </c>
      <c r="N387" s="2">
        <f>MAX(0,L387-M387)</f>
        <v/>
      </c>
      <c r="O387" s="2">
        <f>K387-N387</f>
        <v/>
      </c>
      <c r="P387" s="2">
        <f>I387-N387</f>
        <v/>
      </c>
      <c r="Q387" s="5">
        <f>IF(G387&gt;기준일,1,0)</f>
        <v/>
      </c>
      <c r="R387" s="5">
        <f>IF(G387&lt;=기준일,1,0)</f>
        <v/>
      </c>
      <c r="S387" s="2">
        <f>J387*H387</f>
        <v/>
      </c>
      <c r="T387" s="5">
        <f>IF(AND(F387&gt;=표본시작,F387&lt;=표본종료),1,0)</f>
        <v/>
      </c>
      <c r="U387" s="5">
        <f>IF(AND(G387&gt;=조회시작,G387&lt;=조회종료),1,0)</f>
        <v/>
      </c>
    </row>
    <row r="388">
      <c r="A388" s="2">
        <f>ROW()-1</f>
        <v/>
      </c>
      <c r="B388" s="5">
        <f>INDEX(상호범위,D388)</f>
        <v/>
      </c>
      <c r="C388" s="5">
        <f>INDEX(플랫폼명범위,E388)</f>
        <v/>
      </c>
      <c r="D388" s="2">
        <f>MOD(INT((A388-1)/4),8)+1</f>
        <v/>
      </c>
      <c r="E388" s="2">
        <f>MOD(A388-1,4)+1</f>
        <v/>
      </c>
      <c r="F388" s="20">
        <f>축시작+INT((A388-1)/32)</f>
        <v/>
      </c>
      <c r="G388" s="20">
        <f>F388+H388</f>
        <v/>
      </c>
      <c r="H388" s="5" t="n">
        <v>9</v>
      </c>
      <c r="I388" s="2">
        <f>ROUND(INDEX(가맹점!$P$2:$P$9,D388)*INDEX(가맹점!$J$2:$M$9,D388,E388),0)</f>
        <v/>
      </c>
      <c r="J388" s="2">
        <f>ROUND(I388*(1-할인율),0)</f>
        <v/>
      </c>
      <c r="K388" s="2">
        <f>ROUNDDOWN(I388*할인율,0)</f>
        <v/>
      </c>
      <c r="L388" s="2">
        <f>ROUND(I388*INDEX(미지급률범위,E388),0)</f>
        <v/>
      </c>
      <c r="M388" s="2">
        <f>ROUND(I388*INDEX(과지급률범위,E388),0)</f>
        <v/>
      </c>
      <c r="N388" s="2">
        <f>MAX(0,L388-M388)</f>
        <v/>
      </c>
      <c r="O388" s="2">
        <f>K388-N388</f>
        <v/>
      </c>
      <c r="P388" s="2">
        <f>I388-N388</f>
        <v/>
      </c>
      <c r="Q388" s="5">
        <f>IF(G388&gt;기준일,1,0)</f>
        <v/>
      </c>
      <c r="R388" s="5">
        <f>IF(G388&lt;=기준일,1,0)</f>
        <v/>
      </c>
      <c r="S388" s="2">
        <f>J388*H388</f>
        <v/>
      </c>
      <c r="T388" s="5">
        <f>IF(AND(F388&gt;=표본시작,F388&lt;=표본종료),1,0)</f>
        <v/>
      </c>
      <c r="U388" s="5">
        <f>IF(AND(G388&gt;=조회시작,G388&lt;=조회종료),1,0)</f>
        <v/>
      </c>
    </row>
    <row r="389">
      <c r="A389" s="2">
        <f>ROW()-1</f>
        <v/>
      </c>
      <c r="B389" s="5">
        <f>INDEX(상호범위,D389)</f>
        <v/>
      </c>
      <c r="C389" s="5">
        <f>INDEX(플랫폼명범위,E389)</f>
        <v/>
      </c>
      <c r="D389" s="2">
        <f>MOD(INT((A389-1)/4),8)+1</f>
        <v/>
      </c>
      <c r="E389" s="2">
        <f>MOD(A389-1,4)+1</f>
        <v/>
      </c>
      <c r="F389" s="20">
        <f>축시작+INT((A389-1)/32)</f>
        <v/>
      </c>
      <c r="G389" s="20">
        <f>F389+H389</f>
        <v/>
      </c>
      <c r="H389" s="5" t="n">
        <v>4</v>
      </c>
      <c r="I389" s="2">
        <f>ROUND(INDEX(가맹점!$P$2:$P$9,D389)*INDEX(가맹점!$J$2:$M$9,D389,E389),0)</f>
        <v/>
      </c>
      <c r="J389" s="2">
        <f>ROUND(I389*(1-할인율),0)</f>
        <v/>
      </c>
      <c r="K389" s="2">
        <f>ROUNDDOWN(I389*할인율,0)</f>
        <v/>
      </c>
      <c r="L389" s="2">
        <f>ROUND(I389*INDEX(미지급률범위,E389),0)</f>
        <v/>
      </c>
      <c r="M389" s="2">
        <f>ROUND(I389*INDEX(과지급률범위,E389),0)</f>
        <v/>
      </c>
      <c r="N389" s="2">
        <f>MAX(0,L389-M389)</f>
        <v/>
      </c>
      <c r="O389" s="2">
        <f>K389-N389</f>
        <v/>
      </c>
      <c r="P389" s="2">
        <f>I389-N389</f>
        <v/>
      </c>
      <c r="Q389" s="5">
        <f>IF(G389&gt;기준일,1,0)</f>
        <v/>
      </c>
      <c r="R389" s="5">
        <f>IF(G389&lt;=기준일,1,0)</f>
        <v/>
      </c>
      <c r="S389" s="2">
        <f>J389*H389</f>
        <v/>
      </c>
      <c r="T389" s="5">
        <f>IF(AND(F389&gt;=표본시작,F389&lt;=표본종료),1,0)</f>
        <v/>
      </c>
      <c r="U389" s="5">
        <f>IF(AND(G389&gt;=조회시작,G389&lt;=조회종료),1,0)</f>
        <v/>
      </c>
    </row>
    <row r="390">
      <c r="A390" s="2">
        <f>ROW()-1</f>
        <v/>
      </c>
      <c r="B390" s="5">
        <f>INDEX(상호범위,D390)</f>
        <v/>
      </c>
      <c r="C390" s="5">
        <f>INDEX(플랫폼명범위,E390)</f>
        <v/>
      </c>
      <c r="D390" s="2">
        <f>MOD(INT((A390-1)/4),8)+1</f>
        <v/>
      </c>
      <c r="E390" s="2">
        <f>MOD(A390-1,4)+1</f>
        <v/>
      </c>
      <c r="F390" s="20">
        <f>축시작+INT((A390-1)/32)</f>
        <v/>
      </c>
      <c r="G390" s="20">
        <f>F390+H390</f>
        <v/>
      </c>
      <c r="H390" s="5" t="n">
        <v>1</v>
      </c>
      <c r="I390" s="2">
        <f>ROUND(INDEX(가맹점!$P$2:$P$9,D390)*INDEX(가맹점!$J$2:$M$9,D390,E390),0)</f>
        <v/>
      </c>
      <c r="J390" s="2">
        <f>ROUND(I390*(1-할인율),0)</f>
        <v/>
      </c>
      <c r="K390" s="2">
        <f>ROUNDDOWN(I390*할인율,0)</f>
        <v/>
      </c>
      <c r="L390" s="2">
        <f>ROUND(I390*INDEX(미지급률범위,E390),0)</f>
        <v/>
      </c>
      <c r="M390" s="2">
        <f>ROUND(I390*INDEX(과지급률범위,E390),0)</f>
        <v/>
      </c>
      <c r="N390" s="2">
        <f>MAX(0,L390-M390)</f>
        <v/>
      </c>
      <c r="O390" s="2">
        <f>K390-N390</f>
        <v/>
      </c>
      <c r="P390" s="2">
        <f>I390-N390</f>
        <v/>
      </c>
      <c r="Q390" s="5">
        <f>IF(G390&gt;기준일,1,0)</f>
        <v/>
      </c>
      <c r="R390" s="5">
        <f>IF(G390&lt;=기준일,1,0)</f>
        <v/>
      </c>
      <c r="S390" s="2">
        <f>J390*H390</f>
        <v/>
      </c>
      <c r="T390" s="5">
        <f>IF(AND(F390&gt;=표본시작,F390&lt;=표본종료),1,0)</f>
        <v/>
      </c>
      <c r="U390" s="5">
        <f>IF(AND(G390&gt;=조회시작,G390&lt;=조회종료),1,0)</f>
        <v/>
      </c>
    </row>
    <row r="391">
      <c r="A391" s="2">
        <f>ROW()-1</f>
        <v/>
      </c>
      <c r="B391" s="5">
        <f>INDEX(상호범위,D391)</f>
        <v/>
      </c>
      <c r="C391" s="5">
        <f>INDEX(플랫폼명범위,E391)</f>
        <v/>
      </c>
      <c r="D391" s="2">
        <f>MOD(INT((A391-1)/4),8)+1</f>
        <v/>
      </c>
      <c r="E391" s="2">
        <f>MOD(A391-1,4)+1</f>
        <v/>
      </c>
      <c r="F391" s="20">
        <f>축시작+INT((A391-1)/32)</f>
        <v/>
      </c>
      <c r="G391" s="20">
        <f>F391+H391</f>
        <v/>
      </c>
      <c r="H391" s="5" t="n">
        <v>4</v>
      </c>
      <c r="I391" s="2">
        <f>ROUND(INDEX(가맹점!$P$2:$P$9,D391)*INDEX(가맹점!$J$2:$M$9,D391,E391),0)</f>
        <v/>
      </c>
      <c r="J391" s="2">
        <f>ROUND(I391*(1-할인율),0)</f>
        <v/>
      </c>
      <c r="K391" s="2">
        <f>ROUNDDOWN(I391*할인율,0)</f>
        <v/>
      </c>
      <c r="L391" s="2">
        <f>ROUND(I391*INDEX(미지급률범위,E391),0)</f>
        <v/>
      </c>
      <c r="M391" s="2">
        <f>ROUND(I391*INDEX(과지급률범위,E391),0)</f>
        <v/>
      </c>
      <c r="N391" s="2">
        <f>MAX(0,L391-M391)</f>
        <v/>
      </c>
      <c r="O391" s="2">
        <f>K391-N391</f>
        <v/>
      </c>
      <c r="P391" s="2">
        <f>I391-N391</f>
        <v/>
      </c>
      <c r="Q391" s="5">
        <f>IF(G391&gt;기준일,1,0)</f>
        <v/>
      </c>
      <c r="R391" s="5">
        <f>IF(G391&lt;=기준일,1,0)</f>
        <v/>
      </c>
      <c r="S391" s="2">
        <f>J391*H391</f>
        <v/>
      </c>
      <c r="T391" s="5">
        <f>IF(AND(F391&gt;=표본시작,F391&lt;=표본종료),1,0)</f>
        <v/>
      </c>
      <c r="U391" s="5">
        <f>IF(AND(G391&gt;=조회시작,G391&lt;=조회종료),1,0)</f>
        <v/>
      </c>
    </row>
    <row r="392">
      <c r="A392" s="2">
        <f>ROW()-1</f>
        <v/>
      </c>
      <c r="B392" s="5">
        <f>INDEX(상호범위,D392)</f>
        <v/>
      </c>
      <c r="C392" s="5">
        <f>INDEX(플랫폼명범위,E392)</f>
        <v/>
      </c>
      <c r="D392" s="2">
        <f>MOD(INT((A392-1)/4),8)+1</f>
        <v/>
      </c>
      <c r="E392" s="2">
        <f>MOD(A392-1,4)+1</f>
        <v/>
      </c>
      <c r="F392" s="20">
        <f>축시작+INT((A392-1)/32)</f>
        <v/>
      </c>
      <c r="G392" s="20">
        <f>F392+H392</f>
        <v/>
      </c>
      <c r="H392" s="5" t="n">
        <v>4</v>
      </c>
      <c r="I392" s="2">
        <f>ROUND(INDEX(가맹점!$P$2:$P$9,D392)*INDEX(가맹점!$J$2:$M$9,D392,E392),0)</f>
        <v/>
      </c>
      <c r="J392" s="2">
        <f>ROUND(I392*(1-할인율),0)</f>
        <v/>
      </c>
      <c r="K392" s="2">
        <f>ROUNDDOWN(I392*할인율,0)</f>
        <v/>
      </c>
      <c r="L392" s="2">
        <f>ROUND(I392*INDEX(미지급률범위,E392),0)</f>
        <v/>
      </c>
      <c r="M392" s="2">
        <f>ROUND(I392*INDEX(과지급률범위,E392),0)</f>
        <v/>
      </c>
      <c r="N392" s="2">
        <f>MAX(0,L392-M392)</f>
        <v/>
      </c>
      <c r="O392" s="2">
        <f>K392-N392</f>
        <v/>
      </c>
      <c r="P392" s="2">
        <f>I392-N392</f>
        <v/>
      </c>
      <c r="Q392" s="5">
        <f>IF(G392&gt;기준일,1,0)</f>
        <v/>
      </c>
      <c r="R392" s="5">
        <f>IF(G392&lt;=기준일,1,0)</f>
        <v/>
      </c>
      <c r="S392" s="2">
        <f>J392*H392</f>
        <v/>
      </c>
      <c r="T392" s="5">
        <f>IF(AND(F392&gt;=표본시작,F392&lt;=표본종료),1,0)</f>
        <v/>
      </c>
      <c r="U392" s="5">
        <f>IF(AND(G392&gt;=조회시작,G392&lt;=조회종료),1,0)</f>
        <v/>
      </c>
    </row>
    <row r="393">
      <c r="A393" s="2">
        <f>ROW()-1</f>
        <v/>
      </c>
      <c r="B393" s="5">
        <f>INDEX(상호범위,D393)</f>
        <v/>
      </c>
      <c r="C393" s="5">
        <f>INDEX(플랫폼명범위,E393)</f>
        <v/>
      </c>
      <c r="D393" s="2">
        <f>MOD(INT((A393-1)/4),8)+1</f>
        <v/>
      </c>
      <c r="E393" s="2">
        <f>MOD(A393-1,4)+1</f>
        <v/>
      </c>
      <c r="F393" s="20">
        <f>축시작+INT((A393-1)/32)</f>
        <v/>
      </c>
      <c r="G393" s="20">
        <f>F393+H393</f>
        <v/>
      </c>
      <c r="H393" s="5" t="n">
        <v>5</v>
      </c>
      <c r="I393" s="2">
        <f>ROUND(INDEX(가맹점!$P$2:$P$9,D393)*INDEX(가맹점!$J$2:$M$9,D393,E393),0)</f>
        <v/>
      </c>
      <c r="J393" s="2">
        <f>ROUND(I393*(1-할인율),0)</f>
        <v/>
      </c>
      <c r="K393" s="2">
        <f>ROUNDDOWN(I393*할인율,0)</f>
        <v/>
      </c>
      <c r="L393" s="2">
        <f>ROUND(I393*INDEX(미지급률범위,E393),0)</f>
        <v/>
      </c>
      <c r="M393" s="2">
        <f>ROUND(I393*INDEX(과지급률범위,E393),0)</f>
        <v/>
      </c>
      <c r="N393" s="2">
        <f>MAX(0,L393-M393)</f>
        <v/>
      </c>
      <c r="O393" s="2">
        <f>K393-N393</f>
        <v/>
      </c>
      <c r="P393" s="2">
        <f>I393-N393</f>
        <v/>
      </c>
      <c r="Q393" s="5">
        <f>IF(G393&gt;기준일,1,0)</f>
        <v/>
      </c>
      <c r="R393" s="5">
        <f>IF(G393&lt;=기준일,1,0)</f>
        <v/>
      </c>
      <c r="S393" s="2">
        <f>J393*H393</f>
        <v/>
      </c>
      <c r="T393" s="5">
        <f>IF(AND(F393&gt;=표본시작,F393&lt;=표본종료),1,0)</f>
        <v/>
      </c>
      <c r="U393" s="5">
        <f>IF(AND(G393&gt;=조회시작,G393&lt;=조회종료),1,0)</f>
        <v/>
      </c>
    </row>
    <row r="394">
      <c r="A394" s="2">
        <f>ROW()-1</f>
        <v/>
      </c>
      <c r="B394" s="5">
        <f>INDEX(상호범위,D394)</f>
        <v/>
      </c>
      <c r="C394" s="5">
        <f>INDEX(플랫폼명범위,E394)</f>
        <v/>
      </c>
      <c r="D394" s="2">
        <f>MOD(INT((A394-1)/4),8)+1</f>
        <v/>
      </c>
      <c r="E394" s="2">
        <f>MOD(A394-1,4)+1</f>
        <v/>
      </c>
      <c r="F394" s="20">
        <f>축시작+INT((A394-1)/32)</f>
        <v/>
      </c>
      <c r="G394" s="20">
        <f>F394+H394</f>
        <v/>
      </c>
      <c r="H394" s="5" t="n">
        <v>1</v>
      </c>
      <c r="I394" s="2">
        <f>ROUND(INDEX(가맹점!$P$2:$P$9,D394)*INDEX(가맹점!$J$2:$M$9,D394,E394),0)</f>
        <v/>
      </c>
      <c r="J394" s="2">
        <f>ROUND(I394*(1-할인율),0)</f>
        <v/>
      </c>
      <c r="K394" s="2">
        <f>ROUNDDOWN(I394*할인율,0)</f>
        <v/>
      </c>
      <c r="L394" s="2">
        <f>ROUND(I394*INDEX(미지급률범위,E394),0)</f>
        <v/>
      </c>
      <c r="M394" s="2">
        <f>ROUND(I394*INDEX(과지급률범위,E394),0)</f>
        <v/>
      </c>
      <c r="N394" s="2">
        <f>MAX(0,L394-M394)</f>
        <v/>
      </c>
      <c r="O394" s="2">
        <f>K394-N394</f>
        <v/>
      </c>
      <c r="P394" s="2">
        <f>I394-N394</f>
        <v/>
      </c>
      <c r="Q394" s="5">
        <f>IF(G394&gt;기준일,1,0)</f>
        <v/>
      </c>
      <c r="R394" s="5">
        <f>IF(G394&lt;=기준일,1,0)</f>
        <v/>
      </c>
      <c r="S394" s="2">
        <f>J394*H394</f>
        <v/>
      </c>
      <c r="T394" s="5">
        <f>IF(AND(F394&gt;=표본시작,F394&lt;=표본종료),1,0)</f>
        <v/>
      </c>
      <c r="U394" s="5">
        <f>IF(AND(G394&gt;=조회시작,G394&lt;=조회종료),1,0)</f>
        <v/>
      </c>
    </row>
    <row r="395">
      <c r="A395" s="2">
        <f>ROW()-1</f>
        <v/>
      </c>
      <c r="B395" s="5">
        <f>INDEX(상호범위,D395)</f>
        <v/>
      </c>
      <c r="C395" s="5">
        <f>INDEX(플랫폼명범위,E395)</f>
        <v/>
      </c>
      <c r="D395" s="2">
        <f>MOD(INT((A395-1)/4),8)+1</f>
        <v/>
      </c>
      <c r="E395" s="2">
        <f>MOD(A395-1,4)+1</f>
        <v/>
      </c>
      <c r="F395" s="20">
        <f>축시작+INT((A395-1)/32)</f>
        <v/>
      </c>
      <c r="G395" s="20">
        <f>F395+H395</f>
        <v/>
      </c>
      <c r="H395" s="5" t="n">
        <v>4</v>
      </c>
      <c r="I395" s="2">
        <f>ROUND(INDEX(가맹점!$P$2:$P$9,D395)*INDEX(가맹점!$J$2:$M$9,D395,E395),0)</f>
        <v/>
      </c>
      <c r="J395" s="2">
        <f>ROUND(I395*(1-할인율),0)</f>
        <v/>
      </c>
      <c r="K395" s="2">
        <f>ROUNDDOWN(I395*할인율,0)</f>
        <v/>
      </c>
      <c r="L395" s="2">
        <f>ROUND(I395*INDEX(미지급률범위,E395),0)</f>
        <v/>
      </c>
      <c r="M395" s="2">
        <f>ROUND(I395*INDEX(과지급률범위,E395),0)</f>
        <v/>
      </c>
      <c r="N395" s="2">
        <f>MAX(0,L395-M395)</f>
        <v/>
      </c>
      <c r="O395" s="2">
        <f>K395-N395</f>
        <v/>
      </c>
      <c r="P395" s="2">
        <f>I395-N395</f>
        <v/>
      </c>
      <c r="Q395" s="5">
        <f>IF(G395&gt;기준일,1,0)</f>
        <v/>
      </c>
      <c r="R395" s="5">
        <f>IF(G395&lt;=기준일,1,0)</f>
        <v/>
      </c>
      <c r="S395" s="2">
        <f>J395*H395</f>
        <v/>
      </c>
      <c r="T395" s="5">
        <f>IF(AND(F395&gt;=표본시작,F395&lt;=표본종료),1,0)</f>
        <v/>
      </c>
      <c r="U395" s="5">
        <f>IF(AND(G395&gt;=조회시작,G395&lt;=조회종료),1,0)</f>
        <v/>
      </c>
    </row>
    <row r="396">
      <c r="A396" s="2">
        <f>ROW()-1</f>
        <v/>
      </c>
      <c r="B396" s="5">
        <f>INDEX(상호범위,D396)</f>
        <v/>
      </c>
      <c r="C396" s="5">
        <f>INDEX(플랫폼명범위,E396)</f>
        <v/>
      </c>
      <c r="D396" s="2">
        <f>MOD(INT((A396-1)/4),8)+1</f>
        <v/>
      </c>
      <c r="E396" s="2">
        <f>MOD(A396-1,4)+1</f>
        <v/>
      </c>
      <c r="F396" s="20">
        <f>축시작+INT((A396-1)/32)</f>
        <v/>
      </c>
      <c r="G396" s="20">
        <f>F396+H396</f>
        <v/>
      </c>
      <c r="H396" s="5" t="n">
        <v>5</v>
      </c>
      <c r="I396" s="2">
        <f>ROUND(INDEX(가맹점!$P$2:$P$9,D396)*INDEX(가맹점!$J$2:$M$9,D396,E396),0)</f>
        <v/>
      </c>
      <c r="J396" s="2">
        <f>ROUND(I396*(1-할인율),0)</f>
        <v/>
      </c>
      <c r="K396" s="2">
        <f>ROUNDDOWN(I396*할인율,0)</f>
        <v/>
      </c>
      <c r="L396" s="2">
        <f>ROUND(I396*INDEX(미지급률범위,E396),0)</f>
        <v/>
      </c>
      <c r="M396" s="2">
        <f>ROUND(I396*INDEX(과지급률범위,E396),0)</f>
        <v/>
      </c>
      <c r="N396" s="2">
        <f>MAX(0,L396-M396)</f>
        <v/>
      </c>
      <c r="O396" s="2">
        <f>K396-N396</f>
        <v/>
      </c>
      <c r="P396" s="2">
        <f>I396-N396</f>
        <v/>
      </c>
      <c r="Q396" s="5">
        <f>IF(G396&gt;기준일,1,0)</f>
        <v/>
      </c>
      <c r="R396" s="5">
        <f>IF(G396&lt;=기준일,1,0)</f>
        <v/>
      </c>
      <c r="S396" s="2">
        <f>J396*H396</f>
        <v/>
      </c>
      <c r="T396" s="5">
        <f>IF(AND(F396&gt;=표본시작,F396&lt;=표본종료),1,0)</f>
        <v/>
      </c>
      <c r="U396" s="5">
        <f>IF(AND(G396&gt;=조회시작,G396&lt;=조회종료),1,0)</f>
        <v/>
      </c>
    </row>
    <row r="397">
      <c r="A397" s="2">
        <f>ROW()-1</f>
        <v/>
      </c>
      <c r="B397" s="5">
        <f>INDEX(상호범위,D397)</f>
        <v/>
      </c>
      <c r="C397" s="5">
        <f>INDEX(플랫폼명범위,E397)</f>
        <v/>
      </c>
      <c r="D397" s="2">
        <f>MOD(INT((A397-1)/4),8)+1</f>
        <v/>
      </c>
      <c r="E397" s="2">
        <f>MOD(A397-1,4)+1</f>
        <v/>
      </c>
      <c r="F397" s="20">
        <f>축시작+INT((A397-1)/32)</f>
        <v/>
      </c>
      <c r="G397" s="20">
        <f>F397+H397</f>
        <v/>
      </c>
      <c r="H397" s="5" t="n">
        <v>4</v>
      </c>
      <c r="I397" s="2">
        <f>ROUND(INDEX(가맹점!$P$2:$P$9,D397)*INDEX(가맹점!$J$2:$M$9,D397,E397),0)</f>
        <v/>
      </c>
      <c r="J397" s="2">
        <f>ROUND(I397*(1-할인율),0)</f>
        <v/>
      </c>
      <c r="K397" s="2">
        <f>ROUNDDOWN(I397*할인율,0)</f>
        <v/>
      </c>
      <c r="L397" s="2">
        <f>ROUND(I397*INDEX(미지급률범위,E397),0)</f>
        <v/>
      </c>
      <c r="M397" s="2">
        <f>ROUND(I397*INDEX(과지급률범위,E397),0)</f>
        <v/>
      </c>
      <c r="N397" s="2">
        <f>MAX(0,L397-M397)</f>
        <v/>
      </c>
      <c r="O397" s="2">
        <f>K397-N397</f>
        <v/>
      </c>
      <c r="P397" s="2">
        <f>I397-N397</f>
        <v/>
      </c>
      <c r="Q397" s="5">
        <f>IF(G397&gt;기준일,1,0)</f>
        <v/>
      </c>
      <c r="R397" s="5">
        <f>IF(G397&lt;=기준일,1,0)</f>
        <v/>
      </c>
      <c r="S397" s="2">
        <f>J397*H397</f>
        <v/>
      </c>
      <c r="T397" s="5">
        <f>IF(AND(F397&gt;=표본시작,F397&lt;=표본종료),1,0)</f>
        <v/>
      </c>
      <c r="U397" s="5">
        <f>IF(AND(G397&gt;=조회시작,G397&lt;=조회종료),1,0)</f>
        <v/>
      </c>
    </row>
    <row r="398">
      <c r="A398" s="2">
        <f>ROW()-1</f>
        <v/>
      </c>
      <c r="B398" s="5">
        <f>INDEX(상호범위,D398)</f>
        <v/>
      </c>
      <c r="C398" s="5">
        <f>INDEX(플랫폼명범위,E398)</f>
        <v/>
      </c>
      <c r="D398" s="2">
        <f>MOD(INT((A398-1)/4),8)+1</f>
        <v/>
      </c>
      <c r="E398" s="2">
        <f>MOD(A398-1,4)+1</f>
        <v/>
      </c>
      <c r="F398" s="20">
        <f>축시작+INT((A398-1)/32)</f>
        <v/>
      </c>
      <c r="G398" s="20">
        <f>F398+H398</f>
        <v/>
      </c>
      <c r="H398" s="5" t="n">
        <v>1</v>
      </c>
      <c r="I398" s="2">
        <f>ROUND(INDEX(가맹점!$P$2:$P$9,D398)*INDEX(가맹점!$J$2:$M$9,D398,E398),0)</f>
        <v/>
      </c>
      <c r="J398" s="2">
        <f>ROUND(I398*(1-할인율),0)</f>
        <v/>
      </c>
      <c r="K398" s="2">
        <f>ROUNDDOWN(I398*할인율,0)</f>
        <v/>
      </c>
      <c r="L398" s="2">
        <f>ROUND(I398*INDEX(미지급률범위,E398),0)</f>
        <v/>
      </c>
      <c r="M398" s="2">
        <f>ROUND(I398*INDEX(과지급률범위,E398),0)</f>
        <v/>
      </c>
      <c r="N398" s="2">
        <f>MAX(0,L398-M398)</f>
        <v/>
      </c>
      <c r="O398" s="2">
        <f>K398-N398</f>
        <v/>
      </c>
      <c r="P398" s="2">
        <f>I398-N398</f>
        <v/>
      </c>
      <c r="Q398" s="5">
        <f>IF(G398&gt;기준일,1,0)</f>
        <v/>
      </c>
      <c r="R398" s="5">
        <f>IF(G398&lt;=기준일,1,0)</f>
        <v/>
      </c>
      <c r="S398" s="2">
        <f>J398*H398</f>
        <v/>
      </c>
      <c r="T398" s="5">
        <f>IF(AND(F398&gt;=표본시작,F398&lt;=표본종료),1,0)</f>
        <v/>
      </c>
      <c r="U398" s="5">
        <f>IF(AND(G398&gt;=조회시작,G398&lt;=조회종료),1,0)</f>
        <v/>
      </c>
    </row>
    <row r="399">
      <c r="A399" s="2">
        <f>ROW()-1</f>
        <v/>
      </c>
      <c r="B399" s="5">
        <f>INDEX(상호범위,D399)</f>
        <v/>
      </c>
      <c r="C399" s="5">
        <f>INDEX(플랫폼명범위,E399)</f>
        <v/>
      </c>
      <c r="D399" s="2">
        <f>MOD(INT((A399-1)/4),8)+1</f>
        <v/>
      </c>
      <c r="E399" s="2">
        <f>MOD(A399-1,4)+1</f>
        <v/>
      </c>
      <c r="F399" s="20">
        <f>축시작+INT((A399-1)/32)</f>
        <v/>
      </c>
      <c r="G399" s="20">
        <f>F399+H399</f>
        <v/>
      </c>
      <c r="H399" s="5" t="n">
        <v>8</v>
      </c>
      <c r="I399" s="2">
        <f>ROUND(INDEX(가맹점!$P$2:$P$9,D399)*INDEX(가맹점!$J$2:$M$9,D399,E399),0)</f>
        <v/>
      </c>
      <c r="J399" s="2">
        <f>ROUND(I399*(1-할인율),0)</f>
        <v/>
      </c>
      <c r="K399" s="2">
        <f>ROUNDDOWN(I399*할인율,0)</f>
        <v/>
      </c>
      <c r="L399" s="2">
        <f>ROUND(I399*INDEX(미지급률범위,E399),0)</f>
        <v/>
      </c>
      <c r="M399" s="2">
        <f>ROUND(I399*INDEX(과지급률범위,E399),0)</f>
        <v/>
      </c>
      <c r="N399" s="2">
        <f>MAX(0,L399-M399)</f>
        <v/>
      </c>
      <c r="O399" s="2">
        <f>K399-N399</f>
        <v/>
      </c>
      <c r="P399" s="2">
        <f>I399-N399</f>
        <v/>
      </c>
      <c r="Q399" s="5">
        <f>IF(G399&gt;기준일,1,0)</f>
        <v/>
      </c>
      <c r="R399" s="5">
        <f>IF(G399&lt;=기준일,1,0)</f>
        <v/>
      </c>
      <c r="S399" s="2">
        <f>J399*H399</f>
        <v/>
      </c>
      <c r="T399" s="5">
        <f>IF(AND(F399&gt;=표본시작,F399&lt;=표본종료),1,0)</f>
        <v/>
      </c>
      <c r="U399" s="5">
        <f>IF(AND(G399&gt;=조회시작,G399&lt;=조회종료),1,0)</f>
        <v/>
      </c>
    </row>
    <row r="400">
      <c r="A400" s="2">
        <f>ROW()-1</f>
        <v/>
      </c>
      <c r="B400" s="5">
        <f>INDEX(상호범위,D400)</f>
        <v/>
      </c>
      <c r="C400" s="5">
        <f>INDEX(플랫폼명범위,E400)</f>
        <v/>
      </c>
      <c r="D400" s="2">
        <f>MOD(INT((A400-1)/4),8)+1</f>
        <v/>
      </c>
      <c r="E400" s="2">
        <f>MOD(A400-1,4)+1</f>
        <v/>
      </c>
      <c r="F400" s="20">
        <f>축시작+INT((A400-1)/32)</f>
        <v/>
      </c>
      <c r="G400" s="20">
        <f>F400+H400</f>
        <v/>
      </c>
      <c r="H400" s="5" t="n">
        <v>3</v>
      </c>
      <c r="I400" s="2">
        <f>ROUND(INDEX(가맹점!$P$2:$P$9,D400)*INDEX(가맹점!$J$2:$M$9,D400,E400),0)</f>
        <v/>
      </c>
      <c r="J400" s="2">
        <f>ROUND(I400*(1-할인율),0)</f>
        <v/>
      </c>
      <c r="K400" s="2">
        <f>ROUNDDOWN(I400*할인율,0)</f>
        <v/>
      </c>
      <c r="L400" s="2">
        <f>ROUND(I400*INDEX(미지급률범위,E400),0)</f>
        <v/>
      </c>
      <c r="M400" s="2">
        <f>ROUND(I400*INDEX(과지급률범위,E400),0)</f>
        <v/>
      </c>
      <c r="N400" s="2">
        <f>MAX(0,L400-M400)</f>
        <v/>
      </c>
      <c r="O400" s="2">
        <f>K400-N400</f>
        <v/>
      </c>
      <c r="P400" s="2">
        <f>I400-N400</f>
        <v/>
      </c>
      <c r="Q400" s="5">
        <f>IF(G400&gt;기준일,1,0)</f>
        <v/>
      </c>
      <c r="R400" s="5">
        <f>IF(G400&lt;=기준일,1,0)</f>
        <v/>
      </c>
      <c r="S400" s="2">
        <f>J400*H400</f>
        <v/>
      </c>
      <c r="T400" s="5">
        <f>IF(AND(F400&gt;=표본시작,F400&lt;=표본종료),1,0)</f>
        <v/>
      </c>
      <c r="U400" s="5">
        <f>IF(AND(G400&gt;=조회시작,G400&lt;=조회종료),1,0)</f>
        <v/>
      </c>
    </row>
    <row r="401">
      <c r="A401" s="2">
        <f>ROW()-1</f>
        <v/>
      </c>
      <c r="B401" s="5">
        <f>INDEX(상호범위,D401)</f>
        <v/>
      </c>
      <c r="C401" s="5">
        <f>INDEX(플랫폼명범위,E401)</f>
        <v/>
      </c>
      <c r="D401" s="2">
        <f>MOD(INT((A401-1)/4),8)+1</f>
        <v/>
      </c>
      <c r="E401" s="2">
        <f>MOD(A401-1,4)+1</f>
        <v/>
      </c>
      <c r="F401" s="20">
        <f>축시작+INT((A401-1)/32)</f>
        <v/>
      </c>
      <c r="G401" s="20">
        <f>F401+H401</f>
        <v/>
      </c>
      <c r="H401" s="5" t="n">
        <v>4</v>
      </c>
      <c r="I401" s="2">
        <f>ROUND(INDEX(가맹점!$P$2:$P$9,D401)*INDEX(가맹점!$J$2:$M$9,D401,E401),0)</f>
        <v/>
      </c>
      <c r="J401" s="2">
        <f>ROUND(I401*(1-할인율),0)</f>
        <v/>
      </c>
      <c r="K401" s="2">
        <f>ROUNDDOWN(I401*할인율,0)</f>
        <v/>
      </c>
      <c r="L401" s="2">
        <f>ROUND(I401*INDEX(미지급률범위,E401),0)</f>
        <v/>
      </c>
      <c r="M401" s="2">
        <f>ROUND(I401*INDEX(과지급률범위,E401),0)</f>
        <v/>
      </c>
      <c r="N401" s="2">
        <f>MAX(0,L401-M401)</f>
        <v/>
      </c>
      <c r="O401" s="2">
        <f>K401-N401</f>
        <v/>
      </c>
      <c r="P401" s="2">
        <f>I401-N401</f>
        <v/>
      </c>
      <c r="Q401" s="5">
        <f>IF(G401&gt;기준일,1,0)</f>
        <v/>
      </c>
      <c r="R401" s="5">
        <f>IF(G401&lt;=기준일,1,0)</f>
        <v/>
      </c>
      <c r="S401" s="2">
        <f>J401*H401</f>
        <v/>
      </c>
      <c r="T401" s="5">
        <f>IF(AND(F401&gt;=표본시작,F401&lt;=표본종료),1,0)</f>
        <v/>
      </c>
      <c r="U401" s="5">
        <f>IF(AND(G401&gt;=조회시작,G401&lt;=조회종료),1,0)</f>
        <v/>
      </c>
    </row>
    <row r="402">
      <c r="A402" s="2">
        <f>ROW()-1</f>
        <v/>
      </c>
      <c r="B402" s="5">
        <f>INDEX(상호범위,D402)</f>
        <v/>
      </c>
      <c r="C402" s="5">
        <f>INDEX(플랫폼명범위,E402)</f>
        <v/>
      </c>
      <c r="D402" s="2">
        <f>MOD(INT((A402-1)/4),8)+1</f>
        <v/>
      </c>
      <c r="E402" s="2">
        <f>MOD(A402-1,4)+1</f>
        <v/>
      </c>
      <c r="F402" s="20">
        <f>축시작+INT((A402-1)/32)</f>
        <v/>
      </c>
      <c r="G402" s="20">
        <f>F402+H402</f>
        <v/>
      </c>
      <c r="H402" s="5" t="n">
        <v>6</v>
      </c>
      <c r="I402" s="2">
        <f>ROUND(INDEX(가맹점!$P$2:$P$9,D402)*INDEX(가맹점!$J$2:$M$9,D402,E402),0)</f>
        <v/>
      </c>
      <c r="J402" s="2">
        <f>ROUND(I402*(1-할인율),0)</f>
        <v/>
      </c>
      <c r="K402" s="2">
        <f>ROUNDDOWN(I402*할인율,0)</f>
        <v/>
      </c>
      <c r="L402" s="2">
        <f>ROUND(I402*INDEX(미지급률범위,E402),0)</f>
        <v/>
      </c>
      <c r="M402" s="2">
        <f>ROUND(I402*INDEX(과지급률범위,E402),0)</f>
        <v/>
      </c>
      <c r="N402" s="2">
        <f>MAX(0,L402-M402)</f>
        <v/>
      </c>
      <c r="O402" s="2">
        <f>K402-N402</f>
        <v/>
      </c>
      <c r="P402" s="2">
        <f>I402-N402</f>
        <v/>
      </c>
      <c r="Q402" s="5">
        <f>IF(G402&gt;기준일,1,0)</f>
        <v/>
      </c>
      <c r="R402" s="5">
        <f>IF(G402&lt;=기준일,1,0)</f>
        <v/>
      </c>
      <c r="S402" s="2">
        <f>J402*H402</f>
        <v/>
      </c>
      <c r="T402" s="5">
        <f>IF(AND(F402&gt;=표본시작,F402&lt;=표본종료),1,0)</f>
        <v/>
      </c>
      <c r="U402" s="5">
        <f>IF(AND(G402&gt;=조회시작,G402&lt;=조회종료),1,0)</f>
        <v/>
      </c>
    </row>
    <row r="403">
      <c r="A403" s="2">
        <f>ROW()-1</f>
        <v/>
      </c>
      <c r="B403" s="5">
        <f>INDEX(상호범위,D403)</f>
        <v/>
      </c>
      <c r="C403" s="5">
        <f>INDEX(플랫폼명범위,E403)</f>
        <v/>
      </c>
      <c r="D403" s="2">
        <f>MOD(INT((A403-1)/4),8)+1</f>
        <v/>
      </c>
      <c r="E403" s="2">
        <f>MOD(A403-1,4)+1</f>
        <v/>
      </c>
      <c r="F403" s="20">
        <f>축시작+INT((A403-1)/32)</f>
        <v/>
      </c>
      <c r="G403" s="20">
        <f>F403+H403</f>
        <v/>
      </c>
      <c r="H403" s="5" t="n">
        <v>7</v>
      </c>
      <c r="I403" s="2">
        <f>ROUND(INDEX(가맹점!$P$2:$P$9,D403)*INDEX(가맹점!$J$2:$M$9,D403,E403),0)</f>
        <v/>
      </c>
      <c r="J403" s="2">
        <f>ROUND(I403*(1-할인율),0)</f>
        <v/>
      </c>
      <c r="K403" s="2">
        <f>ROUNDDOWN(I403*할인율,0)</f>
        <v/>
      </c>
      <c r="L403" s="2">
        <f>ROUND(I403*INDEX(미지급률범위,E403),0)</f>
        <v/>
      </c>
      <c r="M403" s="2">
        <f>ROUND(I403*INDEX(과지급률범위,E403),0)</f>
        <v/>
      </c>
      <c r="N403" s="2">
        <f>MAX(0,L403-M403)</f>
        <v/>
      </c>
      <c r="O403" s="2">
        <f>K403-N403</f>
        <v/>
      </c>
      <c r="P403" s="2">
        <f>I403-N403</f>
        <v/>
      </c>
      <c r="Q403" s="5">
        <f>IF(G403&gt;기준일,1,0)</f>
        <v/>
      </c>
      <c r="R403" s="5">
        <f>IF(G403&lt;=기준일,1,0)</f>
        <v/>
      </c>
      <c r="S403" s="2">
        <f>J403*H403</f>
        <v/>
      </c>
      <c r="T403" s="5">
        <f>IF(AND(F403&gt;=표본시작,F403&lt;=표본종료),1,0)</f>
        <v/>
      </c>
      <c r="U403" s="5">
        <f>IF(AND(G403&gt;=조회시작,G403&lt;=조회종료),1,0)</f>
        <v/>
      </c>
    </row>
    <row r="404">
      <c r="A404" s="2">
        <f>ROW()-1</f>
        <v/>
      </c>
      <c r="B404" s="5">
        <f>INDEX(상호범위,D404)</f>
        <v/>
      </c>
      <c r="C404" s="5">
        <f>INDEX(플랫폼명범위,E404)</f>
        <v/>
      </c>
      <c r="D404" s="2">
        <f>MOD(INT((A404-1)/4),8)+1</f>
        <v/>
      </c>
      <c r="E404" s="2">
        <f>MOD(A404-1,4)+1</f>
        <v/>
      </c>
      <c r="F404" s="20">
        <f>축시작+INT((A404-1)/32)</f>
        <v/>
      </c>
      <c r="G404" s="20">
        <f>F404+H404</f>
        <v/>
      </c>
      <c r="H404" s="5" t="n">
        <v>5</v>
      </c>
      <c r="I404" s="2">
        <f>ROUND(INDEX(가맹점!$P$2:$P$9,D404)*INDEX(가맹점!$J$2:$M$9,D404,E404),0)</f>
        <v/>
      </c>
      <c r="J404" s="2">
        <f>ROUND(I404*(1-할인율),0)</f>
        <v/>
      </c>
      <c r="K404" s="2">
        <f>ROUNDDOWN(I404*할인율,0)</f>
        <v/>
      </c>
      <c r="L404" s="2">
        <f>ROUND(I404*INDEX(미지급률범위,E404),0)</f>
        <v/>
      </c>
      <c r="M404" s="2">
        <f>ROUND(I404*INDEX(과지급률범위,E404),0)</f>
        <v/>
      </c>
      <c r="N404" s="2">
        <f>MAX(0,L404-M404)</f>
        <v/>
      </c>
      <c r="O404" s="2">
        <f>K404-N404</f>
        <v/>
      </c>
      <c r="P404" s="2">
        <f>I404-N404</f>
        <v/>
      </c>
      <c r="Q404" s="5">
        <f>IF(G404&gt;기준일,1,0)</f>
        <v/>
      </c>
      <c r="R404" s="5">
        <f>IF(G404&lt;=기준일,1,0)</f>
        <v/>
      </c>
      <c r="S404" s="2">
        <f>J404*H404</f>
        <v/>
      </c>
      <c r="T404" s="5">
        <f>IF(AND(F404&gt;=표본시작,F404&lt;=표본종료),1,0)</f>
        <v/>
      </c>
      <c r="U404" s="5">
        <f>IF(AND(G404&gt;=조회시작,G404&lt;=조회종료),1,0)</f>
        <v/>
      </c>
    </row>
    <row r="405">
      <c r="A405" s="2">
        <f>ROW()-1</f>
        <v/>
      </c>
      <c r="B405" s="5">
        <f>INDEX(상호범위,D405)</f>
        <v/>
      </c>
      <c r="C405" s="5">
        <f>INDEX(플랫폼명범위,E405)</f>
        <v/>
      </c>
      <c r="D405" s="2">
        <f>MOD(INT((A405-1)/4),8)+1</f>
        <v/>
      </c>
      <c r="E405" s="2">
        <f>MOD(A405-1,4)+1</f>
        <v/>
      </c>
      <c r="F405" s="20">
        <f>축시작+INT((A405-1)/32)</f>
        <v/>
      </c>
      <c r="G405" s="20">
        <f>F405+H405</f>
        <v/>
      </c>
      <c r="H405" s="5" t="n">
        <v>6</v>
      </c>
      <c r="I405" s="2">
        <f>ROUND(INDEX(가맹점!$P$2:$P$9,D405)*INDEX(가맹점!$J$2:$M$9,D405,E405),0)</f>
        <v/>
      </c>
      <c r="J405" s="2">
        <f>ROUND(I405*(1-할인율),0)</f>
        <v/>
      </c>
      <c r="K405" s="2">
        <f>ROUNDDOWN(I405*할인율,0)</f>
        <v/>
      </c>
      <c r="L405" s="2">
        <f>ROUND(I405*INDEX(미지급률범위,E405),0)</f>
        <v/>
      </c>
      <c r="M405" s="2">
        <f>ROUND(I405*INDEX(과지급률범위,E405),0)</f>
        <v/>
      </c>
      <c r="N405" s="2">
        <f>MAX(0,L405-M405)</f>
        <v/>
      </c>
      <c r="O405" s="2">
        <f>K405-N405</f>
        <v/>
      </c>
      <c r="P405" s="2">
        <f>I405-N405</f>
        <v/>
      </c>
      <c r="Q405" s="5">
        <f>IF(G405&gt;기준일,1,0)</f>
        <v/>
      </c>
      <c r="R405" s="5">
        <f>IF(G405&lt;=기준일,1,0)</f>
        <v/>
      </c>
      <c r="S405" s="2">
        <f>J405*H405</f>
        <v/>
      </c>
      <c r="T405" s="5">
        <f>IF(AND(F405&gt;=표본시작,F405&lt;=표본종료),1,0)</f>
        <v/>
      </c>
      <c r="U405" s="5">
        <f>IF(AND(G405&gt;=조회시작,G405&lt;=조회종료),1,0)</f>
        <v/>
      </c>
    </row>
    <row r="406">
      <c r="A406" s="2">
        <f>ROW()-1</f>
        <v/>
      </c>
      <c r="B406" s="5">
        <f>INDEX(상호범위,D406)</f>
        <v/>
      </c>
      <c r="C406" s="5">
        <f>INDEX(플랫폼명범위,E406)</f>
        <v/>
      </c>
      <c r="D406" s="2">
        <f>MOD(INT((A406-1)/4),8)+1</f>
        <v/>
      </c>
      <c r="E406" s="2">
        <f>MOD(A406-1,4)+1</f>
        <v/>
      </c>
      <c r="F406" s="20">
        <f>축시작+INT((A406-1)/32)</f>
        <v/>
      </c>
      <c r="G406" s="20">
        <f>F406+H406</f>
        <v/>
      </c>
      <c r="H406" s="5" t="n">
        <v>1</v>
      </c>
      <c r="I406" s="2">
        <f>ROUND(INDEX(가맹점!$P$2:$P$9,D406)*INDEX(가맹점!$J$2:$M$9,D406,E406),0)</f>
        <v/>
      </c>
      <c r="J406" s="2">
        <f>ROUND(I406*(1-할인율),0)</f>
        <v/>
      </c>
      <c r="K406" s="2">
        <f>ROUNDDOWN(I406*할인율,0)</f>
        <v/>
      </c>
      <c r="L406" s="2">
        <f>ROUND(I406*INDEX(미지급률범위,E406),0)</f>
        <v/>
      </c>
      <c r="M406" s="2">
        <f>ROUND(I406*INDEX(과지급률범위,E406),0)</f>
        <v/>
      </c>
      <c r="N406" s="2">
        <f>MAX(0,L406-M406)</f>
        <v/>
      </c>
      <c r="O406" s="2">
        <f>K406-N406</f>
        <v/>
      </c>
      <c r="P406" s="2">
        <f>I406-N406</f>
        <v/>
      </c>
      <c r="Q406" s="5">
        <f>IF(G406&gt;기준일,1,0)</f>
        <v/>
      </c>
      <c r="R406" s="5">
        <f>IF(G406&lt;=기준일,1,0)</f>
        <v/>
      </c>
      <c r="S406" s="2">
        <f>J406*H406</f>
        <v/>
      </c>
      <c r="T406" s="5">
        <f>IF(AND(F406&gt;=표본시작,F406&lt;=표본종료),1,0)</f>
        <v/>
      </c>
      <c r="U406" s="5">
        <f>IF(AND(G406&gt;=조회시작,G406&lt;=조회종료),1,0)</f>
        <v/>
      </c>
    </row>
    <row r="407">
      <c r="A407" s="2">
        <f>ROW()-1</f>
        <v/>
      </c>
      <c r="B407" s="5">
        <f>INDEX(상호범위,D407)</f>
        <v/>
      </c>
      <c r="C407" s="5">
        <f>INDEX(플랫폼명범위,E407)</f>
        <v/>
      </c>
      <c r="D407" s="2">
        <f>MOD(INT((A407-1)/4),8)+1</f>
        <v/>
      </c>
      <c r="E407" s="2">
        <f>MOD(A407-1,4)+1</f>
        <v/>
      </c>
      <c r="F407" s="20">
        <f>축시작+INT((A407-1)/32)</f>
        <v/>
      </c>
      <c r="G407" s="20">
        <f>F407+H407</f>
        <v/>
      </c>
      <c r="H407" s="5" t="n">
        <v>4</v>
      </c>
      <c r="I407" s="2">
        <f>ROUND(INDEX(가맹점!$P$2:$P$9,D407)*INDEX(가맹점!$J$2:$M$9,D407,E407),0)</f>
        <v/>
      </c>
      <c r="J407" s="2">
        <f>ROUND(I407*(1-할인율),0)</f>
        <v/>
      </c>
      <c r="K407" s="2">
        <f>ROUNDDOWN(I407*할인율,0)</f>
        <v/>
      </c>
      <c r="L407" s="2">
        <f>ROUND(I407*INDEX(미지급률범위,E407),0)</f>
        <v/>
      </c>
      <c r="M407" s="2">
        <f>ROUND(I407*INDEX(과지급률범위,E407),0)</f>
        <v/>
      </c>
      <c r="N407" s="2">
        <f>MAX(0,L407-M407)</f>
        <v/>
      </c>
      <c r="O407" s="2">
        <f>K407-N407</f>
        <v/>
      </c>
      <c r="P407" s="2">
        <f>I407-N407</f>
        <v/>
      </c>
      <c r="Q407" s="5">
        <f>IF(G407&gt;기준일,1,0)</f>
        <v/>
      </c>
      <c r="R407" s="5">
        <f>IF(G407&lt;=기준일,1,0)</f>
        <v/>
      </c>
      <c r="S407" s="2">
        <f>J407*H407</f>
        <v/>
      </c>
      <c r="T407" s="5">
        <f>IF(AND(F407&gt;=표본시작,F407&lt;=표본종료),1,0)</f>
        <v/>
      </c>
      <c r="U407" s="5">
        <f>IF(AND(G407&gt;=조회시작,G407&lt;=조회종료),1,0)</f>
        <v/>
      </c>
    </row>
    <row r="408">
      <c r="A408" s="2">
        <f>ROW()-1</f>
        <v/>
      </c>
      <c r="B408" s="5">
        <f>INDEX(상호범위,D408)</f>
        <v/>
      </c>
      <c r="C408" s="5">
        <f>INDEX(플랫폼명범위,E408)</f>
        <v/>
      </c>
      <c r="D408" s="2">
        <f>MOD(INT((A408-1)/4),8)+1</f>
        <v/>
      </c>
      <c r="E408" s="2">
        <f>MOD(A408-1,4)+1</f>
        <v/>
      </c>
      <c r="F408" s="20">
        <f>축시작+INT((A408-1)/32)</f>
        <v/>
      </c>
      <c r="G408" s="20">
        <f>F408+H408</f>
        <v/>
      </c>
      <c r="H408" s="5" t="n">
        <v>3</v>
      </c>
      <c r="I408" s="2">
        <f>ROUND(INDEX(가맹점!$P$2:$P$9,D408)*INDEX(가맹점!$J$2:$M$9,D408,E408),0)</f>
        <v/>
      </c>
      <c r="J408" s="2">
        <f>ROUND(I408*(1-할인율),0)</f>
        <v/>
      </c>
      <c r="K408" s="2">
        <f>ROUNDDOWN(I408*할인율,0)</f>
        <v/>
      </c>
      <c r="L408" s="2">
        <f>ROUND(I408*INDEX(미지급률범위,E408),0)</f>
        <v/>
      </c>
      <c r="M408" s="2">
        <f>ROUND(I408*INDEX(과지급률범위,E408),0)</f>
        <v/>
      </c>
      <c r="N408" s="2">
        <f>MAX(0,L408-M408)</f>
        <v/>
      </c>
      <c r="O408" s="2">
        <f>K408-N408</f>
        <v/>
      </c>
      <c r="P408" s="2">
        <f>I408-N408</f>
        <v/>
      </c>
      <c r="Q408" s="5">
        <f>IF(G408&gt;기준일,1,0)</f>
        <v/>
      </c>
      <c r="R408" s="5">
        <f>IF(G408&lt;=기준일,1,0)</f>
        <v/>
      </c>
      <c r="S408" s="2">
        <f>J408*H408</f>
        <v/>
      </c>
      <c r="T408" s="5">
        <f>IF(AND(F408&gt;=표본시작,F408&lt;=표본종료),1,0)</f>
        <v/>
      </c>
      <c r="U408" s="5">
        <f>IF(AND(G408&gt;=조회시작,G408&lt;=조회종료),1,0)</f>
        <v/>
      </c>
    </row>
    <row r="409">
      <c r="A409" s="2">
        <f>ROW()-1</f>
        <v/>
      </c>
      <c r="B409" s="5">
        <f>INDEX(상호범위,D409)</f>
        <v/>
      </c>
      <c r="C409" s="5">
        <f>INDEX(플랫폼명범위,E409)</f>
        <v/>
      </c>
      <c r="D409" s="2">
        <f>MOD(INT((A409-1)/4),8)+1</f>
        <v/>
      </c>
      <c r="E409" s="2">
        <f>MOD(A409-1,4)+1</f>
        <v/>
      </c>
      <c r="F409" s="20">
        <f>축시작+INT((A409-1)/32)</f>
        <v/>
      </c>
      <c r="G409" s="20">
        <f>F409+H409</f>
        <v/>
      </c>
      <c r="H409" s="5" t="n">
        <v>10</v>
      </c>
      <c r="I409" s="2">
        <f>ROUND(INDEX(가맹점!$P$2:$P$9,D409)*INDEX(가맹점!$J$2:$M$9,D409,E409),0)</f>
        <v/>
      </c>
      <c r="J409" s="2">
        <f>ROUND(I409*(1-할인율),0)</f>
        <v/>
      </c>
      <c r="K409" s="2">
        <f>ROUNDDOWN(I409*할인율,0)</f>
        <v/>
      </c>
      <c r="L409" s="2">
        <f>ROUND(I409*INDEX(미지급률범위,E409),0)</f>
        <v/>
      </c>
      <c r="M409" s="2">
        <f>ROUND(I409*INDEX(과지급률범위,E409),0)</f>
        <v/>
      </c>
      <c r="N409" s="2">
        <f>MAX(0,L409-M409)</f>
        <v/>
      </c>
      <c r="O409" s="2">
        <f>K409-N409</f>
        <v/>
      </c>
      <c r="P409" s="2">
        <f>I409-N409</f>
        <v/>
      </c>
      <c r="Q409" s="5">
        <f>IF(G409&gt;기준일,1,0)</f>
        <v/>
      </c>
      <c r="R409" s="5">
        <f>IF(G409&lt;=기준일,1,0)</f>
        <v/>
      </c>
      <c r="S409" s="2">
        <f>J409*H409</f>
        <v/>
      </c>
      <c r="T409" s="5">
        <f>IF(AND(F409&gt;=표본시작,F409&lt;=표본종료),1,0)</f>
        <v/>
      </c>
      <c r="U409" s="5">
        <f>IF(AND(G409&gt;=조회시작,G409&lt;=조회종료),1,0)</f>
        <v/>
      </c>
    </row>
    <row r="410">
      <c r="A410" s="2">
        <f>ROW()-1</f>
        <v/>
      </c>
      <c r="B410" s="5">
        <f>INDEX(상호범위,D410)</f>
        <v/>
      </c>
      <c r="C410" s="5">
        <f>INDEX(플랫폼명범위,E410)</f>
        <v/>
      </c>
      <c r="D410" s="2">
        <f>MOD(INT((A410-1)/4),8)+1</f>
        <v/>
      </c>
      <c r="E410" s="2">
        <f>MOD(A410-1,4)+1</f>
        <v/>
      </c>
      <c r="F410" s="20">
        <f>축시작+INT((A410-1)/32)</f>
        <v/>
      </c>
      <c r="G410" s="20">
        <f>F410+H410</f>
        <v/>
      </c>
      <c r="H410" s="5" t="n">
        <v>1</v>
      </c>
      <c r="I410" s="2">
        <f>ROUND(INDEX(가맹점!$P$2:$P$9,D410)*INDEX(가맹점!$J$2:$M$9,D410,E410),0)</f>
        <v/>
      </c>
      <c r="J410" s="2">
        <f>ROUND(I410*(1-할인율),0)</f>
        <v/>
      </c>
      <c r="K410" s="2">
        <f>ROUNDDOWN(I410*할인율,0)</f>
        <v/>
      </c>
      <c r="L410" s="2">
        <f>ROUND(I410*INDEX(미지급률범위,E410),0)</f>
        <v/>
      </c>
      <c r="M410" s="2">
        <f>ROUND(I410*INDEX(과지급률범위,E410),0)</f>
        <v/>
      </c>
      <c r="N410" s="2">
        <f>MAX(0,L410-M410)</f>
        <v/>
      </c>
      <c r="O410" s="2">
        <f>K410-N410</f>
        <v/>
      </c>
      <c r="P410" s="2">
        <f>I410-N410</f>
        <v/>
      </c>
      <c r="Q410" s="5">
        <f>IF(G410&gt;기준일,1,0)</f>
        <v/>
      </c>
      <c r="R410" s="5">
        <f>IF(G410&lt;=기준일,1,0)</f>
        <v/>
      </c>
      <c r="S410" s="2">
        <f>J410*H410</f>
        <v/>
      </c>
      <c r="T410" s="5">
        <f>IF(AND(F410&gt;=표본시작,F410&lt;=표본종료),1,0)</f>
        <v/>
      </c>
      <c r="U410" s="5">
        <f>IF(AND(G410&gt;=조회시작,G410&lt;=조회종료),1,0)</f>
        <v/>
      </c>
    </row>
    <row r="411">
      <c r="A411" s="2">
        <f>ROW()-1</f>
        <v/>
      </c>
      <c r="B411" s="5">
        <f>INDEX(상호범위,D411)</f>
        <v/>
      </c>
      <c r="C411" s="5">
        <f>INDEX(플랫폼명범위,E411)</f>
        <v/>
      </c>
      <c r="D411" s="2">
        <f>MOD(INT((A411-1)/4),8)+1</f>
        <v/>
      </c>
      <c r="E411" s="2">
        <f>MOD(A411-1,4)+1</f>
        <v/>
      </c>
      <c r="F411" s="20">
        <f>축시작+INT((A411-1)/32)</f>
        <v/>
      </c>
      <c r="G411" s="20">
        <f>F411+H411</f>
        <v/>
      </c>
      <c r="H411" s="5" t="n">
        <v>2</v>
      </c>
      <c r="I411" s="2">
        <f>ROUND(INDEX(가맹점!$P$2:$P$9,D411)*INDEX(가맹점!$J$2:$M$9,D411,E411),0)</f>
        <v/>
      </c>
      <c r="J411" s="2">
        <f>ROUND(I411*(1-할인율),0)</f>
        <v/>
      </c>
      <c r="K411" s="2">
        <f>ROUNDDOWN(I411*할인율,0)</f>
        <v/>
      </c>
      <c r="L411" s="2">
        <f>ROUND(I411*INDEX(미지급률범위,E411),0)</f>
        <v/>
      </c>
      <c r="M411" s="2">
        <f>ROUND(I411*INDEX(과지급률범위,E411),0)</f>
        <v/>
      </c>
      <c r="N411" s="2">
        <f>MAX(0,L411-M411)</f>
        <v/>
      </c>
      <c r="O411" s="2">
        <f>K411-N411</f>
        <v/>
      </c>
      <c r="P411" s="2">
        <f>I411-N411</f>
        <v/>
      </c>
      <c r="Q411" s="5">
        <f>IF(G411&gt;기준일,1,0)</f>
        <v/>
      </c>
      <c r="R411" s="5">
        <f>IF(G411&lt;=기준일,1,0)</f>
        <v/>
      </c>
      <c r="S411" s="2">
        <f>J411*H411</f>
        <v/>
      </c>
      <c r="T411" s="5">
        <f>IF(AND(F411&gt;=표본시작,F411&lt;=표본종료),1,0)</f>
        <v/>
      </c>
      <c r="U411" s="5">
        <f>IF(AND(G411&gt;=조회시작,G411&lt;=조회종료),1,0)</f>
        <v/>
      </c>
    </row>
    <row r="412">
      <c r="A412" s="2">
        <f>ROW()-1</f>
        <v/>
      </c>
      <c r="B412" s="5">
        <f>INDEX(상호범위,D412)</f>
        <v/>
      </c>
      <c r="C412" s="5">
        <f>INDEX(플랫폼명범위,E412)</f>
        <v/>
      </c>
      <c r="D412" s="2">
        <f>MOD(INT((A412-1)/4),8)+1</f>
        <v/>
      </c>
      <c r="E412" s="2">
        <f>MOD(A412-1,4)+1</f>
        <v/>
      </c>
      <c r="F412" s="20">
        <f>축시작+INT((A412-1)/32)</f>
        <v/>
      </c>
      <c r="G412" s="20">
        <f>F412+H412</f>
        <v/>
      </c>
      <c r="H412" s="5" t="n">
        <v>3</v>
      </c>
      <c r="I412" s="2">
        <f>ROUND(INDEX(가맹점!$P$2:$P$9,D412)*INDEX(가맹점!$J$2:$M$9,D412,E412),0)</f>
        <v/>
      </c>
      <c r="J412" s="2">
        <f>ROUND(I412*(1-할인율),0)</f>
        <v/>
      </c>
      <c r="K412" s="2">
        <f>ROUNDDOWN(I412*할인율,0)</f>
        <v/>
      </c>
      <c r="L412" s="2">
        <f>ROUND(I412*INDEX(미지급률범위,E412),0)</f>
        <v/>
      </c>
      <c r="M412" s="2">
        <f>ROUND(I412*INDEX(과지급률범위,E412),0)</f>
        <v/>
      </c>
      <c r="N412" s="2">
        <f>MAX(0,L412-M412)</f>
        <v/>
      </c>
      <c r="O412" s="2">
        <f>K412-N412</f>
        <v/>
      </c>
      <c r="P412" s="2">
        <f>I412-N412</f>
        <v/>
      </c>
      <c r="Q412" s="5">
        <f>IF(G412&gt;기준일,1,0)</f>
        <v/>
      </c>
      <c r="R412" s="5">
        <f>IF(G412&lt;=기준일,1,0)</f>
        <v/>
      </c>
      <c r="S412" s="2">
        <f>J412*H412</f>
        <v/>
      </c>
      <c r="T412" s="5">
        <f>IF(AND(F412&gt;=표본시작,F412&lt;=표본종료),1,0)</f>
        <v/>
      </c>
      <c r="U412" s="5">
        <f>IF(AND(G412&gt;=조회시작,G412&lt;=조회종료),1,0)</f>
        <v/>
      </c>
    </row>
    <row r="413">
      <c r="A413" s="2">
        <f>ROW()-1</f>
        <v/>
      </c>
      <c r="B413" s="5">
        <f>INDEX(상호범위,D413)</f>
        <v/>
      </c>
      <c r="C413" s="5">
        <f>INDEX(플랫폼명범위,E413)</f>
        <v/>
      </c>
      <c r="D413" s="2">
        <f>MOD(INT((A413-1)/4),8)+1</f>
        <v/>
      </c>
      <c r="E413" s="2">
        <f>MOD(A413-1,4)+1</f>
        <v/>
      </c>
      <c r="F413" s="20">
        <f>축시작+INT((A413-1)/32)</f>
        <v/>
      </c>
      <c r="G413" s="20">
        <f>F413+H413</f>
        <v/>
      </c>
      <c r="H413" s="5" t="n">
        <v>6</v>
      </c>
      <c r="I413" s="2">
        <f>ROUND(INDEX(가맹점!$P$2:$P$9,D413)*INDEX(가맹점!$J$2:$M$9,D413,E413),0)</f>
        <v/>
      </c>
      <c r="J413" s="2">
        <f>ROUND(I413*(1-할인율),0)</f>
        <v/>
      </c>
      <c r="K413" s="2">
        <f>ROUNDDOWN(I413*할인율,0)</f>
        <v/>
      </c>
      <c r="L413" s="2">
        <f>ROUND(I413*INDEX(미지급률범위,E413),0)</f>
        <v/>
      </c>
      <c r="M413" s="2">
        <f>ROUND(I413*INDEX(과지급률범위,E413),0)</f>
        <v/>
      </c>
      <c r="N413" s="2">
        <f>MAX(0,L413-M413)</f>
        <v/>
      </c>
      <c r="O413" s="2">
        <f>K413-N413</f>
        <v/>
      </c>
      <c r="P413" s="2">
        <f>I413-N413</f>
        <v/>
      </c>
      <c r="Q413" s="5">
        <f>IF(G413&gt;기준일,1,0)</f>
        <v/>
      </c>
      <c r="R413" s="5">
        <f>IF(G413&lt;=기준일,1,0)</f>
        <v/>
      </c>
      <c r="S413" s="2">
        <f>J413*H413</f>
        <v/>
      </c>
      <c r="T413" s="5">
        <f>IF(AND(F413&gt;=표본시작,F413&lt;=표본종료),1,0)</f>
        <v/>
      </c>
      <c r="U413" s="5">
        <f>IF(AND(G413&gt;=조회시작,G413&lt;=조회종료),1,0)</f>
        <v/>
      </c>
    </row>
    <row r="414">
      <c r="A414" s="2">
        <f>ROW()-1</f>
        <v/>
      </c>
      <c r="B414" s="5">
        <f>INDEX(상호범위,D414)</f>
        <v/>
      </c>
      <c r="C414" s="5">
        <f>INDEX(플랫폼명범위,E414)</f>
        <v/>
      </c>
      <c r="D414" s="2">
        <f>MOD(INT((A414-1)/4),8)+1</f>
        <v/>
      </c>
      <c r="E414" s="2">
        <f>MOD(A414-1,4)+1</f>
        <v/>
      </c>
      <c r="F414" s="20">
        <f>축시작+INT((A414-1)/32)</f>
        <v/>
      </c>
      <c r="G414" s="20">
        <f>F414+H414</f>
        <v/>
      </c>
      <c r="H414" s="5" t="n">
        <v>1</v>
      </c>
      <c r="I414" s="2">
        <f>ROUND(INDEX(가맹점!$P$2:$P$9,D414)*INDEX(가맹점!$J$2:$M$9,D414,E414),0)</f>
        <v/>
      </c>
      <c r="J414" s="2">
        <f>ROUND(I414*(1-할인율),0)</f>
        <v/>
      </c>
      <c r="K414" s="2">
        <f>ROUNDDOWN(I414*할인율,0)</f>
        <v/>
      </c>
      <c r="L414" s="2">
        <f>ROUND(I414*INDEX(미지급률범위,E414),0)</f>
        <v/>
      </c>
      <c r="M414" s="2">
        <f>ROUND(I414*INDEX(과지급률범위,E414),0)</f>
        <v/>
      </c>
      <c r="N414" s="2">
        <f>MAX(0,L414-M414)</f>
        <v/>
      </c>
      <c r="O414" s="2">
        <f>K414-N414</f>
        <v/>
      </c>
      <c r="P414" s="2">
        <f>I414-N414</f>
        <v/>
      </c>
      <c r="Q414" s="5">
        <f>IF(G414&gt;기준일,1,0)</f>
        <v/>
      </c>
      <c r="R414" s="5">
        <f>IF(G414&lt;=기준일,1,0)</f>
        <v/>
      </c>
      <c r="S414" s="2">
        <f>J414*H414</f>
        <v/>
      </c>
      <c r="T414" s="5">
        <f>IF(AND(F414&gt;=표본시작,F414&lt;=표본종료),1,0)</f>
        <v/>
      </c>
      <c r="U414" s="5">
        <f>IF(AND(G414&gt;=조회시작,G414&lt;=조회종료),1,0)</f>
        <v/>
      </c>
    </row>
    <row r="415">
      <c r="A415" s="2">
        <f>ROW()-1</f>
        <v/>
      </c>
      <c r="B415" s="5">
        <f>INDEX(상호범위,D415)</f>
        <v/>
      </c>
      <c r="C415" s="5">
        <f>INDEX(플랫폼명범위,E415)</f>
        <v/>
      </c>
      <c r="D415" s="2">
        <f>MOD(INT((A415-1)/4),8)+1</f>
        <v/>
      </c>
      <c r="E415" s="2">
        <f>MOD(A415-1,4)+1</f>
        <v/>
      </c>
      <c r="F415" s="20">
        <f>축시작+INT((A415-1)/32)</f>
        <v/>
      </c>
      <c r="G415" s="20">
        <f>F415+H415</f>
        <v/>
      </c>
      <c r="H415" s="5" t="n">
        <v>2</v>
      </c>
      <c r="I415" s="2">
        <f>ROUND(INDEX(가맹점!$P$2:$P$9,D415)*INDEX(가맹점!$J$2:$M$9,D415,E415),0)</f>
        <v/>
      </c>
      <c r="J415" s="2">
        <f>ROUND(I415*(1-할인율),0)</f>
        <v/>
      </c>
      <c r="K415" s="2">
        <f>ROUNDDOWN(I415*할인율,0)</f>
        <v/>
      </c>
      <c r="L415" s="2">
        <f>ROUND(I415*INDEX(미지급률범위,E415),0)</f>
        <v/>
      </c>
      <c r="M415" s="2">
        <f>ROUND(I415*INDEX(과지급률범위,E415),0)</f>
        <v/>
      </c>
      <c r="N415" s="2">
        <f>MAX(0,L415-M415)</f>
        <v/>
      </c>
      <c r="O415" s="2">
        <f>K415-N415</f>
        <v/>
      </c>
      <c r="P415" s="2">
        <f>I415-N415</f>
        <v/>
      </c>
      <c r="Q415" s="5">
        <f>IF(G415&gt;기준일,1,0)</f>
        <v/>
      </c>
      <c r="R415" s="5">
        <f>IF(G415&lt;=기준일,1,0)</f>
        <v/>
      </c>
      <c r="S415" s="2">
        <f>J415*H415</f>
        <v/>
      </c>
      <c r="T415" s="5">
        <f>IF(AND(F415&gt;=표본시작,F415&lt;=표본종료),1,0)</f>
        <v/>
      </c>
      <c r="U415" s="5">
        <f>IF(AND(G415&gt;=조회시작,G415&lt;=조회종료),1,0)</f>
        <v/>
      </c>
    </row>
    <row r="416">
      <c r="A416" s="2">
        <f>ROW()-1</f>
        <v/>
      </c>
      <c r="B416" s="5">
        <f>INDEX(상호범위,D416)</f>
        <v/>
      </c>
      <c r="C416" s="5">
        <f>INDEX(플랫폼명범위,E416)</f>
        <v/>
      </c>
      <c r="D416" s="2">
        <f>MOD(INT((A416-1)/4),8)+1</f>
        <v/>
      </c>
      <c r="E416" s="2">
        <f>MOD(A416-1,4)+1</f>
        <v/>
      </c>
      <c r="F416" s="20">
        <f>축시작+INT((A416-1)/32)</f>
        <v/>
      </c>
      <c r="G416" s="20">
        <f>F416+H416</f>
        <v/>
      </c>
      <c r="H416" s="5" t="n">
        <v>3</v>
      </c>
      <c r="I416" s="2">
        <f>ROUND(INDEX(가맹점!$P$2:$P$9,D416)*INDEX(가맹점!$J$2:$M$9,D416,E416),0)</f>
        <v/>
      </c>
      <c r="J416" s="2">
        <f>ROUND(I416*(1-할인율),0)</f>
        <v/>
      </c>
      <c r="K416" s="2">
        <f>ROUNDDOWN(I416*할인율,0)</f>
        <v/>
      </c>
      <c r="L416" s="2">
        <f>ROUND(I416*INDEX(미지급률범위,E416),0)</f>
        <v/>
      </c>
      <c r="M416" s="2">
        <f>ROUND(I416*INDEX(과지급률범위,E416),0)</f>
        <v/>
      </c>
      <c r="N416" s="2">
        <f>MAX(0,L416-M416)</f>
        <v/>
      </c>
      <c r="O416" s="2">
        <f>K416-N416</f>
        <v/>
      </c>
      <c r="P416" s="2">
        <f>I416-N416</f>
        <v/>
      </c>
      <c r="Q416" s="5">
        <f>IF(G416&gt;기준일,1,0)</f>
        <v/>
      </c>
      <c r="R416" s="5">
        <f>IF(G416&lt;=기준일,1,0)</f>
        <v/>
      </c>
      <c r="S416" s="2">
        <f>J416*H416</f>
        <v/>
      </c>
      <c r="T416" s="5">
        <f>IF(AND(F416&gt;=표본시작,F416&lt;=표본종료),1,0)</f>
        <v/>
      </c>
      <c r="U416" s="5">
        <f>IF(AND(G416&gt;=조회시작,G416&lt;=조회종료),1,0)</f>
        <v/>
      </c>
    </row>
    <row r="417">
      <c r="A417" s="2">
        <f>ROW()-1</f>
        <v/>
      </c>
      <c r="B417" s="5">
        <f>INDEX(상호범위,D417)</f>
        <v/>
      </c>
      <c r="C417" s="5">
        <f>INDEX(플랫폼명범위,E417)</f>
        <v/>
      </c>
      <c r="D417" s="2">
        <f>MOD(INT((A417-1)/4),8)+1</f>
        <v/>
      </c>
      <c r="E417" s="2">
        <f>MOD(A417-1,4)+1</f>
        <v/>
      </c>
      <c r="F417" s="20">
        <f>축시작+INT((A417-1)/32)</f>
        <v/>
      </c>
      <c r="G417" s="20">
        <f>F417+H417</f>
        <v/>
      </c>
      <c r="H417" s="5" t="n">
        <v>4</v>
      </c>
      <c r="I417" s="2">
        <f>ROUND(INDEX(가맹점!$P$2:$P$9,D417)*INDEX(가맹점!$J$2:$M$9,D417,E417),0)</f>
        <v/>
      </c>
      <c r="J417" s="2">
        <f>ROUND(I417*(1-할인율),0)</f>
        <v/>
      </c>
      <c r="K417" s="2">
        <f>ROUNDDOWN(I417*할인율,0)</f>
        <v/>
      </c>
      <c r="L417" s="2">
        <f>ROUND(I417*INDEX(미지급률범위,E417),0)</f>
        <v/>
      </c>
      <c r="M417" s="2">
        <f>ROUND(I417*INDEX(과지급률범위,E417),0)</f>
        <v/>
      </c>
      <c r="N417" s="2">
        <f>MAX(0,L417-M417)</f>
        <v/>
      </c>
      <c r="O417" s="2">
        <f>K417-N417</f>
        <v/>
      </c>
      <c r="P417" s="2">
        <f>I417-N417</f>
        <v/>
      </c>
      <c r="Q417" s="5">
        <f>IF(G417&gt;기준일,1,0)</f>
        <v/>
      </c>
      <c r="R417" s="5">
        <f>IF(G417&lt;=기준일,1,0)</f>
        <v/>
      </c>
      <c r="S417" s="2">
        <f>J417*H417</f>
        <v/>
      </c>
      <c r="T417" s="5">
        <f>IF(AND(F417&gt;=표본시작,F417&lt;=표본종료),1,0)</f>
        <v/>
      </c>
      <c r="U417" s="5">
        <f>IF(AND(G417&gt;=조회시작,G417&lt;=조회종료),1,0)</f>
        <v/>
      </c>
    </row>
    <row r="418">
      <c r="A418" s="2">
        <f>ROW()-1</f>
        <v/>
      </c>
      <c r="B418" s="5">
        <f>INDEX(상호범위,D418)</f>
        <v/>
      </c>
      <c r="C418" s="5">
        <f>INDEX(플랫폼명범위,E418)</f>
        <v/>
      </c>
      <c r="D418" s="2">
        <f>MOD(INT((A418-1)/4),8)+1</f>
        <v/>
      </c>
      <c r="E418" s="2">
        <f>MOD(A418-1,4)+1</f>
        <v/>
      </c>
      <c r="F418" s="20">
        <f>축시작+INT((A418-1)/32)</f>
        <v/>
      </c>
      <c r="G418" s="20">
        <f>F418+H418</f>
        <v/>
      </c>
      <c r="H418" s="5" t="n">
        <v>3</v>
      </c>
      <c r="I418" s="2">
        <f>ROUND(INDEX(가맹점!$P$2:$P$9,D418)*INDEX(가맹점!$J$2:$M$9,D418,E418),0)</f>
        <v/>
      </c>
      <c r="J418" s="2">
        <f>ROUND(I418*(1-할인율),0)</f>
        <v/>
      </c>
      <c r="K418" s="2">
        <f>ROUNDDOWN(I418*할인율,0)</f>
        <v/>
      </c>
      <c r="L418" s="2">
        <f>ROUND(I418*INDEX(미지급률범위,E418),0)</f>
        <v/>
      </c>
      <c r="M418" s="2">
        <f>ROUND(I418*INDEX(과지급률범위,E418),0)</f>
        <v/>
      </c>
      <c r="N418" s="2">
        <f>MAX(0,L418-M418)</f>
        <v/>
      </c>
      <c r="O418" s="2">
        <f>K418-N418</f>
        <v/>
      </c>
      <c r="P418" s="2">
        <f>I418-N418</f>
        <v/>
      </c>
      <c r="Q418" s="5">
        <f>IF(G418&gt;기준일,1,0)</f>
        <v/>
      </c>
      <c r="R418" s="5">
        <f>IF(G418&lt;=기준일,1,0)</f>
        <v/>
      </c>
      <c r="S418" s="2">
        <f>J418*H418</f>
        <v/>
      </c>
      <c r="T418" s="5">
        <f>IF(AND(F418&gt;=표본시작,F418&lt;=표본종료),1,0)</f>
        <v/>
      </c>
      <c r="U418" s="5">
        <f>IF(AND(G418&gt;=조회시작,G418&lt;=조회종료),1,0)</f>
        <v/>
      </c>
    </row>
    <row r="419">
      <c r="A419" s="2">
        <f>ROW()-1</f>
        <v/>
      </c>
      <c r="B419" s="5">
        <f>INDEX(상호범위,D419)</f>
        <v/>
      </c>
      <c r="C419" s="5">
        <f>INDEX(플랫폼명범위,E419)</f>
        <v/>
      </c>
      <c r="D419" s="2">
        <f>MOD(INT((A419-1)/4),8)+1</f>
        <v/>
      </c>
      <c r="E419" s="2">
        <f>MOD(A419-1,4)+1</f>
        <v/>
      </c>
      <c r="F419" s="20">
        <f>축시작+INT((A419-1)/32)</f>
        <v/>
      </c>
      <c r="G419" s="20">
        <f>F419+H419</f>
        <v/>
      </c>
      <c r="H419" s="5" t="n">
        <v>4</v>
      </c>
      <c r="I419" s="2">
        <f>ROUND(INDEX(가맹점!$P$2:$P$9,D419)*INDEX(가맹점!$J$2:$M$9,D419,E419),0)</f>
        <v/>
      </c>
      <c r="J419" s="2">
        <f>ROUND(I419*(1-할인율),0)</f>
        <v/>
      </c>
      <c r="K419" s="2">
        <f>ROUNDDOWN(I419*할인율,0)</f>
        <v/>
      </c>
      <c r="L419" s="2">
        <f>ROUND(I419*INDEX(미지급률범위,E419),0)</f>
        <v/>
      </c>
      <c r="M419" s="2">
        <f>ROUND(I419*INDEX(과지급률범위,E419),0)</f>
        <v/>
      </c>
      <c r="N419" s="2">
        <f>MAX(0,L419-M419)</f>
        <v/>
      </c>
      <c r="O419" s="2">
        <f>K419-N419</f>
        <v/>
      </c>
      <c r="P419" s="2">
        <f>I419-N419</f>
        <v/>
      </c>
      <c r="Q419" s="5">
        <f>IF(G419&gt;기준일,1,0)</f>
        <v/>
      </c>
      <c r="R419" s="5">
        <f>IF(G419&lt;=기준일,1,0)</f>
        <v/>
      </c>
      <c r="S419" s="2">
        <f>J419*H419</f>
        <v/>
      </c>
      <c r="T419" s="5">
        <f>IF(AND(F419&gt;=표본시작,F419&lt;=표본종료),1,0)</f>
        <v/>
      </c>
      <c r="U419" s="5">
        <f>IF(AND(G419&gt;=조회시작,G419&lt;=조회종료),1,0)</f>
        <v/>
      </c>
    </row>
    <row r="420">
      <c r="A420" s="2">
        <f>ROW()-1</f>
        <v/>
      </c>
      <c r="B420" s="5">
        <f>INDEX(상호범위,D420)</f>
        <v/>
      </c>
      <c r="C420" s="5">
        <f>INDEX(플랫폼명범위,E420)</f>
        <v/>
      </c>
      <c r="D420" s="2">
        <f>MOD(INT((A420-1)/4),8)+1</f>
        <v/>
      </c>
      <c r="E420" s="2">
        <f>MOD(A420-1,4)+1</f>
        <v/>
      </c>
      <c r="F420" s="20">
        <f>축시작+INT((A420-1)/32)</f>
        <v/>
      </c>
      <c r="G420" s="20">
        <f>F420+H420</f>
        <v/>
      </c>
      <c r="H420" s="5" t="n">
        <v>3</v>
      </c>
      <c r="I420" s="2">
        <f>ROUND(INDEX(가맹점!$P$2:$P$9,D420)*INDEX(가맹점!$J$2:$M$9,D420,E420),0)</f>
        <v/>
      </c>
      <c r="J420" s="2">
        <f>ROUND(I420*(1-할인율),0)</f>
        <v/>
      </c>
      <c r="K420" s="2">
        <f>ROUNDDOWN(I420*할인율,0)</f>
        <v/>
      </c>
      <c r="L420" s="2">
        <f>ROUND(I420*INDEX(미지급률범위,E420),0)</f>
        <v/>
      </c>
      <c r="M420" s="2">
        <f>ROUND(I420*INDEX(과지급률범위,E420),0)</f>
        <v/>
      </c>
      <c r="N420" s="2">
        <f>MAX(0,L420-M420)</f>
        <v/>
      </c>
      <c r="O420" s="2">
        <f>K420-N420</f>
        <v/>
      </c>
      <c r="P420" s="2">
        <f>I420-N420</f>
        <v/>
      </c>
      <c r="Q420" s="5">
        <f>IF(G420&gt;기준일,1,0)</f>
        <v/>
      </c>
      <c r="R420" s="5">
        <f>IF(G420&lt;=기준일,1,0)</f>
        <v/>
      </c>
      <c r="S420" s="2">
        <f>J420*H420</f>
        <v/>
      </c>
      <c r="T420" s="5">
        <f>IF(AND(F420&gt;=표본시작,F420&lt;=표본종료),1,0)</f>
        <v/>
      </c>
      <c r="U420" s="5">
        <f>IF(AND(G420&gt;=조회시작,G420&lt;=조회종료),1,0)</f>
        <v/>
      </c>
    </row>
    <row r="421">
      <c r="A421" s="2">
        <f>ROW()-1</f>
        <v/>
      </c>
      <c r="B421" s="5">
        <f>INDEX(상호범위,D421)</f>
        <v/>
      </c>
      <c r="C421" s="5">
        <f>INDEX(플랫폼명범위,E421)</f>
        <v/>
      </c>
      <c r="D421" s="2">
        <f>MOD(INT((A421-1)/4),8)+1</f>
        <v/>
      </c>
      <c r="E421" s="2">
        <f>MOD(A421-1,4)+1</f>
        <v/>
      </c>
      <c r="F421" s="20">
        <f>축시작+INT((A421-1)/32)</f>
        <v/>
      </c>
      <c r="G421" s="20">
        <f>F421+H421</f>
        <v/>
      </c>
      <c r="H421" s="5" t="n">
        <v>4</v>
      </c>
      <c r="I421" s="2">
        <f>ROUND(INDEX(가맹점!$P$2:$P$9,D421)*INDEX(가맹점!$J$2:$M$9,D421,E421),0)</f>
        <v/>
      </c>
      <c r="J421" s="2">
        <f>ROUND(I421*(1-할인율),0)</f>
        <v/>
      </c>
      <c r="K421" s="2">
        <f>ROUNDDOWN(I421*할인율,0)</f>
        <v/>
      </c>
      <c r="L421" s="2">
        <f>ROUND(I421*INDEX(미지급률범위,E421),0)</f>
        <v/>
      </c>
      <c r="M421" s="2">
        <f>ROUND(I421*INDEX(과지급률범위,E421),0)</f>
        <v/>
      </c>
      <c r="N421" s="2">
        <f>MAX(0,L421-M421)</f>
        <v/>
      </c>
      <c r="O421" s="2">
        <f>K421-N421</f>
        <v/>
      </c>
      <c r="P421" s="2">
        <f>I421-N421</f>
        <v/>
      </c>
      <c r="Q421" s="5">
        <f>IF(G421&gt;기준일,1,0)</f>
        <v/>
      </c>
      <c r="R421" s="5">
        <f>IF(G421&lt;=기준일,1,0)</f>
        <v/>
      </c>
      <c r="S421" s="2">
        <f>J421*H421</f>
        <v/>
      </c>
      <c r="T421" s="5">
        <f>IF(AND(F421&gt;=표본시작,F421&lt;=표본종료),1,0)</f>
        <v/>
      </c>
      <c r="U421" s="5">
        <f>IF(AND(G421&gt;=조회시작,G421&lt;=조회종료),1,0)</f>
        <v/>
      </c>
    </row>
    <row r="422">
      <c r="A422" s="2">
        <f>ROW()-1</f>
        <v/>
      </c>
      <c r="B422" s="5">
        <f>INDEX(상호범위,D422)</f>
        <v/>
      </c>
      <c r="C422" s="5">
        <f>INDEX(플랫폼명범위,E422)</f>
        <v/>
      </c>
      <c r="D422" s="2">
        <f>MOD(INT((A422-1)/4),8)+1</f>
        <v/>
      </c>
      <c r="E422" s="2">
        <f>MOD(A422-1,4)+1</f>
        <v/>
      </c>
      <c r="F422" s="20">
        <f>축시작+INT((A422-1)/32)</f>
        <v/>
      </c>
      <c r="G422" s="20">
        <f>F422+H422</f>
        <v/>
      </c>
      <c r="H422" s="5" t="n">
        <v>1</v>
      </c>
      <c r="I422" s="2">
        <f>ROUND(INDEX(가맹점!$P$2:$P$9,D422)*INDEX(가맹점!$J$2:$M$9,D422,E422),0)</f>
        <v/>
      </c>
      <c r="J422" s="2">
        <f>ROUND(I422*(1-할인율),0)</f>
        <v/>
      </c>
      <c r="K422" s="2">
        <f>ROUNDDOWN(I422*할인율,0)</f>
        <v/>
      </c>
      <c r="L422" s="2">
        <f>ROUND(I422*INDEX(미지급률범위,E422),0)</f>
        <v/>
      </c>
      <c r="M422" s="2">
        <f>ROUND(I422*INDEX(과지급률범위,E422),0)</f>
        <v/>
      </c>
      <c r="N422" s="2">
        <f>MAX(0,L422-M422)</f>
        <v/>
      </c>
      <c r="O422" s="2">
        <f>K422-N422</f>
        <v/>
      </c>
      <c r="P422" s="2">
        <f>I422-N422</f>
        <v/>
      </c>
      <c r="Q422" s="5">
        <f>IF(G422&gt;기준일,1,0)</f>
        <v/>
      </c>
      <c r="R422" s="5">
        <f>IF(G422&lt;=기준일,1,0)</f>
        <v/>
      </c>
      <c r="S422" s="2">
        <f>J422*H422</f>
        <v/>
      </c>
      <c r="T422" s="5">
        <f>IF(AND(F422&gt;=표본시작,F422&lt;=표본종료),1,0)</f>
        <v/>
      </c>
      <c r="U422" s="5">
        <f>IF(AND(G422&gt;=조회시작,G422&lt;=조회종료),1,0)</f>
        <v/>
      </c>
    </row>
    <row r="423">
      <c r="A423" s="2">
        <f>ROW()-1</f>
        <v/>
      </c>
      <c r="B423" s="5">
        <f>INDEX(상호범위,D423)</f>
        <v/>
      </c>
      <c r="C423" s="5">
        <f>INDEX(플랫폼명범위,E423)</f>
        <v/>
      </c>
      <c r="D423" s="2">
        <f>MOD(INT((A423-1)/4),8)+1</f>
        <v/>
      </c>
      <c r="E423" s="2">
        <f>MOD(A423-1,4)+1</f>
        <v/>
      </c>
      <c r="F423" s="20">
        <f>축시작+INT((A423-1)/32)</f>
        <v/>
      </c>
      <c r="G423" s="20">
        <f>F423+H423</f>
        <v/>
      </c>
      <c r="H423" s="5" t="n">
        <v>4</v>
      </c>
      <c r="I423" s="2">
        <f>ROUND(INDEX(가맹점!$P$2:$P$9,D423)*INDEX(가맹점!$J$2:$M$9,D423,E423),0)</f>
        <v/>
      </c>
      <c r="J423" s="2">
        <f>ROUND(I423*(1-할인율),0)</f>
        <v/>
      </c>
      <c r="K423" s="2">
        <f>ROUNDDOWN(I423*할인율,0)</f>
        <v/>
      </c>
      <c r="L423" s="2">
        <f>ROUND(I423*INDEX(미지급률범위,E423),0)</f>
        <v/>
      </c>
      <c r="M423" s="2">
        <f>ROUND(I423*INDEX(과지급률범위,E423),0)</f>
        <v/>
      </c>
      <c r="N423" s="2">
        <f>MAX(0,L423-M423)</f>
        <v/>
      </c>
      <c r="O423" s="2">
        <f>K423-N423</f>
        <v/>
      </c>
      <c r="P423" s="2">
        <f>I423-N423</f>
        <v/>
      </c>
      <c r="Q423" s="5">
        <f>IF(G423&gt;기준일,1,0)</f>
        <v/>
      </c>
      <c r="R423" s="5">
        <f>IF(G423&lt;=기준일,1,0)</f>
        <v/>
      </c>
      <c r="S423" s="2">
        <f>J423*H423</f>
        <v/>
      </c>
      <c r="T423" s="5">
        <f>IF(AND(F423&gt;=표본시작,F423&lt;=표본종료),1,0)</f>
        <v/>
      </c>
      <c r="U423" s="5">
        <f>IF(AND(G423&gt;=조회시작,G423&lt;=조회종료),1,0)</f>
        <v/>
      </c>
    </row>
    <row r="424">
      <c r="A424" s="2">
        <f>ROW()-1</f>
        <v/>
      </c>
      <c r="B424" s="5">
        <f>INDEX(상호범위,D424)</f>
        <v/>
      </c>
      <c r="C424" s="5">
        <f>INDEX(플랫폼명범위,E424)</f>
        <v/>
      </c>
      <c r="D424" s="2">
        <f>MOD(INT((A424-1)/4),8)+1</f>
        <v/>
      </c>
      <c r="E424" s="2">
        <f>MOD(A424-1,4)+1</f>
        <v/>
      </c>
      <c r="F424" s="20">
        <f>축시작+INT((A424-1)/32)</f>
        <v/>
      </c>
      <c r="G424" s="20">
        <f>F424+H424</f>
        <v/>
      </c>
      <c r="H424" s="5" t="n">
        <v>5</v>
      </c>
      <c r="I424" s="2">
        <f>ROUND(INDEX(가맹점!$P$2:$P$9,D424)*INDEX(가맹점!$J$2:$M$9,D424,E424),0)</f>
        <v/>
      </c>
      <c r="J424" s="2">
        <f>ROUND(I424*(1-할인율),0)</f>
        <v/>
      </c>
      <c r="K424" s="2">
        <f>ROUNDDOWN(I424*할인율,0)</f>
        <v/>
      </c>
      <c r="L424" s="2">
        <f>ROUND(I424*INDEX(미지급률범위,E424),0)</f>
        <v/>
      </c>
      <c r="M424" s="2">
        <f>ROUND(I424*INDEX(과지급률범위,E424),0)</f>
        <v/>
      </c>
      <c r="N424" s="2">
        <f>MAX(0,L424-M424)</f>
        <v/>
      </c>
      <c r="O424" s="2">
        <f>K424-N424</f>
        <v/>
      </c>
      <c r="P424" s="2">
        <f>I424-N424</f>
        <v/>
      </c>
      <c r="Q424" s="5">
        <f>IF(G424&gt;기준일,1,0)</f>
        <v/>
      </c>
      <c r="R424" s="5">
        <f>IF(G424&lt;=기준일,1,0)</f>
        <v/>
      </c>
      <c r="S424" s="2">
        <f>J424*H424</f>
        <v/>
      </c>
      <c r="T424" s="5">
        <f>IF(AND(F424&gt;=표본시작,F424&lt;=표본종료),1,0)</f>
        <v/>
      </c>
      <c r="U424" s="5">
        <f>IF(AND(G424&gt;=조회시작,G424&lt;=조회종료),1,0)</f>
        <v/>
      </c>
    </row>
    <row r="425">
      <c r="A425" s="2">
        <f>ROW()-1</f>
        <v/>
      </c>
      <c r="B425" s="5">
        <f>INDEX(상호범위,D425)</f>
        <v/>
      </c>
      <c r="C425" s="5">
        <f>INDEX(플랫폼명범위,E425)</f>
        <v/>
      </c>
      <c r="D425" s="2">
        <f>MOD(INT((A425-1)/4),8)+1</f>
        <v/>
      </c>
      <c r="E425" s="2">
        <f>MOD(A425-1,4)+1</f>
        <v/>
      </c>
      <c r="F425" s="20">
        <f>축시작+INT((A425-1)/32)</f>
        <v/>
      </c>
      <c r="G425" s="20">
        <f>F425+H425</f>
        <v/>
      </c>
      <c r="H425" s="5" t="n">
        <v>5</v>
      </c>
      <c r="I425" s="2">
        <f>ROUND(INDEX(가맹점!$P$2:$P$9,D425)*INDEX(가맹점!$J$2:$M$9,D425,E425),0)</f>
        <v/>
      </c>
      <c r="J425" s="2">
        <f>ROUND(I425*(1-할인율),0)</f>
        <v/>
      </c>
      <c r="K425" s="2">
        <f>ROUNDDOWN(I425*할인율,0)</f>
        <v/>
      </c>
      <c r="L425" s="2">
        <f>ROUND(I425*INDEX(미지급률범위,E425),0)</f>
        <v/>
      </c>
      <c r="M425" s="2">
        <f>ROUND(I425*INDEX(과지급률범위,E425),0)</f>
        <v/>
      </c>
      <c r="N425" s="2">
        <f>MAX(0,L425-M425)</f>
        <v/>
      </c>
      <c r="O425" s="2">
        <f>K425-N425</f>
        <v/>
      </c>
      <c r="P425" s="2">
        <f>I425-N425</f>
        <v/>
      </c>
      <c r="Q425" s="5">
        <f>IF(G425&gt;기준일,1,0)</f>
        <v/>
      </c>
      <c r="R425" s="5">
        <f>IF(G425&lt;=기준일,1,0)</f>
        <v/>
      </c>
      <c r="S425" s="2">
        <f>J425*H425</f>
        <v/>
      </c>
      <c r="T425" s="5">
        <f>IF(AND(F425&gt;=표본시작,F425&lt;=표본종료),1,0)</f>
        <v/>
      </c>
      <c r="U425" s="5">
        <f>IF(AND(G425&gt;=조회시작,G425&lt;=조회종료),1,0)</f>
        <v/>
      </c>
    </row>
    <row r="426">
      <c r="A426" s="2">
        <f>ROW()-1</f>
        <v/>
      </c>
      <c r="B426" s="5">
        <f>INDEX(상호범위,D426)</f>
        <v/>
      </c>
      <c r="C426" s="5">
        <f>INDEX(플랫폼명범위,E426)</f>
        <v/>
      </c>
      <c r="D426" s="2">
        <f>MOD(INT((A426-1)/4),8)+1</f>
        <v/>
      </c>
      <c r="E426" s="2">
        <f>MOD(A426-1,4)+1</f>
        <v/>
      </c>
      <c r="F426" s="20">
        <f>축시작+INT((A426-1)/32)</f>
        <v/>
      </c>
      <c r="G426" s="20">
        <f>F426+H426</f>
        <v/>
      </c>
      <c r="H426" s="5" t="n">
        <v>3</v>
      </c>
      <c r="I426" s="2">
        <f>ROUND(INDEX(가맹점!$P$2:$P$9,D426)*INDEX(가맹점!$J$2:$M$9,D426,E426),0)</f>
        <v/>
      </c>
      <c r="J426" s="2">
        <f>ROUND(I426*(1-할인율),0)</f>
        <v/>
      </c>
      <c r="K426" s="2">
        <f>ROUNDDOWN(I426*할인율,0)</f>
        <v/>
      </c>
      <c r="L426" s="2">
        <f>ROUND(I426*INDEX(미지급률범위,E426),0)</f>
        <v/>
      </c>
      <c r="M426" s="2">
        <f>ROUND(I426*INDEX(과지급률범위,E426),0)</f>
        <v/>
      </c>
      <c r="N426" s="2">
        <f>MAX(0,L426-M426)</f>
        <v/>
      </c>
      <c r="O426" s="2">
        <f>K426-N426</f>
        <v/>
      </c>
      <c r="P426" s="2">
        <f>I426-N426</f>
        <v/>
      </c>
      <c r="Q426" s="5">
        <f>IF(G426&gt;기준일,1,0)</f>
        <v/>
      </c>
      <c r="R426" s="5">
        <f>IF(G426&lt;=기준일,1,0)</f>
        <v/>
      </c>
      <c r="S426" s="2">
        <f>J426*H426</f>
        <v/>
      </c>
      <c r="T426" s="5">
        <f>IF(AND(F426&gt;=표본시작,F426&lt;=표본종료),1,0)</f>
        <v/>
      </c>
      <c r="U426" s="5">
        <f>IF(AND(G426&gt;=조회시작,G426&lt;=조회종료),1,0)</f>
        <v/>
      </c>
    </row>
    <row r="427">
      <c r="A427" s="2">
        <f>ROW()-1</f>
        <v/>
      </c>
      <c r="B427" s="5">
        <f>INDEX(상호범위,D427)</f>
        <v/>
      </c>
      <c r="C427" s="5">
        <f>INDEX(플랫폼명범위,E427)</f>
        <v/>
      </c>
      <c r="D427" s="2">
        <f>MOD(INT((A427-1)/4),8)+1</f>
        <v/>
      </c>
      <c r="E427" s="2">
        <f>MOD(A427-1,4)+1</f>
        <v/>
      </c>
      <c r="F427" s="20">
        <f>축시작+INT((A427-1)/32)</f>
        <v/>
      </c>
      <c r="G427" s="20">
        <f>F427+H427</f>
        <v/>
      </c>
      <c r="H427" s="5" t="n">
        <v>4</v>
      </c>
      <c r="I427" s="2">
        <f>ROUND(INDEX(가맹점!$P$2:$P$9,D427)*INDEX(가맹점!$J$2:$M$9,D427,E427),0)</f>
        <v/>
      </c>
      <c r="J427" s="2">
        <f>ROUND(I427*(1-할인율),0)</f>
        <v/>
      </c>
      <c r="K427" s="2">
        <f>ROUNDDOWN(I427*할인율,0)</f>
        <v/>
      </c>
      <c r="L427" s="2">
        <f>ROUND(I427*INDEX(미지급률범위,E427),0)</f>
        <v/>
      </c>
      <c r="M427" s="2">
        <f>ROUND(I427*INDEX(과지급률범위,E427),0)</f>
        <v/>
      </c>
      <c r="N427" s="2">
        <f>MAX(0,L427-M427)</f>
        <v/>
      </c>
      <c r="O427" s="2">
        <f>K427-N427</f>
        <v/>
      </c>
      <c r="P427" s="2">
        <f>I427-N427</f>
        <v/>
      </c>
      <c r="Q427" s="5">
        <f>IF(G427&gt;기준일,1,0)</f>
        <v/>
      </c>
      <c r="R427" s="5">
        <f>IF(G427&lt;=기준일,1,0)</f>
        <v/>
      </c>
      <c r="S427" s="2">
        <f>J427*H427</f>
        <v/>
      </c>
      <c r="T427" s="5">
        <f>IF(AND(F427&gt;=표본시작,F427&lt;=표본종료),1,0)</f>
        <v/>
      </c>
      <c r="U427" s="5">
        <f>IF(AND(G427&gt;=조회시작,G427&lt;=조회종료),1,0)</f>
        <v/>
      </c>
    </row>
    <row r="428">
      <c r="A428" s="2">
        <f>ROW()-1</f>
        <v/>
      </c>
      <c r="B428" s="5">
        <f>INDEX(상호범위,D428)</f>
        <v/>
      </c>
      <c r="C428" s="5">
        <f>INDEX(플랫폼명범위,E428)</f>
        <v/>
      </c>
      <c r="D428" s="2">
        <f>MOD(INT((A428-1)/4),8)+1</f>
        <v/>
      </c>
      <c r="E428" s="2">
        <f>MOD(A428-1,4)+1</f>
        <v/>
      </c>
      <c r="F428" s="20">
        <f>축시작+INT((A428-1)/32)</f>
        <v/>
      </c>
      <c r="G428" s="20">
        <f>F428+H428</f>
        <v/>
      </c>
      <c r="H428" s="5" t="n">
        <v>3</v>
      </c>
      <c r="I428" s="2">
        <f>ROUND(INDEX(가맹점!$P$2:$P$9,D428)*INDEX(가맹점!$J$2:$M$9,D428,E428),0)</f>
        <v/>
      </c>
      <c r="J428" s="2">
        <f>ROUND(I428*(1-할인율),0)</f>
        <v/>
      </c>
      <c r="K428" s="2">
        <f>ROUNDDOWN(I428*할인율,0)</f>
        <v/>
      </c>
      <c r="L428" s="2">
        <f>ROUND(I428*INDEX(미지급률범위,E428),0)</f>
        <v/>
      </c>
      <c r="M428" s="2">
        <f>ROUND(I428*INDEX(과지급률범위,E428),0)</f>
        <v/>
      </c>
      <c r="N428" s="2">
        <f>MAX(0,L428-M428)</f>
        <v/>
      </c>
      <c r="O428" s="2">
        <f>K428-N428</f>
        <v/>
      </c>
      <c r="P428" s="2">
        <f>I428-N428</f>
        <v/>
      </c>
      <c r="Q428" s="5">
        <f>IF(G428&gt;기준일,1,0)</f>
        <v/>
      </c>
      <c r="R428" s="5">
        <f>IF(G428&lt;=기준일,1,0)</f>
        <v/>
      </c>
      <c r="S428" s="2">
        <f>J428*H428</f>
        <v/>
      </c>
      <c r="T428" s="5">
        <f>IF(AND(F428&gt;=표본시작,F428&lt;=표본종료),1,0)</f>
        <v/>
      </c>
      <c r="U428" s="5">
        <f>IF(AND(G428&gt;=조회시작,G428&lt;=조회종료),1,0)</f>
        <v/>
      </c>
    </row>
    <row r="429">
      <c r="A429" s="2">
        <f>ROW()-1</f>
        <v/>
      </c>
      <c r="B429" s="5">
        <f>INDEX(상호범위,D429)</f>
        <v/>
      </c>
      <c r="C429" s="5">
        <f>INDEX(플랫폼명범위,E429)</f>
        <v/>
      </c>
      <c r="D429" s="2">
        <f>MOD(INT((A429-1)/4),8)+1</f>
        <v/>
      </c>
      <c r="E429" s="2">
        <f>MOD(A429-1,4)+1</f>
        <v/>
      </c>
      <c r="F429" s="20">
        <f>축시작+INT((A429-1)/32)</f>
        <v/>
      </c>
      <c r="G429" s="20">
        <f>F429+H429</f>
        <v/>
      </c>
      <c r="H429" s="5" t="n">
        <v>6</v>
      </c>
      <c r="I429" s="2">
        <f>ROUND(INDEX(가맹점!$P$2:$P$9,D429)*INDEX(가맹점!$J$2:$M$9,D429,E429),0)</f>
        <v/>
      </c>
      <c r="J429" s="2">
        <f>ROUND(I429*(1-할인율),0)</f>
        <v/>
      </c>
      <c r="K429" s="2">
        <f>ROUNDDOWN(I429*할인율,0)</f>
        <v/>
      </c>
      <c r="L429" s="2">
        <f>ROUND(I429*INDEX(미지급률범위,E429),0)</f>
        <v/>
      </c>
      <c r="M429" s="2">
        <f>ROUND(I429*INDEX(과지급률범위,E429),0)</f>
        <v/>
      </c>
      <c r="N429" s="2">
        <f>MAX(0,L429-M429)</f>
        <v/>
      </c>
      <c r="O429" s="2">
        <f>K429-N429</f>
        <v/>
      </c>
      <c r="P429" s="2">
        <f>I429-N429</f>
        <v/>
      </c>
      <c r="Q429" s="5">
        <f>IF(G429&gt;기준일,1,0)</f>
        <v/>
      </c>
      <c r="R429" s="5">
        <f>IF(G429&lt;=기준일,1,0)</f>
        <v/>
      </c>
      <c r="S429" s="2">
        <f>J429*H429</f>
        <v/>
      </c>
      <c r="T429" s="5">
        <f>IF(AND(F429&gt;=표본시작,F429&lt;=표본종료),1,0)</f>
        <v/>
      </c>
      <c r="U429" s="5">
        <f>IF(AND(G429&gt;=조회시작,G429&lt;=조회종료),1,0)</f>
        <v/>
      </c>
    </row>
    <row r="430">
      <c r="A430" s="2">
        <f>ROW()-1</f>
        <v/>
      </c>
      <c r="B430" s="5">
        <f>INDEX(상호범위,D430)</f>
        <v/>
      </c>
      <c r="C430" s="5">
        <f>INDEX(플랫폼명범위,E430)</f>
        <v/>
      </c>
      <c r="D430" s="2">
        <f>MOD(INT((A430-1)/4),8)+1</f>
        <v/>
      </c>
      <c r="E430" s="2">
        <f>MOD(A430-1,4)+1</f>
        <v/>
      </c>
      <c r="F430" s="20">
        <f>축시작+INT((A430-1)/32)</f>
        <v/>
      </c>
      <c r="G430" s="20">
        <f>F430+H430</f>
        <v/>
      </c>
      <c r="H430" s="5" t="n">
        <v>3</v>
      </c>
      <c r="I430" s="2">
        <f>ROUND(INDEX(가맹점!$P$2:$P$9,D430)*INDEX(가맹점!$J$2:$M$9,D430,E430),0)</f>
        <v/>
      </c>
      <c r="J430" s="2">
        <f>ROUND(I430*(1-할인율),0)</f>
        <v/>
      </c>
      <c r="K430" s="2">
        <f>ROUNDDOWN(I430*할인율,0)</f>
        <v/>
      </c>
      <c r="L430" s="2">
        <f>ROUND(I430*INDEX(미지급률범위,E430),0)</f>
        <v/>
      </c>
      <c r="M430" s="2">
        <f>ROUND(I430*INDEX(과지급률범위,E430),0)</f>
        <v/>
      </c>
      <c r="N430" s="2">
        <f>MAX(0,L430-M430)</f>
        <v/>
      </c>
      <c r="O430" s="2">
        <f>K430-N430</f>
        <v/>
      </c>
      <c r="P430" s="2">
        <f>I430-N430</f>
        <v/>
      </c>
      <c r="Q430" s="5">
        <f>IF(G430&gt;기준일,1,0)</f>
        <v/>
      </c>
      <c r="R430" s="5">
        <f>IF(G430&lt;=기준일,1,0)</f>
        <v/>
      </c>
      <c r="S430" s="2">
        <f>J430*H430</f>
        <v/>
      </c>
      <c r="T430" s="5">
        <f>IF(AND(F430&gt;=표본시작,F430&lt;=표본종료),1,0)</f>
        <v/>
      </c>
      <c r="U430" s="5">
        <f>IF(AND(G430&gt;=조회시작,G430&lt;=조회종료),1,0)</f>
        <v/>
      </c>
    </row>
    <row r="431">
      <c r="A431" s="2">
        <f>ROW()-1</f>
        <v/>
      </c>
      <c r="B431" s="5">
        <f>INDEX(상호범위,D431)</f>
        <v/>
      </c>
      <c r="C431" s="5">
        <f>INDEX(플랫폼명범위,E431)</f>
        <v/>
      </c>
      <c r="D431" s="2">
        <f>MOD(INT((A431-1)/4),8)+1</f>
        <v/>
      </c>
      <c r="E431" s="2">
        <f>MOD(A431-1,4)+1</f>
        <v/>
      </c>
      <c r="F431" s="20">
        <f>축시작+INT((A431-1)/32)</f>
        <v/>
      </c>
      <c r="G431" s="20">
        <f>F431+H431</f>
        <v/>
      </c>
      <c r="H431" s="5" t="n">
        <v>2</v>
      </c>
      <c r="I431" s="2">
        <f>ROUND(INDEX(가맹점!$P$2:$P$9,D431)*INDEX(가맹점!$J$2:$M$9,D431,E431),0)</f>
        <v/>
      </c>
      <c r="J431" s="2">
        <f>ROUND(I431*(1-할인율),0)</f>
        <v/>
      </c>
      <c r="K431" s="2">
        <f>ROUNDDOWN(I431*할인율,0)</f>
        <v/>
      </c>
      <c r="L431" s="2">
        <f>ROUND(I431*INDEX(미지급률범위,E431),0)</f>
        <v/>
      </c>
      <c r="M431" s="2">
        <f>ROUND(I431*INDEX(과지급률범위,E431),0)</f>
        <v/>
      </c>
      <c r="N431" s="2">
        <f>MAX(0,L431-M431)</f>
        <v/>
      </c>
      <c r="O431" s="2">
        <f>K431-N431</f>
        <v/>
      </c>
      <c r="P431" s="2">
        <f>I431-N431</f>
        <v/>
      </c>
      <c r="Q431" s="5">
        <f>IF(G431&gt;기준일,1,0)</f>
        <v/>
      </c>
      <c r="R431" s="5">
        <f>IF(G431&lt;=기준일,1,0)</f>
        <v/>
      </c>
      <c r="S431" s="2">
        <f>J431*H431</f>
        <v/>
      </c>
      <c r="T431" s="5">
        <f>IF(AND(F431&gt;=표본시작,F431&lt;=표본종료),1,0)</f>
        <v/>
      </c>
      <c r="U431" s="5">
        <f>IF(AND(G431&gt;=조회시작,G431&lt;=조회종료),1,0)</f>
        <v/>
      </c>
    </row>
    <row r="432">
      <c r="A432" s="2">
        <f>ROW()-1</f>
        <v/>
      </c>
      <c r="B432" s="5">
        <f>INDEX(상호범위,D432)</f>
        <v/>
      </c>
      <c r="C432" s="5">
        <f>INDEX(플랫폼명범위,E432)</f>
        <v/>
      </c>
      <c r="D432" s="2">
        <f>MOD(INT((A432-1)/4),8)+1</f>
        <v/>
      </c>
      <c r="E432" s="2">
        <f>MOD(A432-1,4)+1</f>
        <v/>
      </c>
      <c r="F432" s="20">
        <f>축시작+INT((A432-1)/32)</f>
        <v/>
      </c>
      <c r="G432" s="20">
        <f>F432+H432</f>
        <v/>
      </c>
      <c r="H432" s="5" t="n">
        <v>6</v>
      </c>
      <c r="I432" s="2">
        <f>ROUND(INDEX(가맹점!$P$2:$P$9,D432)*INDEX(가맹점!$J$2:$M$9,D432,E432),0)</f>
        <v/>
      </c>
      <c r="J432" s="2">
        <f>ROUND(I432*(1-할인율),0)</f>
        <v/>
      </c>
      <c r="K432" s="2">
        <f>ROUNDDOWN(I432*할인율,0)</f>
        <v/>
      </c>
      <c r="L432" s="2">
        <f>ROUND(I432*INDEX(미지급률범위,E432),0)</f>
        <v/>
      </c>
      <c r="M432" s="2">
        <f>ROUND(I432*INDEX(과지급률범위,E432),0)</f>
        <v/>
      </c>
      <c r="N432" s="2">
        <f>MAX(0,L432-M432)</f>
        <v/>
      </c>
      <c r="O432" s="2">
        <f>K432-N432</f>
        <v/>
      </c>
      <c r="P432" s="2">
        <f>I432-N432</f>
        <v/>
      </c>
      <c r="Q432" s="5">
        <f>IF(G432&gt;기준일,1,0)</f>
        <v/>
      </c>
      <c r="R432" s="5">
        <f>IF(G432&lt;=기준일,1,0)</f>
        <v/>
      </c>
      <c r="S432" s="2">
        <f>J432*H432</f>
        <v/>
      </c>
      <c r="T432" s="5">
        <f>IF(AND(F432&gt;=표본시작,F432&lt;=표본종료),1,0)</f>
        <v/>
      </c>
      <c r="U432" s="5">
        <f>IF(AND(G432&gt;=조회시작,G432&lt;=조회종료),1,0)</f>
        <v/>
      </c>
    </row>
    <row r="433">
      <c r="A433" s="2">
        <f>ROW()-1</f>
        <v/>
      </c>
      <c r="B433" s="5">
        <f>INDEX(상호범위,D433)</f>
        <v/>
      </c>
      <c r="C433" s="5">
        <f>INDEX(플랫폼명범위,E433)</f>
        <v/>
      </c>
      <c r="D433" s="2">
        <f>MOD(INT((A433-1)/4),8)+1</f>
        <v/>
      </c>
      <c r="E433" s="2">
        <f>MOD(A433-1,4)+1</f>
        <v/>
      </c>
      <c r="F433" s="20">
        <f>축시작+INT((A433-1)/32)</f>
        <v/>
      </c>
      <c r="G433" s="20">
        <f>F433+H433</f>
        <v/>
      </c>
      <c r="H433" s="5" t="n">
        <v>10</v>
      </c>
      <c r="I433" s="2">
        <f>ROUND(INDEX(가맹점!$P$2:$P$9,D433)*INDEX(가맹점!$J$2:$M$9,D433,E433),0)</f>
        <v/>
      </c>
      <c r="J433" s="2">
        <f>ROUND(I433*(1-할인율),0)</f>
        <v/>
      </c>
      <c r="K433" s="2">
        <f>ROUNDDOWN(I433*할인율,0)</f>
        <v/>
      </c>
      <c r="L433" s="2">
        <f>ROUND(I433*INDEX(미지급률범위,E433),0)</f>
        <v/>
      </c>
      <c r="M433" s="2">
        <f>ROUND(I433*INDEX(과지급률범위,E433),0)</f>
        <v/>
      </c>
      <c r="N433" s="2">
        <f>MAX(0,L433-M433)</f>
        <v/>
      </c>
      <c r="O433" s="2">
        <f>K433-N433</f>
        <v/>
      </c>
      <c r="P433" s="2">
        <f>I433-N433</f>
        <v/>
      </c>
      <c r="Q433" s="5">
        <f>IF(G433&gt;기준일,1,0)</f>
        <v/>
      </c>
      <c r="R433" s="5">
        <f>IF(G433&lt;=기준일,1,0)</f>
        <v/>
      </c>
      <c r="S433" s="2">
        <f>J433*H433</f>
        <v/>
      </c>
      <c r="T433" s="5">
        <f>IF(AND(F433&gt;=표본시작,F433&lt;=표본종료),1,0)</f>
        <v/>
      </c>
      <c r="U433" s="5">
        <f>IF(AND(G433&gt;=조회시작,G433&lt;=조회종료),1,0)</f>
        <v/>
      </c>
    </row>
    <row r="434">
      <c r="A434" s="2">
        <f>ROW()-1</f>
        <v/>
      </c>
      <c r="B434" s="5">
        <f>INDEX(상호범위,D434)</f>
        <v/>
      </c>
      <c r="C434" s="5">
        <f>INDEX(플랫폼명범위,E434)</f>
        <v/>
      </c>
      <c r="D434" s="2">
        <f>MOD(INT((A434-1)/4),8)+1</f>
        <v/>
      </c>
      <c r="E434" s="2">
        <f>MOD(A434-1,4)+1</f>
        <v/>
      </c>
      <c r="F434" s="20">
        <f>축시작+INT((A434-1)/32)</f>
        <v/>
      </c>
      <c r="G434" s="20">
        <f>F434+H434</f>
        <v/>
      </c>
      <c r="H434" s="5" t="n">
        <v>1</v>
      </c>
      <c r="I434" s="2">
        <f>ROUND(INDEX(가맹점!$P$2:$P$9,D434)*INDEX(가맹점!$J$2:$M$9,D434,E434),0)</f>
        <v/>
      </c>
      <c r="J434" s="2">
        <f>ROUND(I434*(1-할인율),0)</f>
        <v/>
      </c>
      <c r="K434" s="2">
        <f>ROUNDDOWN(I434*할인율,0)</f>
        <v/>
      </c>
      <c r="L434" s="2">
        <f>ROUND(I434*INDEX(미지급률범위,E434),0)</f>
        <v/>
      </c>
      <c r="M434" s="2">
        <f>ROUND(I434*INDEX(과지급률범위,E434),0)</f>
        <v/>
      </c>
      <c r="N434" s="2">
        <f>MAX(0,L434-M434)</f>
        <v/>
      </c>
      <c r="O434" s="2">
        <f>K434-N434</f>
        <v/>
      </c>
      <c r="P434" s="2">
        <f>I434-N434</f>
        <v/>
      </c>
      <c r="Q434" s="5">
        <f>IF(G434&gt;기준일,1,0)</f>
        <v/>
      </c>
      <c r="R434" s="5">
        <f>IF(G434&lt;=기준일,1,0)</f>
        <v/>
      </c>
      <c r="S434" s="2">
        <f>J434*H434</f>
        <v/>
      </c>
      <c r="T434" s="5">
        <f>IF(AND(F434&gt;=표본시작,F434&lt;=표본종료),1,0)</f>
        <v/>
      </c>
      <c r="U434" s="5">
        <f>IF(AND(G434&gt;=조회시작,G434&lt;=조회종료),1,0)</f>
        <v/>
      </c>
    </row>
    <row r="435">
      <c r="A435" s="2">
        <f>ROW()-1</f>
        <v/>
      </c>
      <c r="B435" s="5">
        <f>INDEX(상호범위,D435)</f>
        <v/>
      </c>
      <c r="C435" s="5">
        <f>INDEX(플랫폼명범위,E435)</f>
        <v/>
      </c>
      <c r="D435" s="2">
        <f>MOD(INT((A435-1)/4),8)+1</f>
        <v/>
      </c>
      <c r="E435" s="2">
        <f>MOD(A435-1,4)+1</f>
        <v/>
      </c>
      <c r="F435" s="20">
        <f>축시작+INT((A435-1)/32)</f>
        <v/>
      </c>
      <c r="G435" s="20">
        <f>F435+H435</f>
        <v/>
      </c>
      <c r="H435" s="5" t="n">
        <v>2</v>
      </c>
      <c r="I435" s="2">
        <f>ROUND(INDEX(가맹점!$P$2:$P$9,D435)*INDEX(가맹점!$J$2:$M$9,D435,E435),0)</f>
        <v/>
      </c>
      <c r="J435" s="2">
        <f>ROUND(I435*(1-할인율),0)</f>
        <v/>
      </c>
      <c r="K435" s="2">
        <f>ROUNDDOWN(I435*할인율,0)</f>
        <v/>
      </c>
      <c r="L435" s="2">
        <f>ROUND(I435*INDEX(미지급률범위,E435),0)</f>
        <v/>
      </c>
      <c r="M435" s="2">
        <f>ROUND(I435*INDEX(과지급률범위,E435),0)</f>
        <v/>
      </c>
      <c r="N435" s="2">
        <f>MAX(0,L435-M435)</f>
        <v/>
      </c>
      <c r="O435" s="2">
        <f>K435-N435</f>
        <v/>
      </c>
      <c r="P435" s="2">
        <f>I435-N435</f>
        <v/>
      </c>
      <c r="Q435" s="5">
        <f>IF(G435&gt;기준일,1,0)</f>
        <v/>
      </c>
      <c r="R435" s="5">
        <f>IF(G435&lt;=기준일,1,0)</f>
        <v/>
      </c>
      <c r="S435" s="2">
        <f>J435*H435</f>
        <v/>
      </c>
      <c r="T435" s="5">
        <f>IF(AND(F435&gt;=표본시작,F435&lt;=표본종료),1,0)</f>
        <v/>
      </c>
      <c r="U435" s="5">
        <f>IF(AND(G435&gt;=조회시작,G435&lt;=조회종료),1,0)</f>
        <v/>
      </c>
    </row>
    <row r="436">
      <c r="A436" s="2">
        <f>ROW()-1</f>
        <v/>
      </c>
      <c r="B436" s="5">
        <f>INDEX(상호범위,D436)</f>
        <v/>
      </c>
      <c r="C436" s="5">
        <f>INDEX(플랫폼명범위,E436)</f>
        <v/>
      </c>
      <c r="D436" s="2">
        <f>MOD(INT((A436-1)/4),8)+1</f>
        <v/>
      </c>
      <c r="E436" s="2">
        <f>MOD(A436-1,4)+1</f>
        <v/>
      </c>
      <c r="F436" s="20">
        <f>축시작+INT((A436-1)/32)</f>
        <v/>
      </c>
      <c r="G436" s="20">
        <f>F436+H436</f>
        <v/>
      </c>
      <c r="H436" s="5" t="n">
        <v>3</v>
      </c>
      <c r="I436" s="2">
        <f>ROUND(INDEX(가맹점!$P$2:$P$9,D436)*INDEX(가맹점!$J$2:$M$9,D436,E436),0)</f>
        <v/>
      </c>
      <c r="J436" s="2">
        <f>ROUND(I436*(1-할인율),0)</f>
        <v/>
      </c>
      <c r="K436" s="2">
        <f>ROUNDDOWN(I436*할인율,0)</f>
        <v/>
      </c>
      <c r="L436" s="2">
        <f>ROUND(I436*INDEX(미지급률범위,E436),0)</f>
        <v/>
      </c>
      <c r="M436" s="2">
        <f>ROUND(I436*INDEX(과지급률범위,E436),0)</f>
        <v/>
      </c>
      <c r="N436" s="2">
        <f>MAX(0,L436-M436)</f>
        <v/>
      </c>
      <c r="O436" s="2">
        <f>K436-N436</f>
        <v/>
      </c>
      <c r="P436" s="2">
        <f>I436-N436</f>
        <v/>
      </c>
      <c r="Q436" s="5">
        <f>IF(G436&gt;기준일,1,0)</f>
        <v/>
      </c>
      <c r="R436" s="5">
        <f>IF(G436&lt;=기준일,1,0)</f>
        <v/>
      </c>
      <c r="S436" s="2">
        <f>J436*H436</f>
        <v/>
      </c>
      <c r="T436" s="5">
        <f>IF(AND(F436&gt;=표본시작,F436&lt;=표본종료),1,0)</f>
        <v/>
      </c>
      <c r="U436" s="5">
        <f>IF(AND(G436&gt;=조회시작,G436&lt;=조회종료),1,0)</f>
        <v/>
      </c>
    </row>
    <row r="437">
      <c r="A437" s="2">
        <f>ROW()-1</f>
        <v/>
      </c>
      <c r="B437" s="5">
        <f>INDEX(상호범위,D437)</f>
        <v/>
      </c>
      <c r="C437" s="5">
        <f>INDEX(플랫폼명범위,E437)</f>
        <v/>
      </c>
      <c r="D437" s="2">
        <f>MOD(INT((A437-1)/4),8)+1</f>
        <v/>
      </c>
      <c r="E437" s="2">
        <f>MOD(A437-1,4)+1</f>
        <v/>
      </c>
      <c r="F437" s="20">
        <f>축시작+INT((A437-1)/32)</f>
        <v/>
      </c>
      <c r="G437" s="20">
        <f>F437+H437</f>
        <v/>
      </c>
      <c r="H437" s="5" t="n">
        <v>6</v>
      </c>
      <c r="I437" s="2">
        <f>ROUND(INDEX(가맹점!$P$2:$P$9,D437)*INDEX(가맹점!$J$2:$M$9,D437,E437),0)</f>
        <v/>
      </c>
      <c r="J437" s="2">
        <f>ROUND(I437*(1-할인율),0)</f>
        <v/>
      </c>
      <c r="K437" s="2">
        <f>ROUNDDOWN(I437*할인율,0)</f>
        <v/>
      </c>
      <c r="L437" s="2">
        <f>ROUND(I437*INDEX(미지급률범위,E437),0)</f>
        <v/>
      </c>
      <c r="M437" s="2">
        <f>ROUND(I437*INDEX(과지급률범위,E437),0)</f>
        <v/>
      </c>
      <c r="N437" s="2">
        <f>MAX(0,L437-M437)</f>
        <v/>
      </c>
      <c r="O437" s="2">
        <f>K437-N437</f>
        <v/>
      </c>
      <c r="P437" s="2">
        <f>I437-N437</f>
        <v/>
      </c>
      <c r="Q437" s="5">
        <f>IF(G437&gt;기준일,1,0)</f>
        <v/>
      </c>
      <c r="R437" s="5">
        <f>IF(G437&lt;=기준일,1,0)</f>
        <v/>
      </c>
      <c r="S437" s="2">
        <f>J437*H437</f>
        <v/>
      </c>
      <c r="T437" s="5">
        <f>IF(AND(F437&gt;=표본시작,F437&lt;=표본종료),1,0)</f>
        <v/>
      </c>
      <c r="U437" s="5">
        <f>IF(AND(G437&gt;=조회시작,G437&lt;=조회종료),1,0)</f>
        <v/>
      </c>
    </row>
    <row r="438">
      <c r="A438" s="2">
        <f>ROW()-1</f>
        <v/>
      </c>
      <c r="B438" s="5">
        <f>INDEX(상호범위,D438)</f>
        <v/>
      </c>
      <c r="C438" s="5">
        <f>INDEX(플랫폼명범위,E438)</f>
        <v/>
      </c>
      <c r="D438" s="2">
        <f>MOD(INT((A438-1)/4),8)+1</f>
        <v/>
      </c>
      <c r="E438" s="2">
        <f>MOD(A438-1,4)+1</f>
        <v/>
      </c>
      <c r="F438" s="20">
        <f>축시작+INT((A438-1)/32)</f>
        <v/>
      </c>
      <c r="G438" s="20">
        <f>F438+H438</f>
        <v/>
      </c>
      <c r="H438" s="5" t="n">
        <v>1</v>
      </c>
      <c r="I438" s="2">
        <f>ROUND(INDEX(가맹점!$P$2:$P$9,D438)*INDEX(가맹점!$J$2:$M$9,D438,E438),0)</f>
        <v/>
      </c>
      <c r="J438" s="2">
        <f>ROUND(I438*(1-할인율),0)</f>
        <v/>
      </c>
      <c r="K438" s="2">
        <f>ROUNDDOWN(I438*할인율,0)</f>
        <v/>
      </c>
      <c r="L438" s="2">
        <f>ROUND(I438*INDEX(미지급률범위,E438),0)</f>
        <v/>
      </c>
      <c r="M438" s="2">
        <f>ROUND(I438*INDEX(과지급률범위,E438),0)</f>
        <v/>
      </c>
      <c r="N438" s="2">
        <f>MAX(0,L438-M438)</f>
        <v/>
      </c>
      <c r="O438" s="2">
        <f>K438-N438</f>
        <v/>
      </c>
      <c r="P438" s="2">
        <f>I438-N438</f>
        <v/>
      </c>
      <c r="Q438" s="5">
        <f>IF(G438&gt;기준일,1,0)</f>
        <v/>
      </c>
      <c r="R438" s="5">
        <f>IF(G438&lt;=기준일,1,0)</f>
        <v/>
      </c>
      <c r="S438" s="2">
        <f>J438*H438</f>
        <v/>
      </c>
      <c r="T438" s="5">
        <f>IF(AND(F438&gt;=표본시작,F438&lt;=표본종료),1,0)</f>
        <v/>
      </c>
      <c r="U438" s="5">
        <f>IF(AND(G438&gt;=조회시작,G438&lt;=조회종료),1,0)</f>
        <v/>
      </c>
    </row>
    <row r="439">
      <c r="A439" s="2">
        <f>ROW()-1</f>
        <v/>
      </c>
      <c r="B439" s="5">
        <f>INDEX(상호범위,D439)</f>
        <v/>
      </c>
      <c r="C439" s="5">
        <f>INDEX(플랫폼명범위,E439)</f>
        <v/>
      </c>
      <c r="D439" s="2">
        <f>MOD(INT((A439-1)/4),8)+1</f>
        <v/>
      </c>
      <c r="E439" s="2">
        <f>MOD(A439-1,4)+1</f>
        <v/>
      </c>
      <c r="F439" s="20">
        <f>축시작+INT((A439-1)/32)</f>
        <v/>
      </c>
      <c r="G439" s="20">
        <f>F439+H439</f>
        <v/>
      </c>
      <c r="H439" s="5" t="n">
        <v>4</v>
      </c>
      <c r="I439" s="2">
        <f>ROUND(INDEX(가맹점!$P$2:$P$9,D439)*INDEX(가맹점!$J$2:$M$9,D439,E439),0)</f>
        <v/>
      </c>
      <c r="J439" s="2">
        <f>ROUND(I439*(1-할인율),0)</f>
        <v/>
      </c>
      <c r="K439" s="2">
        <f>ROUNDDOWN(I439*할인율,0)</f>
        <v/>
      </c>
      <c r="L439" s="2">
        <f>ROUND(I439*INDEX(미지급률범위,E439),0)</f>
        <v/>
      </c>
      <c r="M439" s="2">
        <f>ROUND(I439*INDEX(과지급률범위,E439),0)</f>
        <v/>
      </c>
      <c r="N439" s="2">
        <f>MAX(0,L439-M439)</f>
        <v/>
      </c>
      <c r="O439" s="2">
        <f>K439-N439</f>
        <v/>
      </c>
      <c r="P439" s="2">
        <f>I439-N439</f>
        <v/>
      </c>
      <c r="Q439" s="5">
        <f>IF(G439&gt;기준일,1,0)</f>
        <v/>
      </c>
      <c r="R439" s="5">
        <f>IF(G439&lt;=기준일,1,0)</f>
        <v/>
      </c>
      <c r="S439" s="2">
        <f>J439*H439</f>
        <v/>
      </c>
      <c r="T439" s="5">
        <f>IF(AND(F439&gt;=표본시작,F439&lt;=표본종료),1,0)</f>
        <v/>
      </c>
      <c r="U439" s="5">
        <f>IF(AND(G439&gt;=조회시작,G439&lt;=조회종료),1,0)</f>
        <v/>
      </c>
    </row>
    <row r="440">
      <c r="A440" s="2">
        <f>ROW()-1</f>
        <v/>
      </c>
      <c r="B440" s="5">
        <f>INDEX(상호범위,D440)</f>
        <v/>
      </c>
      <c r="C440" s="5">
        <f>INDEX(플랫폼명범위,E440)</f>
        <v/>
      </c>
      <c r="D440" s="2">
        <f>MOD(INT((A440-1)/4),8)+1</f>
        <v/>
      </c>
      <c r="E440" s="2">
        <f>MOD(A440-1,4)+1</f>
        <v/>
      </c>
      <c r="F440" s="20">
        <f>축시작+INT((A440-1)/32)</f>
        <v/>
      </c>
      <c r="G440" s="20">
        <f>F440+H440</f>
        <v/>
      </c>
      <c r="H440" s="5" t="n">
        <v>5</v>
      </c>
      <c r="I440" s="2">
        <f>ROUND(INDEX(가맹점!$P$2:$P$9,D440)*INDEX(가맹점!$J$2:$M$9,D440,E440),0)</f>
        <v/>
      </c>
      <c r="J440" s="2">
        <f>ROUND(I440*(1-할인율),0)</f>
        <v/>
      </c>
      <c r="K440" s="2">
        <f>ROUNDDOWN(I440*할인율,0)</f>
        <v/>
      </c>
      <c r="L440" s="2">
        <f>ROUND(I440*INDEX(미지급률범위,E440),0)</f>
        <v/>
      </c>
      <c r="M440" s="2">
        <f>ROUND(I440*INDEX(과지급률범위,E440),0)</f>
        <v/>
      </c>
      <c r="N440" s="2">
        <f>MAX(0,L440-M440)</f>
        <v/>
      </c>
      <c r="O440" s="2">
        <f>K440-N440</f>
        <v/>
      </c>
      <c r="P440" s="2">
        <f>I440-N440</f>
        <v/>
      </c>
      <c r="Q440" s="5">
        <f>IF(G440&gt;기준일,1,0)</f>
        <v/>
      </c>
      <c r="R440" s="5">
        <f>IF(G440&lt;=기준일,1,0)</f>
        <v/>
      </c>
      <c r="S440" s="2">
        <f>J440*H440</f>
        <v/>
      </c>
      <c r="T440" s="5">
        <f>IF(AND(F440&gt;=표본시작,F440&lt;=표본종료),1,0)</f>
        <v/>
      </c>
      <c r="U440" s="5">
        <f>IF(AND(G440&gt;=조회시작,G440&lt;=조회종료),1,0)</f>
        <v/>
      </c>
    </row>
    <row r="441">
      <c r="A441" s="2">
        <f>ROW()-1</f>
        <v/>
      </c>
      <c r="B441" s="5">
        <f>INDEX(상호범위,D441)</f>
        <v/>
      </c>
      <c r="C441" s="5">
        <f>INDEX(플랫폼명범위,E441)</f>
        <v/>
      </c>
      <c r="D441" s="2">
        <f>MOD(INT((A441-1)/4),8)+1</f>
        <v/>
      </c>
      <c r="E441" s="2">
        <f>MOD(A441-1,4)+1</f>
        <v/>
      </c>
      <c r="F441" s="20">
        <f>축시작+INT((A441-1)/32)</f>
        <v/>
      </c>
      <c r="G441" s="20">
        <f>F441+H441</f>
        <v/>
      </c>
      <c r="H441" s="5" t="n">
        <v>4</v>
      </c>
      <c r="I441" s="2">
        <f>ROUND(INDEX(가맹점!$P$2:$P$9,D441)*INDEX(가맹점!$J$2:$M$9,D441,E441),0)</f>
        <v/>
      </c>
      <c r="J441" s="2">
        <f>ROUND(I441*(1-할인율),0)</f>
        <v/>
      </c>
      <c r="K441" s="2">
        <f>ROUNDDOWN(I441*할인율,0)</f>
        <v/>
      </c>
      <c r="L441" s="2">
        <f>ROUND(I441*INDEX(미지급률범위,E441),0)</f>
        <v/>
      </c>
      <c r="M441" s="2">
        <f>ROUND(I441*INDEX(과지급률범위,E441),0)</f>
        <v/>
      </c>
      <c r="N441" s="2">
        <f>MAX(0,L441-M441)</f>
        <v/>
      </c>
      <c r="O441" s="2">
        <f>K441-N441</f>
        <v/>
      </c>
      <c r="P441" s="2">
        <f>I441-N441</f>
        <v/>
      </c>
      <c r="Q441" s="5">
        <f>IF(G441&gt;기준일,1,0)</f>
        <v/>
      </c>
      <c r="R441" s="5">
        <f>IF(G441&lt;=기준일,1,0)</f>
        <v/>
      </c>
      <c r="S441" s="2">
        <f>J441*H441</f>
        <v/>
      </c>
      <c r="T441" s="5">
        <f>IF(AND(F441&gt;=표본시작,F441&lt;=표본종료),1,0)</f>
        <v/>
      </c>
      <c r="U441" s="5">
        <f>IF(AND(G441&gt;=조회시작,G441&lt;=조회종료),1,0)</f>
        <v/>
      </c>
    </row>
    <row r="442">
      <c r="A442" s="2">
        <f>ROW()-1</f>
        <v/>
      </c>
      <c r="B442" s="5">
        <f>INDEX(상호범위,D442)</f>
        <v/>
      </c>
      <c r="C442" s="5">
        <f>INDEX(플랫폼명범위,E442)</f>
        <v/>
      </c>
      <c r="D442" s="2">
        <f>MOD(INT((A442-1)/4),8)+1</f>
        <v/>
      </c>
      <c r="E442" s="2">
        <f>MOD(A442-1,4)+1</f>
        <v/>
      </c>
      <c r="F442" s="20">
        <f>축시작+INT((A442-1)/32)</f>
        <v/>
      </c>
      <c r="G442" s="20">
        <f>F442+H442</f>
        <v/>
      </c>
      <c r="H442" s="5" t="n">
        <v>1</v>
      </c>
      <c r="I442" s="2">
        <f>ROUND(INDEX(가맹점!$P$2:$P$9,D442)*INDEX(가맹점!$J$2:$M$9,D442,E442),0)</f>
        <v/>
      </c>
      <c r="J442" s="2">
        <f>ROUND(I442*(1-할인율),0)</f>
        <v/>
      </c>
      <c r="K442" s="2">
        <f>ROUNDDOWN(I442*할인율,0)</f>
        <v/>
      </c>
      <c r="L442" s="2">
        <f>ROUND(I442*INDEX(미지급률범위,E442),0)</f>
        <v/>
      </c>
      <c r="M442" s="2">
        <f>ROUND(I442*INDEX(과지급률범위,E442),0)</f>
        <v/>
      </c>
      <c r="N442" s="2">
        <f>MAX(0,L442-M442)</f>
        <v/>
      </c>
      <c r="O442" s="2">
        <f>K442-N442</f>
        <v/>
      </c>
      <c r="P442" s="2">
        <f>I442-N442</f>
        <v/>
      </c>
      <c r="Q442" s="5">
        <f>IF(G442&gt;기준일,1,0)</f>
        <v/>
      </c>
      <c r="R442" s="5">
        <f>IF(G442&lt;=기준일,1,0)</f>
        <v/>
      </c>
      <c r="S442" s="2">
        <f>J442*H442</f>
        <v/>
      </c>
      <c r="T442" s="5">
        <f>IF(AND(F442&gt;=표본시작,F442&lt;=표본종료),1,0)</f>
        <v/>
      </c>
      <c r="U442" s="5">
        <f>IF(AND(G442&gt;=조회시작,G442&lt;=조회종료),1,0)</f>
        <v/>
      </c>
    </row>
    <row r="443">
      <c r="A443" s="2">
        <f>ROW()-1</f>
        <v/>
      </c>
      <c r="B443" s="5">
        <f>INDEX(상호범위,D443)</f>
        <v/>
      </c>
      <c r="C443" s="5">
        <f>INDEX(플랫폼명범위,E443)</f>
        <v/>
      </c>
      <c r="D443" s="2">
        <f>MOD(INT((A443-1)/4),8)+1</f>
        <v/>
      </c>
      <c r="E443" s="2">
        <f>MOD(A443-1,4)+1</f>
        <v/>
      </c>
      <c r="F443" s="20">
        <f>축시작+INT((A443-1)/32)</f>
        <v/>
      </c>
      <c r="G443" s="20">
        <f>F443+H443</f>
        <v/>
      </c>
      <c r="H443" s="5" t="n">
        <v>2</v>
      </c>
      <c r="I443" s="2">
        <f>ROUND(INDEX(가맹점!$P$2:$P$9,D443)*INDEX(가맹점!$J$2:$M$9,D443,E443),0)</f>
        <v/>
      </c>
      <c r="J443" s="2">
        <f>ROUND(I443*(1-할인율),0)</f>
        <v/>
      </c>
      <c r="K443" s="2">
        <f>ROUNDDOWN(I443*할인율,0)</f>
        <v/>
      </c>
      <c r="L443" s="2">
        <f>ROUND(I443*INDEX(미지급률범위,E443),0)</f>
        <v/>
      </c>
      <c r="M443" s="2">
        <f>ROUND(I443*INDEX(과지급률범위,E443),0)</f>
        <v/>
      </c>
      <c r="N443" s="2">
        <f>MAX(0,L443-M443)</f>
        <v/>
      </c>
      <c r="O443" s="2">
        <f>K443-N443</f>
        <v/>
      </c>
      <c r="P443" s="2">
        <f>I443-N443</f>
        <v/>
      </c>
      <c r="Q443" s="5">
        <f>IF(G443&gt;기준일,1,0)</f>
        <v/>
      </c>
      <c r="R443" s="5">
        <f>IF(G443&lt;=기준일,1,0)</f>
        <v/>
      </c>
      <c r="S443" s="2">
        <f>J443*H443</f>
        <v/>
      </c>
      <c r="T443" s="5">
        <f>IF(AND(F443&gt;=표본시작,F443&lt;=표본종료),1,0)</f>
        <v/>
      </c>
      <c r="U443" s="5">
        <f>IF(AND(G443&gt;=조회시작,G443&lt;=조회종료),1,0)</f>
        <v/>
      </c>
    </row>
    <row r="444">
      <c r="A444" s="2">
        <f>ROW()-1</f>
        <v/>
      </c>
      <c r="B444" s="5">
        <f>INDEX(상호범위,D444)</f>
        <v/>
      </c>
      <c r="C444" s="5">
        <f>INDEX(플랫폼명범위,E444)</f>
        <v/>
      </c>
      <c r="D444" s="2">
        <f>MOD(INT((A444-1)/4),8)+1</f>
        <v/>
      </c>
      <c r="E444" s="2">
        <f>MOD(A444-1,4)+1</f>
        <v/>
      </c>
      <c r="F444" s="20">
        <f>축시작+INT((A444-1)/32)</f>
        <v/>
      </c>
      <c r="G444" s="20">
        <f>F444+H444</f>
        <v/>
      </c>
      <c r="H444" s="5" t="n">
        <v>7</v>
      </c>
      <c r="I444" s="2">
        <f>ROUND(INDEX(가맹점!$P$2:$P$9,D444)*INDEX(가맹점!$J$2:$M$9,D444,E444),0)</f>
        <v/>
      </c>
      <c r="J444" s="2">
        <f>ROUND(I444*(1-할인율),0)</f>
        <v/>
      </c>
      <c r="K444" s="2">
        <f>ROUNDDOWN(I444*할인율,0)</f>
        <v/>
      </c>
      <c r="L444" s="2">
        <f>ROUND(I444*INDEX(미지급률범위,E444),0)</f>
        <v/>
      </c>
      <c r="M444" s="2">
        <f>ROUND(I444*INDEX(과지급률범위,E444),0)</f>
        <v/>
      </c>
      <c r="N444" s="2">
        <f>MAX(0,L444-M444)</f>
        <v/>
      </c>
      <c r="O444" s="2">
        <f>K444-N444</f>
        <v/>
      </c>
      <c r="P444" s="2">
        <f>I444-N444</f>
        <v/>
      </c>
      <c r="Q444" s="5">
        <f>IF(G444&gt;기준일,1,0)</f>
        <v/>
      </c>
      <c r="R444" s="5">
        <f>IF(G444&lt;=기준일,1,0)</f>
        <v/>
      </c>
      <c r="S444" s="2">
        <f>J444*H444</f>
        <v/>
      </c>
      <c r="T444" s="5">
        <f>IF(AND(F444&gt;=표본시작,F444&lt;=표본종료),1,0)</f>
        <v/>
      </c>
      <c r="U444" s="5">
        <f>IF(AND(G444&gt;=조회시작,G444&lt;=조회종료),1,0)</f>
        <v/>
      </c>
    </row>
    <row r="445">
      <c r="A445" s="2">
        <f>ROW()-1</f>
        <v/>
      </c>
      <c r="B445" s="5">
        <f>INDEX(상호범위,D445)</f>
        <v/>
      </c>
      <c r="C445" s="5">
        <f>INDEX(플랫폼명범위,E445)</f>
        <v/>
      </c>
      <c r="D445" s="2">
        <f>MOD(INT((A445-1)/4),8)+1</f>
        <v/>
      </c>
      <c r="E445" s="2">
        <f>MOD(A445-1,4)+1</f>
        <v/>
      </c>
      <c r="F445" s="20">
        <f>축시작+INT((A445-1)/32)</f>
        <v/>
      </c>
      <c r="G445" s="20">
        <f>F445+H445</f>
        <v/>
      </c>
      <c r="H445" s="5" t="n">
        <v>6</v>
      </c>
      <c r="I445" s="2">
        <f>ROUND(INDEX(가맹점!$P$2:$P$9,D445)*INDEX(가맹점!$J$2:$M$9,D445,E445),0)</f>
        <v/>
      </c>
      <c r="J445" s="2">
        <f>ROUND(I445*(1-할인율),0)</f>
        <v/>
      </c>
      <c r="K445" s="2">
        <f>ROUNDDOWN(I445*할인율,0)</f>
        <v/>
      </c>
      <c r="L445" s="2">
        <f>ROUND(I445*INDEX(미지급률범위,E445),0)</f>
        <v/>
      </c>
      <c r="M445" s="2">
        <f>ROUND(I445*INDEX(과지급률범위,E445),0)</f>
        <v/>
      </c>
      <c r="N445" s="2">
        <f>MAX(0,L445-M445)</f>
        <v/>
      </c>
      <c r="O445" s="2">
        <f>K445-N445</f>
        <v/>
      </c>
      <c r="P445" s="2">
        <f>I445-N445</f>
        <v/>
      </c>
      <c r="Q445" s="5">
        <f>IF(G445&gt;기준일,1,0)</f>
        <v/>
      </c>
      <c r="R445" s="5">
        <f>IF(G445&lt;=기준일,1,0)</f>
        <v/>
      </c>
      <c r="S445" s="2">
        <f>J445*H445</f>
        <v/>
      </c>
      <c r="T445" s="5">
        <f>IF(AND(F445&gt;=표본시작,F445&lt;=표본종료),1,0)</f>
        <v/>
      </c>
      <c r="U445" s="5">
        <f>IF(AND(G445&gt;=조회시작,G445&lt;=조회종료),1,0)</f>
        <v/>
      </c>
    </row>
    <row r="446">
      <c r="A446" s="2">
        <f>ROW()-1</f>
        <v/>
      </c>
      <c r="B446" s="5">
        <f>INDEX(상호범위,D446)</f>
        <v/>
      </c>
      <c r="C446" s="5">
        <f>INDEX(플랫폼명범위,E446)</f>
        <v/>
      </c>
      <c r="D446" s="2">
        <f>MOD(INT((A446-1)/4),8)+1</f>
        <v/>
      </c>
      <c r="E446" s="2">
        <f>MOD(A446-1,4)+1</f>
        <v/>
      </c>
      <c r="F446" s="20">
        <f>축시작+INT((A446-1)/32)</f>
        <v/>
      </c>
      <c r="G446" s="20">
        <f>F446+H446</f>
        <v/>
      </c>
      <c r="H446" s="5" t="n">
        <v>1</v>
      </c>
      <c r="I446" s="2">
        <f>ROUND(INDEX(가맹점!$P$2:$P$9,D446)*INDEX(가맹점!$J$2:$M$9,D446,E446),0)</f>
        <v/>
      </c>
      <c r="J446" s="2">
        <f>ROUND(I446*(1-할인율),0)</f>
        <v/>
      </c>
      <c r="K446" s="2">
        <f>ROUNDDOWN(I446*할인율,0)</f>
        <v/>
      </c>
      <c r="L446" s="2">
        <f>ROUND(I446*INDEX(미지급률범위,E446),0)</f>
        <v/>
      </c>
      <c r="M446" s="2">
        <f>ROUND(I446*INDEX(과지급률범위,E446),0)</f>
        <v/>
      </c>
      <c r="N446" s="2">
        <f>MAX(0,L446-M446)</f>
        <v/>
      </c>
      <c r="O446" s="2">
        <f>K446-N446</f>
        <v/>
      </c>
      <c r="P446" s="2">
        <f>I446-N446</f>
        <v/>
      </c>
      <c r="Q446" s="5">
        <f>IF(G446&gt;기준일,1,0)</f>
        <v/>
      </c>
      <c r="R446" s="5">
        <f>IF(G446&lt;=기준일,1,0)</f>
        <v/>
      </c>
      <c r="S446" s="2">
        <f>J446*H446</f>
        <v/>
      </c>
      <c r="T446" s="5">
        <f>IF(AND(F446&gt;=표본시작,F446&lt;=표본종료),1,0)</f>
        <v/>
      </c>
      <c r="U446" s="5">
        <f>IF(AND(G446&gt;=조회시작,G446&lt;=조회종료),1,0)</f>
        <v/>
      </c>
    </row>
    <row r="447">
      <c r="A447" s="2">
        <f>ROW()-1</f>
        <v/>
      </c>
      <c r="B447" s="5">
        <f>INDEX(상호범위,D447)</f>
        <v/>
      </c>
      <c r="C447" s="5">
        <f>INDEX(플랫폼명범위,E447)</f>
        <v/>
      </c>
      <c r="D447" s="2">
        <f>MOD(INT((A447-1)/4),8)+1</f>
        <v/>
      </c>
      <c r="E447" s="2">
        <f>MOD(A447-1,4)+1</f>
        <v/>
      </c>
      <c r="F447" s="20">
        <f>축시작+INT((A447-1)/32)</f>
        <v/>
      </c>
      <c r="G447" s="20">
        <f>F447+H447</f>
        <v/>
      </c>
      <c r="H447" s="5" t="n">
        <v>5</v>
      </c>
      <c r="I447" s="2">
        <f>ROUND(INDEX(가맹점!$P$2:$P$9,D447)*INDEX(가맹점!$J$2:$M$9,D447,E447),0)</f>
        <v/>
      </c>
      <c r="J447" s="2">
        <f>ROUND(I447*(1-할인율),0)</f>
        <v/>
      </c>
      <c r="K447" s="2">
        <f>ROUNDDOWN(I447*할인율,0)</f>
        <v/>
      </c>
      <c r="L447" s="2">
        <f>ROUND(I447*INDEX(미지급률범위,E447),0)</f>
        <v/>
      </c>
      <c r="M447" s="2">
        <f>ROUND(I447*INDEX(과지급률범위,E447),0)</f>
        <v/>
      </c>
      <c r="N447" s="2">
        <f>MAX(0,L447-M447)</f>
        <v/>
      </c>
      <c r="O447" s="2">
        <f>K447-N447</f>
        <v/>
      </c>
      <c r="P447" s="2">
        <f>I447-N447</f>
        <v/>
      </c>
      <c r="Q447" s="5">
        <f>IF(G447&gt;기준일,1,0)</f>
        <v/>
      </c>
      <c r="R447" s="5">
        <f>IF(G447&lt;=기준일,1,0)</f>
        <v/>
      </c>
      <c r="S447" s="2">
        <f>J447*H447</f>
        <v/>
      </c>
      <c r="T447" s="5">
        <f>IF(AND(F447&gt;=표본시작,F447&lt;=표본종료),1,0)</f>
        <v/>
      </c>
      <c r="U447" s="5">
        <f>IF(AND(G447&gt;=조회시작,G447&lt;=조회종료),1,0)</f>
        <v/>
      </c>
    </row>
    <row r="448">
      <c r="A448" s="2">
        <f>ROW()-1</f>
        <v/>
      </c>
      <c r="B448" s="5">
        <f>INDEX(상호범위,D448)</f>
        <v/>
      </c>
      <c r="C448" s="5">
        <f>INDEX(플랫폼명범위,E448)</f>
        <v/>
      </c>
      <c r="D448" s="2">
        <f>MOD(INT((A448-1)/4),8)+1</f>
        <v/>
      </c>
      <c r="E448" s="2">
        <f>MOD(A448-1,4)+1</f>
        <v/>
      </c>
      <c r="F448" s="20">
        <f>축시작+INT((A448-1)/32)</f>
        <v/>
      </c>
      <c r="G448" s="20">
        <f>F448+H448</f>
        <v/>
      </c>
      <c r="H448" s="5" t="n">
        <v>3</v>
      </c>
      <c r="I448" s="2">
        <f>ROUND(INDEX(가맹점!$P$2:$P$9,D448)*INDEX(가맹점!$J$2:$M$9,D448,E448),0)</f>
        <v/>
      </c>
      <c r="J448" s="2">
        <f>ROUND(I448*(1-할인율),0)</f>
        <v/>
      </c>
      <c r="K448" s="2">
        <f>ROUNDDOWN(I448*할인율,0)</f>
        <v/>
      </c>
      <c r="L448" s="2">
        <f>ROUND(I448*INDEX(미지급률범위,E448),0)</f>
        <v/>
      </c>
      <c r="M448" s="2">
        <f>ROUND(I448*INDEX(과지급률범위,E448),0)</f>
        <v/>
      </c>
      <c r="N448" s="2">
        <f>MAX(0,L448-M448)</f>
        <v/>
      </c>
      <c r="O448" s="2">
        <f>K448-N448</f>
        <v/>
      </c>
      <c r="P448" s="2">
        <f>I448-N448</f>
        <v/>
      </c>
      <c r="Q448" s="5">
        <f>IF(G448&gt;기준일,1,0)</f>
        <v/>
      </c>
      <c r="R448" s="5">
        <f>IF(G448&lt;=기준일,1,0)</f>
        <v/>
      </c>
      <c r="S448" s="2">
        <f>J448*H448</f>
        <v/>
      </c>
      <c r="T448" s="5">
        <f>IF(AND(F448&gt;=표본시작,F448&lt;=표본종료),1,0)</f>
        <v/>
      </c>
      <c r="U448" s="5">
        <f>IF(AND(G448&gt;=조회시작,G448&lt;=조회종료),1,0)</f>
        <v/>
      </c>
    </row>
    <row r="449">
      <c r="A449" s="2">
        <f>ROW()-1</f>
        <v/>
      </c>
      <c r="B449" s="5">
        <f>INDEX(상호범위,D449)</f>
        <v/>
      </c>
      <c r="C449" s="5">
        <f>INDEX(플랫폼명범위,E449)</f>
        <v/>
      </c>
      <c r="D449" s="2">
        <f>MOD(INT((A449-1)/4),8)+1</f>
        <v/>
      </c>
      <c r="E449" s="2">
        <f>MOD(A449-1,4)+1</f>
        <v/>
      </c>
      <c r="F449" s="20">
        <f>축시작+INT((A449-1)/32)</f>
        <v/>
      </c>
      <c r="G449" s="20">
        <f>F449+H449</f>
        <v/>
      </c>
      <c r="H449" s="5" t="n">
        <v>6</v>
      </c>
      <c r="I449" s="2">
        <f>ROUND(INDEX(가맹점!$P$2:$P$9,D449)*INDEX(가맹점!$J$2:$M$9,D449,E449),0)</f>
        <v/>
      </c>
      <c r="J449" s="2">
        <f>ROUND(I449*(1-할인율),0)</f>
        <v/>
      </c>
      <c r="K449" s="2">
        <f>ROUNDDOWN(I449*할인율,0)</f>
        <v/>
      </c>
      <c r="L449" s="2">
        <f>ROUND(I449*INDEX(미지급률범위,E449),0)</f>
        <v/>
      </c>
      <c r="M449" s="2">
        <f>ROUND(I449*INDEX(과지급률범위,E449),0)</f>
        <v/>
      </c>
      <c r="N449" s="2">
        <f>MAX(0,L449-M449)</f>
        <v/>
      </c>
      <c r="O449" s="2">
        <f>K449-N449</f>
        <v/>
      </c>
      <c r="P449" s="2">
        <f>I449-N449</f>
        <v/>
      </c>
      <c r="Q449" s="5">
        <f>IF(G449&gt;기준일,1,0)</f>
        <v/>
      </c>
      <c r="R449" s="5">
        <f>IF(G449&lt;=기준일,1,0)</f>
        <v/>
      </c>
      <c r="S449" s="2">
        <f>J449*H449</f>
        <v/>
      </c>
      <c r="T449" s="5">
        <f>IF(AND(F449&gt;=표본시작,F449&lt;=표본종료),1,0)</f>
        <v/>
      </c>
      <c r="U449" s="5">
        <f>IF(AND(G449&gt;=조회시작,G449&lt;=조회종료),1,0)</f>
        <v/>
      </c>
    </row>
    <row r="450">
      <c r="A450" s="2">
        <f>ROW()-1</f>
        <v/>
      </c>
      <c r="B450" s="5">
        <f>INDEX(상호범위,D450)</f>
        <v/>
      </c>
      <c r="C450" s="5">
        <f>INDEX(플랫폼명범위,E450)</f>
        <v/>
      </c>
      <c r="D450" s="2">
        <f>MOD(INT((A450-1)/4),8)+1</f>
        <v/>
      </c>
      <c r="E450" s="2">
        <f>MOD(A450-1,4)+1</f>
        <v/>
      </c>
      <c r="F450" s="20">
        <f>축시작+INT((A450-1)/32)</f>
        <v/>
      </c>
      <c r="G450" s="20">
        <f>F450+H450</f>
        <v/>
      </c>
      <c r="H450" s="5" t="n">
        <v>3</v>
      </c>
      <c r="I450" s="2">
        <f>ROUND(INDEX(가맹점!$P$2:$P$9,D450)*INDEX(가맹점!$J$2:$M$9,D450,E450),0)</f>
        <v/>
      </c>
      <c r="J450" s="2">
        <f>ROUND(I450*(1-할인율),0)</f>
        <v/>
      </c>
      <c r="K450" s="2">
        <f>ROUNDDOWN(I450*할인율,0)</f>
        <v/>
      </c>
      <c r="L450" s="2">
        <f>ROUND(I450*INDEX(미지급률범위,E450),0)</f>
        <v/>
      </c>
      <c r="M450" s="2">
        <f>ROUND(I450*INDEX(과지급률범위,E450),0)</f>
        <v/>
      </c>
      <c r="N450" s="2">
        <f>MAX(0,L450-M450)</f>
        <v/>
      </c>
      <c r="O450" s="2">
        <f>K450-N450</f>
        <v/>
      </c>
      <c r="P450" s="2">
        <f>I450-N450</f>
        <v/>
      </c>
      <c r="Q450" s="5">
        <f>IF(G450&gt;기준일,1,0)</f>
        <v/>
      </c>
      <c r="R450" s="5">
        <f>IF(G450&lt;=기준일,1,0)</f>
        <v/>
      </c>
      <c r="S450" s="2">
        <f>J450*H450</f>
        <v/>
      </c>
      <c r="T450" s="5">
        <f>IF(AND(F450&gt;=표본시작,F450&lt;=표본종료),1,0)</f>
        <v/>
      </c>
      <c r="U450" s="5">
        <f>IF(AND(G450&gt;=조회시작,G450&lt;=조회종료),1,0)</f>
        <v/>
      </c>
    </row>
    <row r="451">
      <c r="A451" s="2">
        <f>ROW()-1</f>
        <v/>
      </c>
      <c r="B451" s="5">
        <f>INDEX(상호범위,D451)</f>
        <v/>
      </c>
      <c r="C451" s="5">
        <f>INDEX(플랫폼명범위,E451)</f>
        <v/>
      </c>
      <c r="D451" s="2">
        <f>MOD(INT((A451-1)/4),8)+1</f>
        <v/>
      </c>
      <c r="E451" s="2">
        <f>MOD(A451-1,4)+1</f>
        <v/>
      </c>
      <c r="F451" s="20">
        <f>축시작+INT((A451-1)/32)</f>
        <v/>
      </c>
      <c r="G451" s="20">
        <f>F451+H451</f>
        <v/>
      </c>
      <c r="H451" s="5" t="n">
        <v>4</v>
      </c>
      <c r="I451" s="2">
        <f>ROUND(INDEX(가맹점!$P$2:$P$9,D451)*INDEX(가맹점!$J$2:$M$9,D451,E451),0)</f>
        <v/>
      </c>
      <c r="J451" s="2">
        <f>ROUND(I451*(1-할인율),0)</f>
        <v/>
      </c>
      <c r="K451" s="2">
        <f>ROUNDDOWN(I451*할인율,0)</f>
        <v/>
      </c>
      <c r="L451" s="2">
        <f>ROUND(I451*INDEX(미지급률범위,E451),0)</f>
        <v/>
      </c>
      <c r="M451" s="2">
        <f>ROUND(I451*INDEX(과지급률범위,E451),0)</f>
        <v/>
      </c>
      <c r="N451" s="2">
        <f>MAX(0,L451-M451)</f>
        <v/>
      </c>
      <c r="O451" s="2">
        <f>K451-N451</f>
        <v/>
      </c>
      <c r="P451" s="2">
        <f>I451-N451</f>
        <v/>
      </c>
      <c r="Q451" s="5">
        <f>IF(G451&gt;기준일,1,0)</f>
        <v/>
      </c>
      <c r="R451" s="5">
        <f>IF(G451&lt;=기준일,1,0)</f>
        <v/>
      </c>
      <c r="S451" s="2">
        <f>J451*H451</f>
        <v/>
      </c>
      <c r="T451" s="5">
        <f>IF(AND(F451&gt;=표본시작,F451&lt;=표본종료),1,0)</f>
        <v/>
      </c>
      <c r="U451" s="5">
        <f>IF(AND(G451&gt;=조회시작,G451&lt;=조회종료),1,0)</f>
        <v/>
      </c>
    </row>
    <row r="452">
      <c r="A452" s="2">
        <f>ROW()-1</f>
        <v/>
      </c>
      <c r="B452" s="5">
        <f>INDEX(상호범위,D452)</f>
        <v/>
      </c>
      <c r="C452" s="5">
        <f>INDEX(플랫폼명범위,E452)</f>
        <v/>
      </c>
      <c r="D452" s="2">
        <f>MOD(INT((A452-1)/4),8)+1</f>
        <v/>
      </c>
      <c r="E452" s="2">
        <f>MOD(A452-1,4)+1</f>
        <v/>
      </c>
      <c r="F452" s="20">
        <f>축시작+INT((A452-1)/32)</f>
        <v/>
      </c>
      <c r="G452" s="20">
        <f>F452+H452</f>
        <v/>
      </c>
      <c r="H452" s="5" t="n">
        <v>3</v>
      </c>
      <c r="I452" s="2">
        <f>ROUND(INDEX(가맹점!$P$2:$P$9,D452)*INDEX(가맹점!$J$2:$M$9,D452,E452),0)</f>
        <v/>
      </c>
      <c r="J452" s="2">
        <f>ROUND(I452*(1-할인율),0)</f>
        <v/>
      </c>
      <c r="K452" s="2">
        <f>ROUNDDOWN(I452*할인율,0)</f>
        <v/>
      </c>
      <c r="L452" s="2">
        <f>ROUND(I452*INDEX(미지급률범위,E452),0)</f>
        <v/>
      </c>
      <c r="M452" s="2">
        <f>ROUND(I452*INDEX(과지급률범위,E452),0)</f>
        <v/>
      </c>
      <c r="N452" s="2">
        <f>MAX(0,L452-M452)</f>
        <v/>
      </c>
      <c r="O452" s="2">
        <f>K452-N452</f>
        <v/>
      </c>
      <c r="P452" s="2">
        <f>I452-N452</f>
        <v/>
      </c>
      <c r="Q452" s="5">
        <f>IF(G452&gt;기준일,1,0)</f>
        <v/>
      </c>
      <c r="R452" s="5">
        <f>IF(G452&lt;=기준일,1,0)</f>
        <v/>
      </c>
      <c r="S452" s="2">
        <f>J452*H452</f>
        <v/>
      </c>
      <c r="T452" s="5">
        <f>IF(AND(F452&gt;=표본시작,F452&lt;=표본종료),1,0)</f>
        <v/>
      </c>
      <c r="U452" s="5">
        <f>IF(AND(G452&gt;=조회시작,G452&lt;=조회종료),1,0)</f>
        <v/>
      </c>
    </row>
    <row r="453">
      <c r="A453" s="2">
        <f>ROW()-1</f>
        <v/>
      </c>
      <c r="B453" s="5">
        <f>INDEX(상호범위,D453)</f>
        <v/>
      </c>
      <c r="C453" s="5">
        <f>INDEX(플랫폼명범위,E453)</f>
        <v/>
      </c>
      <c r="D453" s="2">
        <f>MOD(INT((A453-1)/4),8)+1</f>
        <v/>
      </c>
      <c r="E453" s="2">
        <f>MOD(A453-1,4)+1</f>
        <v/>
      </c>
      <c r="F453" s="20">
        <f>축시작+INT((A453-1)/32)</f>
        <v/>
      </c>
      <c r="G453" s="20">
        <f>F453+H453</f>
        <v/>
      </c>
      <c r="H453" s="5" t="n">
        <v>5</v>
      </c>
      <c r="I453" s="2">
        <f>ROUND(INDEX(가맹점!$P$2:$P$9,D453)*INDEX(가맹점!$J$2:$M$9,D453,E453),0)</f>
        <v/>
      </c>
      <c r="J453" s="2">
        <f>ROUND(I453*(1-할인율),0)</f>
        <v/>
      </c>
      <c r="K453" s="2">
        <f>ROUNDDOWN(I453*할인율,0)</f>
        <v/>
      </c>
      <c r="L453" s="2">
        <f>ROUND(I453*INDEX(미지급률범위,E453),0)</f>
        <v/>
      </c>
      <c r="M453" s="2">
        <f>ROUND(I453*INDEX(과지급률범위,E453),0)</f>
        <v/>
      </c>
      <c r="N453" s="2">
        <f>MAX(0,L453-M453)</f>
        <v/>
      </c>
      <c r="O453" s="2">
        <f>K453-N453</f>
        <v/>
      </c>
      <c r="P453" s="2">
        <f>I453-N453</f>
        <v/>
      </c>
      <c r="Q453" s="5">
        <f>IF(G453&gt;기준일,1,0)</f>
        <v/>
      </c>
      <c r="R453" s="5">
        <f>IF(G453&lt;=기준일,1,0)</f>
        <v/>
      </c>
      <c r="S453" s="2">
        <f>J453*H453</f>
        <v/>
      </c>
      <c r="T453" s="5">
        <f>IF(AND(F453&gt;=표본시작,F453&lt;=표본종료),1,0)</f>
        <v/>
      </c>
      <c r="U453" s="5">
        <f>IF(AND(G453&gt;=조회시작,G453&lt;=조회종료),1,0)</f>
        <v/>
      </c>
    </row>
    <row r="454">
      <c r="A454" s="2">
        <f>ROW()-1</f>
        <v/>
      </c>
      <c r="B454" s="5">
        <f>INDEX(상호범위,D454)</f>
        <v/>
      </c>
      <c r="C454" s="5">
        <f>INDEX(플랫폼명범위,E454)</f>
        <v/>
      </c>
      <c r="D454" s="2">
        <f>MOD(INT((A454-1)/4),8)+1</f>
        <v/>
      </c>
      <c r="E454" s="2">
        <f>MOD(A454-1,4)+1</f>
        <v/>
      </c>
      <c r="F454" s="20">
        <f>축시작+INT((A454-1)/32)</f>
        <v/>
      </c>
      <c r="G454" s="20">
        <f>F454+H454</f>
        <v/>
      </c>
      <c r="H454" s="5" t="n">
        <v>1</v>
      </c>
      <c r="I454" s="2">
        <f>ROUND(INDEX(가맹점!$P$2:$P$9,D454)*INDEX(가맹점!$J$2:$M$9,D454,E454),0)</f>
        <v/>
      </c>
      <c r="J454" s="2">
        <f>ROUND(I454*(1-할인율),0)</f>
        <v/>
      </c>
      <c r="K454" s="2">
        <f>ROUNDDOWN(I454*할인율,0)</f>
        <v/>
      </c>
      <c r="L454" s="2">
        <f>ROUND(I454*INDEX(미지급률범위,E454),0)</f>
        <v/>
      </c>
      <c r="M454" s="2">
        <f>ROUND(I454*INDEX(과지급률범위,E454),0)</f>
        <v/>
      </c>
      <c r="N454" s="2">
        <f>MAX(0,L454-M454)</f>
        <v/>
      </c>
      <c r="O454" s="2">
        <f>K454-N454</f>
        <v/>
      </c>
      <c r="P454" s="2">
        <f>I454-N454</f>
        <v/>
      </c>
      <c r="Q454" s="5">
        <f>IF(G454&gt;기준일,1,0)</f>
        <v/>
      </c>
      <c r="R454" s="5">
        <f>IF(G454&lt;=기준일,1,0)</f>
        <v/>
      </c>
      <c r="S454" s="2">
        <f>J454*H454</f>
        <v/>
      </c>
      <c r="T454" s="5">
        <f>IF(AND(F454&gt;=표본시작,F454&lt;=표본종료),1,0)</f>
        <v/>
      </c>
      <c r="U454" s="5">
        <f>IF(AND(G454&gt;=조회시작,G454&lt;=조회종료),1,0)</f>
        <v/>
      </c>
    </row>
    <row r="455">
      <c r="A455" s="2">
        <f>ROW()-1</f>
        <v/>
      </c>
      <c r="B455" s="5">
        <f>INDEX(상호범위,D455)</f>
        <v/>
      </c>
      <c r="C455" s="5">
        <f>INDEX(플랫폼명범위,E455)</f>
        <v/>
      </c>
      <c r="D455" s="2">
        <f>MOD(INT((A455-1)/4),8)+1</f>
        <v/>
      </c>
      <c r="E455" s="2">
        <f>MOD(A455-1,4)+1</f>
        <v/>
      </c>
      <c r="F455" s="20">
        <f>축시작+INT((A455-1)/32)</f>
        <v/>
      </c>
      <c r="G455" s="20">
        <f>F455+H455</f>
        <v/>
      </c>
      <c r="H455" s="5" t="n">
        <v>4</v>
      </c>
      <c r="I455" s="2">
        <f>ROUND(INDEX(가맹점!$P$2:$P$9,D455)*INDEX(가맹점!$J$2:$M$9,D455,E455),0)</f>
        <v/>
      </c>
      <c r="J455" s="2">
        <f>ROUND(I455*(1-할인율),0)</f>
        <v/>
      </c>
      <c r="K455" s="2">
        <f>ROUNDDOWN(I455*할인율,0)</f>
        <v/>
      </c>
      <c r="L455" s="2">
        <f>ROUND(I455*INDEX(미지급률범위,E455),0)</f>
        <v/>
      </c>
      <c r="M455" s="2">
        <f>ROUND(I455*INDEX(과지급률범위,E455),0)</f>
        <v/>
      </c>
      <c r="N455" s="2">
        <f>MAX(0,L455-M455)</f>
        <v/>
      </c>
      <c r="O455" s="2">
        <f>K455-N455</f>
        <v/>
      </c>
      <c r="P455" s="2">
        <f>I455-N455</f>
        <v/>
      </c>
      <c r="Q455" s="5">
        <f>IF(G455&gt;기준일,1,0)</f>
        <v/>
      </c>
      <c r="R455" s="5">
        <f>IF(G455&lt;=기준일,1,0)</f>
        <v/>
      </c>
      <c r="S455" s="2">
        <f>J455*H455</f>
        <v/>
      </c>
      <c r="T455" s="5">
        <f>IF(AND(F455&gt;=표본시작,F455&lt;=표본종료),1,0)</f>
        <v/>
      </c>
      <c r="U455" s="5">
        <f>IF(AND(G455&gt;=조회시작,G455&lt;=조회종료),1,0)</f>
        <v/>
      </c>
    </row>
    <row r="456">
      <c r="A456" s="2">
        <f>ROW()-1</f>
        <v/>
      </c>
      <c r="B456" s="5">
        <f>INDEX(상호범위,D456)</f>
        <v/>
      </c>
      <c r="C456" s="5">
        <f>INDEX(플랫폼명범위,E456)</f>
        <v/>
      </c>
      <c r="D456" s="2">
        <f>MOD(INT((A456-1)/4),8)+1</f>
        <v/>
      </c>
      <c r="E456" s="2">
        <f>MOD(A456-1,4)+1</f>
        <v/>
      </c>
      <c r="F456" s="20">
        <f>축시작+INT((A456-1)/32)</f>
        <v/>
      </c>
      <c r="G456" s="20">
        <f>F456+H456</f>
        <v/>
      </c>
      <c r="H456" s="5" t="n">
        <v>3</v>
      </c>
      <c r="I456" s="2">
        <f>ROUND(INDEX(가맹점!$P$2:$P$9,D456)*INDEX(가맹점!$J$2:$M$9,D456,E456),0)</f>
        <v/>
      </c>
      <c r="J456" s="2">
        <f>ROUND(I456*(1-할인율),0)</f>
        <v/>
      </c>
      <c r="K456" s="2">
        <f>ROUNDDOWN(I456*할인율,0)</f>
        <v/>
      </c>
      <c r="L456" s="2">
        <f>ROUND(I456*INDEX(미지급률범위,E456),0)</f>
        <v/>
      </c>
      <c r="M456" s="2">
        <f>ROUND(I456*INDEX(과지급률범위,E456),0)</f>
        <v/>
      </c>
      <c r="N456" s="2">
        <f>MAX(0,L456-M456)</f>
        <v/>
      </c>
      <c r="O456" s="2">
        <f>K456-N456</f>
        <v/>
      </c>
      <c r="P456" s="2">
        <f>I456-N456</f>
        <v/>
      </c>
      <c r="Q456" s="5">
        <f>IF(G456&gt;기준일,1,0)</f>
        <v/>
      </c>
      <c r="R456" s="5">
        <f>IF(G456&lt;=기준일,1,0)</f>
        <v/>
      </c>
      <c r="S456" s="2">
        <f>J456*H456</f>
        <v/>
      </c>
      <c r="T456" s="5">
        <f>IF(AND(F456&gt;=표본시작,F456&lt;=표본종료),1,0)</f>
        <v/>
      </c>
      <c r="U456" s="5">
        <f>IF(AND(G456&gt;=조회시작,G456&lt;=조회종료),1,0)</f>
        <v/>
      </c>
    </row>
    <row r="457">
      <c r="A457" s="2">
        <f>ROW()-1</f>
        <v/>
      </c>
      <c r="B457" s="5">
        <f>INDEX(상호범위,D457)</f>
        <v/>
      </c>
      <c r="C457" s="5">
        <f>INDEX(플랫폼명범위,E457)</f>
        <v/>
      </c>
      <c r="D457" s="2">
        <f>MOD(INT((A457-1)/4),8)+1</f>
        <v/>
      </c>
      <c r="E457" s="2">
        <f>MOD(A457-1,4)+1</f>
        <v/>
      </c>
      <c r="F457" s="20">
        <f>축시작+INT((A457-1)/32)</f>
        <v/>
      </c>
      <c r="G457" s="20">
        <f>F457+H457</f>
        <v/>
      </c>
      <c r="H457" s="5" t="n">
        <v>13</v>
      </c>
      <c r="I457" s="2">
        <f>ROUND(INDEX(가맹점!$P$2:$P$9,D457)*INDEX(가맹점!$J$2:$M$9,D457,E457),0)</f>
        <v/>
      </c>
      <c r="J457" s="2">
        <f>ROUND(I457*(1-할인율),0)</f>
        <v/>
      </c>
      <c r="K457" s="2">
        <f>ROUNDDOWN(I457*할인율,0)</f>
        <v/>
      </c>
      <c r="L457" s="2">
        <f>ROUND(I457*INDEX(미지급률범위,E457),0)</f>
        <v/>
      </c>
      <c r="M457" s="2">
        <f>ROUND(I457*INDEX(과지급률범위,E457),0)</f>
        <v/>
      </c>
      <c r="N457" s="2">
        <f>MAX(0,L457-M457)</f>
        <v/>
      </c>
      <c r="O457" s="2">
        <f>K457-N457</f>
        <v/>
      </c>
      <c r="P457" s="2">
        <f>I457-N457</f>
        <v/>
      </c>
      <c r="Q457" s="5">
        <f>IF(G457&gt;기준일,1,0)</f>
        <v/>
      </c>
      <c r="R457" s="5">
        <f>IF(G457&lt;=기준일,1,0)</f>
        <v/>
      </c>
      <c r="S457" s="2">
        <f>J457*H457</f>
        <v/>
      </c>
      <c r="T457" s="5">
        <f>IF(AND(F457&gt;=표본시작,F457&lt;=표본종료),1,0)</f>
        <v/>
      </c>
      <c r="U457" s="5">
        <f>IF(AND(G457&gt;=조회시작,G457&lt;=조회종료),1,0)</f>
        <v/>
      </c>
    </row>
    <row r="458">
      <c r="A458" s="2">
        <f>ROW()-1</f>
        <v/>
      </c>
      <c r="B458" s="5">
        <f>INDEX(상호범위,D458)</f>
        <v/>
      </c>
      <c r="C458" s="5">
        <f>INDEX(플랫폼명범위,E458)</f>
        <v/>
      </c>
      <c r="D458" s="2">
        <f>MOD(INT((A458-1)/4),8)+1</f>
        <v/>
      </c>
      <c r="E458" s="2">
        <f>MOD(A458-1,4)+1</f>
        <v/>
      </c>
      <c r="F458" s="20">
        <f>축시작+INT((A458-1)/32)</f>
        <v/>
      </c>
      <c r="G458" s="20">
        <f>F458+H458</f>
        <v/>
      </c>
      <c r="H458" s="5" t="n">
        <v>1</v>
      </c>
      <c r="I458" s="2">
        <f>ROUND(INDEX(가맹점!$P$2:$P$9,D458)*INDEX(가맹점!$J$2:$M$9,D458,E458),0)</f>
        <v/>
      </c>
      <c r="J458" s="2">
        <f>ROUND(I458*(1-할인율),0)</f>
        <v/>
      </c>
      <c r="K458" s="2">
        <f>ROUNDDOWN(I458*할인율,0)</f>
        <v/>
      </c>
      <c r="L458" s="2">
        <f>ROUND(I458*INDEX(미지급률범위,E458),0)</f>
        <v/>
      </c>
      <c r="M458" s="2">
        <f>ROUND(I458*INDEX(과지급률범위,E458),0)</f>
        <v/>
      </c>
      <c r="N458" s="2">
        <f>MAX(0,L458-M458)</f>
        <v/>
      </c>
      <c r="O458" s="2">
        <f>K458-N458</f>
        <v/>
      </c>
      <c r="P458" s="2">
        <f>I458-N458</f>
        <v/>
      </c>
      <c r="Q458" s="5">
        <f>IF(G458&gt;기준일,1,0)</f>
        <v/>
      </c>
      <c r="R458" s="5">
        <f>IF(G458&lt;=기준일,1,0)</f>
        <v/>
      </c>
      <c r="S458" s="2">
        <f>J458*H458</f>
        <v/>
      </c>
      <c r="T458" s="5">
        <f>IF(AND(F458&gt;=표본시작,F458&lt;=표본종료),1,0)</f>
        <v/>
      </c>
      <c r="U458" s="5">
        <f>IF(AND(G458&gt;=조회시작,G458&lt;=조회종료),1,0)</f>
        <v/>
      </c>
    </row>
    <row r="459">
      <c r="A459" s="2">
        <f>ROW()-1</f>
        <v/>
      </c>
      <c r="B459" s="5">
        <f>INDEX(상호범위,D459)</f>
        <v/>
      </c>
      <c r="C459" s="5">
        <f>INDEX(플랫폼명범위,E459)</f>
        <v/>
      </c>
      <c r="D459" s="2">
        <f>MOD(INT((A459-1)/4),8)+1</f>
        <v/>
      </c>
      <c r="E459" s="2">
        <f>MOD(A459-1,4)+1</f>
        <v/>
      </c>
      <c r="F459" s="20">
        <f>축시작+INT((A459-1)/32)</f>
        <v/>
      </c>
      <c r="G459" s="20">
        <f>F459+H459</f>
        <v/>
      </c>
      <c r="H459" s="5" t="n">
        <v>4</v>
      </c>
      <c r="I459" s="2">
        <f>ROUND(INDEX(가맹점!$P$2:$P$9,D459)*INDEX(가맹점!$J$2:$M$9,D459,E459),0)</f>
        <v/>
      </c>
      <c r="J459" s="2">
        <f>ROUND(I459*(1-할인율),0)</f>
        <v/>
      </c>
      <c r="K459" s="2">
        <f>ROUNDDOWN(I459*할인율,0)</f>
        <v/>
      </c>
      <c r="L459" s="2">
        <f>ROUND(I459*INDEX(미지급률범위,E459),0)</f>
        <v/>
      </c>
      <c r="M459" s="2">
        <f>ROUND(I459*INDEX(과지급률범위,E459),0)</f>
        <v/>
      </c>
      <c r="N459" s="2">
        <f>MAX(0,L459-M459)</f>
        <v/>
      </c>
      <c r="O459" s="2">
        <f>K459-N459</f>
        <v/>
      </c>
      <c r="P459" s="2">
        <f>I459-N459</f>
        <v/>
      </c>
      <c r="Q459" s="5">
        <f>IF(G459&gt;기준일,1,0)</f>
        <v/>
      </c>
      <c r="R459" s="5">
        <f>IF(G459&lt;=기준일,1,0)</f>
        <v/>
      </c>
      <c r="S459" s="2">
        <f>J459*H459</f>
        <v/>
      </c>
      <c r="T459" s="5">
        <f>IF(AND(F459&gt;=표본시작,F459&lt;=표본종료),1,0)</f>
        <v/>
      </c>
      <c r="U459" s="5">
        <f>IF(AND(G459&gt;=조회시작,G459&lt;=조회종료),1,0)</f>
        <v/>
      </c>
    </row>
    <row r="460">
      <c r="A460" s="2">
        <f>ROW()-1</f>
        <v/>
      </c>
      <c r="B460" s="5">
        <f>INDEX(상호범위,D460)</f>
        <v/>
      </c>
      <c r="C460" s="5">
        <f>INDEX(플랫폼명범위,E460)</f>
        <v/>
      </c>
      <c r="D460" s="2">
        <f>MOD(INT((A460-1)/4),8)+1</f>
        <v/>
      </c>
      <c r="E460" s="2">
        <f>MOD(A460-1,4)+1</f>
        <v/>
      </c>
      <c r="F460" s="20">
        <f>축시작+INT((A460-1)/32)</f>
        <v/>
      </c>
      <c r="G460" s="20">
        <f>F460+H460</f>
        <v/>
      </c>
      <c r="H460" s="5" t="n">
        <v>4</v>
      </c>
      <c r="I460" s="2">
        <f>ROUND(INDEX(가맹점!$P$2:$P$9,D460)*INDEX(가맹점!$J$2:$M$9,D460,E460),0)</f>
        <v/>
      </c>
      <c r="J460" s="2">
        <f>ROUND(I460*(1-할인율),0)</f>
        <v/>
      </c>
      <c r="K460" s="2">
        <f>ROUNDDOWN(I460*할인율,0)</f>
        <v/>
      </c>
      <c r="L460" s="2">
        <f>ROUND(I460*INDEX(미지급률범위,E460),0)</f>
        <v/>
      </c>
      <c r="M460" s="2">
        <f>ROUND(I460*INDEX(과지급률범위,E460),0)</f>
        <v/>
      </c>
      <c r="N460" s="2">
        <f>MAX(0,L460-M460)</f>
        <v/>
      </c>
      <c r="O460" s="2">
        <f>K460-N460</f>
        <v/>
      </c>
      <c r="P460" s="2">
        <f>I460-N460</f>
        <v/>
      </c>
      <c r="Q460" s="5">
        <f>IF(G460&gt;기준일,1,0)</f>
        <v/>
      </c>
      <c r="R460" s="5">
        <f>IF(G460&lt;=기준일,1,0)</f>
        <v/>
      </c>
      <c r="S460" s="2">
        <f>J460*H460</f>
        <v/>
      </c>
      <c r="T460" s="5">
        <f>IF(AND(F460&gt;=표본시작,F460&lt;=표본종료),1,0)</f>
        <v/>
      </c>
      <c r="U460" s="5">
        <f>IF(AND(G460&gt;=조회시작,G460&lt;=조회종료),1,0)</f>
        <v/>
      </c>
    </row>
    <row r="461">
      <c r="A461" s="2">
        <f>ROW()-1</f>
        <v/>
      </c>
      <c r="B461" s="5">
        <f>INDEX(상호범위,D461)</f>
        <v/>
      </c>
      <c r="C461" s="5">
        <f>INDEX(플랫폼명범위,E461)</f>
        <v/>
      </c>
      <c r="D461" s="2">
        <f>MOD(INT((A461-1)/4),8)+1</f>
        <v/>
      </c>
      <c r="E461" s="2">
        <f>MOD(A461-1,4)+1</f>
        <v/>
      </c>
      <c r="F461" s="20">
        <f>축시작+INT((A461-1)/32)</f>
        <v/>
      </c>
      <c r="G461" s="20">
        <f>F461+H461</f>
        <v/>
      </c>
      <c r="H461" s="5" t="n">
        <v>6</v>
      </c>
      <c r="I461" s="2">
        <f>ROUND(INDEX(가맹점!$P$2:$P$9,D461)*INDEX(가맹점!$J$2:$M$9,D461,E461),0)</f>
        <v/>
      </c>
      <c r="J461" s="2">
        <f>ROUND(I461*(1-할인율),0)</f>
        <v/>
      </c>
      <c r="K461" s="2">
        <f>ROUNDDOWN(I461*할인율,0)</f>
        <v/>
      </c>
      <c r="L461" s="2">
        <f>ROUND(I461*INDEX(미지급률범위,E461),0)</f>
        <v/>
      </c>
      <c r="M461" s="2">
        <f>ROUND(I461*INDEX(과지급률범위,E461),0)</f>
        <v/>
      </c>
      <c r="N461" s="2">
        <f>MAX(0,L461-M461)</f>
        <v/>
      </c>
      <c r="O461" s="2">
        <f>K461-N461</f>
        <v/>
      </c>
      <c r="P461" s="2">
        <f>I461-N461</f>
        <v/>
      </c>
      <c r="Q461" s="5">
        <f>IF(G461&gt;기준일,1,0)</f>
        <v/>
      </c>
      <c r="R461" s="5">
        <f>IF(G461&lt;=기준일,1,0)</f>
        <v/>
      </c>
      <c r="S461" s="2">
        <f>J461*H461</f>
        <v/>
      </c>
      <c r="T461" s="5">
        <f>IF(AND(F461&gt;=표본시작,F461&lt;=표본종료),1,0)</f>
        <v/>
      </c>
      <c r="U461" s="5">
        <f>IF(AND(G461&gt;=조회시작,G461&lt;=조회종료),1,0)</f>
        <v/>
      </c>
    </row>
    <row r="462">
      <c r="A462" s="2">
        <f>ROW()-1</f>
        <v/>
      </c>
      <c r="B462" s="5">
        <f>INDEX(상호범위,D462)</f>
        <v/>
      </c>
      <c r="C462" s="5">
        <f>INDEX(플랫폼명범위,E462)</f>
        <v/>
      </c>
      <c r="D462" s="2">
        <f>MOD(INT((A462-1)/4),8)+1</f>
        <v/>
      </c>
      <c r="E462" s="2">
        <f>MOD(A462-1,4)+1</f>
        <v/>
      </c>
      <c r="F462" s="20">
        <f>축시작+INT((A462-1)/32)</f>
        <v/>
      </c>
      <c r="G462" s="20">
        <f>F462+H462</f>
        <v/>
      </c>
      <c r="H462" s="5" t="n">
        <v>1</v>
      </c>
      <c r="I462" s="2">
        <f>ROUND(INDEX(가맹점!$P$2:$P$9,D462)*INDEX(가맹점!$J$2:$M$9,D462,E462),0)</f>
        <v/>
      </c>
      <c r="J462" s="2">
        <f>ROUND(I462*(1-할인율),0)</f>
        <v/>
      </c>
      <c r="K462" s="2">
        <f>ROUNDDOWN(I462*할인율,0)</f>
        <v/>
      </c>
      <c r="L462" s="2">
        <f>ROUND(I462*INDEX(미지급률범위,E462),0)</f>
        <v/>
      </c>
      <c r="M462" s="2">
        <f>ROUND(I462*INDEX(과지급률범위,E462),0)</f>
        <v/>
      </c>
      <c r="N462" s="2">
        <f>MAX(0,L462-M462)</f>
        <v/>
      </c>
      <c r="O462" s="2">
        <f>K462-N462</f>
        <v/>
      </c>
      <c r="P462" s="2">
        <f>I462-N462</f>
        <v/>
      </c>
      <c r="Q462" s="5">
        <f>IF(G462&gt;기준일,1,0)</f>
        <v/>
      </c>
      <c r="R462" s="5">
        <f>IF(G462&lt;=기준일,1,0)</f>
        <v/>
      </c>
      <c r="S462" s="2">
        <f>J462*H462</f>
        <v/>
      </c>
      <c r="T462" s="5">
        <f>IF(AND(F462&gt;=표본시작,F462&lt;=표본종료),1,0)</f>
        <v/>
      </c>
      <c r="U462" s="5">
        <f>IF(AND(G462&gt;=조회시작,G462&lt;=조회종료),1,0)</f>
        <v/>
      </c>
    </row>
    <row r="463">
      <c r="A463" s="2">
        <f>ROW()-1</f>
        <v/>
      </c>
      <c r="B463" s="5">
        <f>INDEX(상호범위,D463)</f>
        <v/>
      </c>
      <c r="C463" s="5">
        <f>INDEX(플랫폼명범위,E463)</f>
        <v/>
      </c>
      <c r="D463" s="2">
        <f>MOD(INT((A463-1)/4),8)+1</f>
        <v/>
      </c>
      <c r="E463" s="2">
        <f>MOD(A463-1,4)+1</f>
        <v/>
      </c>
      <c r="F463" s="20">
        <f>축시작+INT((A463-1)/32)</f>
        <v/>
      </c>
      <c r="G463" s="20">
        <f>F463+H463</f>
        <v/>
      </c>
      <c r="H463" s="5" t="n">
        <v>2</v>
      </c>
      <c r="I463" s="2">
        <f>ROUND(INDEX(가맹점!$P$2:$P$9,D463)*INDEX(가맹점!$J$2:$M$9,D463,E463),0)</f>
        <v/>
      </c>
      <c r="J463" s="2">
        <f>ROUND(I463*(1-할인율),0)</f>
        <v/>
      </c>
      <c r="K463" s="2">
        <f>ROUNDDOWN(I463*할인율,0)</f>
        <v/>
      </c>
      <c r="L463" s="2">
        <f>ROUND(I463*INDEX(미지급률범위,E463),0)</f>
        <v/>
      </c>
      <c r="M463" s="2">
        <f>ROUND(I463*INDEX(과지급률범위,E463),0)</f>
        <v/>
      </c>
      <c r="N463" s="2">
        <f>MAX(0,L463-M463)</f>
        <v/>
      </c>
      <c r="O463" s="2">
        <f>K463-N463</f>
        <v/>
      </c>
      <c r="P463" s="2">
        <f>I463-N463</f>
        <v/>
      </c>
      <c r="Q463" s="5">
        <f>IF(G463&gt;기준일,1,0)</f>
        <v/>
      </c>
      <c r="R463" s="5">
        <f>IF(G463&lt;=기준일,1,0)</f>
        <v/>
      </c>
      <c r="S463" s="2">
        <f>J463*H463</f>
        <v/>
      </c>
      <c r="T463" s="5">
        <f>IF(AND(F463&gt;=표본시작,F463&lt;=표본종료),1,0)</f>
        <v/>
      </c>
      <c r="U463" s="5">
        <f>IF(AND(G463&gt;=조회시작,G463&lt;=조회종료),1,0)</f>
        <v/>
      </c>
    </row>
    <row r="464">
      <c r="A464" s="2">
        <f>ROW()-1</f>
        <v/>
      </c>
      <c r="B464" s="5">
        <f>INDEX(상호범위,D464)</f>
        <v/>
      </c>
      <c r="C464" s="5">
        <f>INDEX(플랫폼명범위,E464)</f>
        <v/>
      </c>
      <c r="D464" s="2">
        <f>MOD(INT((A464-1)/4),8)+1</f>
        <v/>
      </c>
      <c r="E464" s="2">
        <f>MOD(A464-1,4)+1</f>
        <v/>
      </c>
      <c r="F464" s="20">
        <f>축시작+INT((A464-1)/32)</f>
        <v/>
      </c>
      <c r="G464" s="20">
        <f>F464+H464</f>
        <v/>
      </c>
      <c r="H464" s="5" t="n">
        <v>4</v>
      </c>
      <c r="I464" s="2">
        <f>ROUND(INDEX(가맹점!$P$2:$P$9,D464)*INDEX(가맹점!$J$2:$M$9,D464,E464),0)</f>
        <v/>
      </c>
      <c r="J464" s="2">
        <f>ROUND(I464*(1-할인율),0)</f>
        <v/>
      </c>
      <c r="K464" s="2">
        <f>ROUNDDOWN(I464*할인율,0)</f>
        <v/>
      </c>
      <c r="L464" s="2">
        <f>ROUND(I464*INDEX(미지급률범위,E464),0)</f>
        <v/>
      </c>
      <c r="M464" s="2">
        <f>ROUND(I464*INDEX(과지급률범위,E464),0)</f>
        <v/>
      </c>
      <c r="N464" s="2">
        <f>MAX(0,L464-M464)</f>
        <v/>
      </c>
      <c r="O464" s="2">
        <f>K464-N464</f>
        <v/>
      </c>
      <c r="P464" s="2">
        <f>I464-N464</f>
        <v/>
      </c>
      <c r="Q464" s="5">
        <f>IF(G464&gt;기준일,1,0)</f>
        <v/>
      </c>
      <c r="R464" s="5">
        <f>IF(G464&lt;=기준일,1,0)</f>
        <v/>
      </c>
      <c r="S464" s="2">
        <f>J464*H464</f>
        <v/>
      </c>
      <c r="T464" s="5">
        <f>IF(AND(F464&gt;=표본시작,F464&lt;=표본종료),1,0)</f>
        <v/>
      </c>
      <c r="U464" s="5">
        <f>IF(AND(G464&gt;=조회시작,G464&lt;=조회종료),1,0)</f>
        <v/>
      </c>
    </row>
    <row r="465">
      <c r="A465" s="2">
        <f>ROW()-1</f>
        <v/>
      </c>
      <c r="B465" s="5">
        <f>INDEX(상호범위,D465)</f>
        <v/>
      </c>
      <c r="C465" s="5">
        <f>INDEX(플랫폼명범위,E465)</f>
        <v/>
      </c>
      <c r="D465" s="2">
        <f>MOD(INT((A465-1)/4),8)+1</f>
        <v/>
      </c>
      <c r="E465" s="2">
        <f>MOD(A465-1,4)+1</f>
        <v/>
      </c>
      <c r="F465" s="20">
        <f>축시작+INT((A465-1)/32)</f>
        <v/>
      </c>
      <c r="G465" s="20">
        <f>F465+H465</f>
        <v/>
      </c>
      <c r="H465" s="5" t="n">
        <v>5</v>
      </c>
      <c r="I465" s="2">
        <f>ROUND(INDEX(가맹점!$P$2:$P$9,D465)*INDEX(가맹점!$J$2:$M$9,D465,E465),0)</f>
        <v/>
      </c>
      <c r="J465" s="2">
        <f>ROUND(I465*(1-할인율),0)</f>
        <v/>
      </c>
      <c r="K465" s="2">
        <f>ROUNDDOWN(I465*할인율,0)</f>
        <v/>
      </c>
      <c r="L465" s="2">
        <f>ROUND(I465*INDEX(미지급률범위,E465),0)</f>
        <v/>
      </c>
      <c r="M465" s="2">
        <f>ROUND(I465*INDEX(과지급률범위,E465),0)</f>
        <v/>
      </c>
      <c r="N465" s="2">
        <f>MAX(0,L465-M465)</f>
        <v/>
      </c>
      <c r="O465" s="2">
        <f>K465-N465</f>
        <v/>
      </c>
      <c r="P465" s="2">
        <f>I465-N465</f>
        <v/>
      </c>
      <c r="Q465" s="5">
        <f>IF(G465&gt;기준일,1,0)</f>
        <v/>
      </c>
      <c r="R465" s="5">
        <f>IF(G465&lt;=기준일,1,0)</f>
        <v/>
      </c>
      <c r="S465" s="2">
        <f>J465*H465</f>
        <v/>
      </c>
      <c r="T465" s="5">
        <f>IF(AND(F465&gt;=표본시작,F465&lt;=표본종료),1,0)</f>
        <v/>
      </c>
      <c r="U465" s="5">
        <f>IF(AND(G465&gt;=조회시작,G465&lt;=조회종료),1,0)</f>
        <v/>
      </c>
    </row>
    <row r="466">
      <c r="A466" s="2">
        <f>ROW()-1</f>
        <v/>
      </c>
      <c r="B466" s="5">
        <f>INDEX(상호범위,D466)</f>
        <v/>
      </c>
      <c r="C466" s="5">
        <f>INDEX(플랫폼명범위,E466)</f>
        <v/>
      </c>
      <c r="D466" s="2">
        <f>MOD(INT((A466-1)/4),8)+1</f>
        <v/>
      </c>
      <c r="E466" s="2">
        <f>MOD(A466-1,4)+1</f>
        <v/>
      </c>
      <c r="F466" s="20">
        <f>축시작+INT((A466-1)/32)</f>
        <v/>
      </c>
      <c r="G466" s="20">
        <f>F466+H466</f>
        <v/>
      </c>
      <c r="H466" s="5" t="n">
        <v>1</v>
      </c>
      <c r="I466" s="2">
        <f>ROUND(INDEX(가맹점!$P$2:$P$9,D466)*INDEX(가맹점!$J$2:$M$9,D466,E466),0)</f>
        <v/>
      </c>
      <c r="J466" s="2">
        <f>ROUND(I466*(1-할인율),0)</f>
        <v/>
      </c>
      <c r="K466" s="2">
        <f>ROUNDDOWN(I466*할인율,0)</f>
        <v/>
      </c>
      <c r="L466" s="2">
        <f>ROUND(I466*INDEX(미지급률범위,E466),0)</f>
        <v/>
      </c>
      <c r="M466" s="2">
        <f>ROUND(I466*INDEX(과지급률범위,E466),0)</f>
        <v/>
      </c>
      <c r="N466" s="2">
        <f>MAX(0,L466-M466)</f>
        <v/>
      </c>
      <c r="O466" s="2">
        <f>K466-N466</f>
        <v/>
      </c>
      <c r="P466" s="2">
        <f>I466-N466</f>
        <v/>
      </c>
      <c r="Q466" s="5">
        <f>IF(G466&gt;기준일,1,0)</f>
        <v/>
      </c>
      <c r="R466" s="5">
        <f>IF(G466&lt;=기준일,1,0)</f>
        <v/>
      </c>
      <c r="S466" s="2">
        <f>J466*H466</f>
        <v/>
      </c>
      <c r="T466" s="5">
        <f>IF(AND(F466&gt;=표본시작,F466&lt;=표본종료),1,0)</f>
        <v/>
      </c>
      <c r="U466" s="5">
        <f>IF(AND(G466&gt;=조회시작,G466&lt;=조회종료),1,0)</f>
        <v/>
      </c>
    </row>
    <row r="467">
      <c r="A467" s="2">
        <f>ROW()-1</f>
        <v/>
      </c>
      <c r="B467" s="5">
        <f>INDEX(상호범위,D467)</f>
        <v/>
      </c>
      <c r="C467" s="5">
        <f>INDEX(플랫폼명범위,E467)</f>
        <v/>
      </c>
      <c r="D467" s="2">
        <f>MOD(INT((A467-1)/4),8)+1</f>
        <v/>
      </c>
      <c r="E467" s="2">
        <f>MOD(A467-1,4)+1</f>
        <v/>
      </c>
      <c r="F467" s="20">
        <f>축시작+INT((A467-1)/32)</f>
        <v/>
      </c>
      <c r="G467" s="20">
        <f>F467+H467</f>
        <v/>
      </c>
      <c r="H467" s="5" t="n">
        <v>2</v>
      </c>
      <c r="I467" s="2">
        <f>ROUND(INDEX(가맹점!$P$2:$P$9,D467)*INDEX(가맹점!$J$2:$M$9,D467,E467),0)</f>
        <v/>
      </c>
      <c r="J467" s="2">
        <f>ROUND(I467*(1-할인율),0)</f>
        <v/>
      </c>
      <c r="K467" s="2">
        <f>ROUNDDOWN(I467*할인율,0)</f>
        <v/>
      </c>
      <c r="L467" s="2">
        <f>ROUND(I467*INDEX(미지급률범위,E467),0)</f>
        <v/>
      </c>
      <c r="M467" s="2">
        <f>ROUND(I467*INDEX(과지급률범위,E467),0)</f>
        <v/>
      </c>
      <c r="N467" s="2">
        <f>MAX(0,L467-M467)</f>
        <v/>
      </c>
      <c r="O467" s="2">
        <f>K467-N467</f>
        <v/>
      </c>
      <c r="P467" s="2">
        <f>I467-N467</f>
        <v/>
      </c>
      <c r="Q467" s="5">
        <f>IF(G467&gt;기준일,1,0)</f>
        <v/>
      </c>
      <c r="R467" s="5">
        <f>IF(G467&lt;=기준일,1,0)</f>
        <v/>
      </c>
      <c r="S467" s="2">
        <f>J467*H467</f>
        <v/>
      </c>
      <c r="T467" s="5">
        <f>IF(AND(F467&gt;=표본시작,F467&lt;=표본종료),1,0)</f>
        <v/>
      </c>
      <c r="U467" s="5">
        <f>IF(AND(G467&gt;=조회시작,G467&lt;=조회종료),1,0)</f>
        <v/>
      </c>
    </row>
    <row r="468">
      <c r="A468" s="2">
        <f>ROW()-1</f>
        <v/>
      </c>
      <c r="B468" s="5">
        <f>INDEX(상호범위,D468)</f>
        <v/>
      </c>
      <c r="C468" s="5">
        <f>INDEX(플랫폼명범위,E468)</f>
        <v/>
      </c>
      <c r="D468" s="2">
        <f>MOD(INT((A468-1)/4),8)+1</f>
        <v/>
      </c>
      <c r="E468" s="2">
        <f>MOD(A468-1,4)+1</f>
        <v/>
      </c>
      <c r="F468" s="20">
        <f>축시작+INT((A468-1)/32)</f>
        <v/>
      </c>
      <c r="G468" s="20">
        <f>F468+H468</f>
        <v/>
      </c>
      <c r="H468" s="5" t="n">
        <v>5</v>
      </c>
      <c r="I468" s="2">
        <f>ROUND(INDEX(가맹점!$P$2:$P$9,D468)*INDEX(가맹점!$J$2:$M$9,D468,E468),0)</f>
        <v/>
      </c>
      <c r="J468" s="2">
        <f>ROUND(I468*(1-할인율),0)</f>
        <v/>
      </c>
      <c r="K468" s="2">
        <f>ROUNDDOWN(I468*할인율,0)</f>
        <v/>
      </c>
      <c r="L468" s="2">
        <f>ROUND(I468*INDEX(미지급률범위,E468),0)</f>
        <v/>
      </c>
      <c r="M468" s="2">
        <f>ROUND(I468*INDEX(과지급률범위,E468),0)</f>
        <v/>
      </c>
      <c r="N468" s="2">
        <f>MAX(0,L468-M468)</f>
        <v/>
      </c>
      <c r="O468" s="2">
        <f>K468-N468</f>
        <v/>
      </c>
      <c r="P468" s="2">
        <f>I468-N468</f>
        <v/>
      </c>
      <c r="Q468" s="5">
        <f>IF(G468&gt;기준일,1,0)</f>
        <v/>
      </c>
      <c r="R468" s="5">
        <f>IF(G468&lt;=기준일,1,0)</f>
        <v/>
      </c>
      <c r="S468" s="2">
        <f>J468*H468</f>
        <v/>
      </c>
      <c r="T468" s="5">
        <f>IF(AND(F468&gt;=표본시작,F468&lt;=표본종료),1,0)</f>
        <v/>
      </c>
      <c r="U468" s="5">
        <f>IF(AND(G468&gt;=조회시작,G468&lt;=조회종료),1,0)</f>
        <v/>
      </c>
    </row>
    <row r="469">
      <c r="A469" s="2">
        <f>ROW()-1</f>
        <v/>
      </c>
      <c r="B469" s="5">
        <f>INDEX(상호범위,D469)</f>
        <v/>
      </c>
      <c r="C469" s="5">
        <f>INDEX(플랫폼명범위,E469)</f>
        <v/>
      </c>
      <c r="D469" s="2">
        <f>MOD(INT((A469-1)/4),8)+1</f>
        <v/>
      </c>
      <c r="E469" s="2">
        <f>MOD(A469-1,4)+1</f>
        <v/>
      </c>
      <c r="F469" s="20">
        <f>축시작+INT((A469-1)/32)</f>
        <v/>
      </c>
      <c r="G469" s="20">
        <f>F469+H469</f>
        <v/>
      </c>
      <c r="H469" s="5" t="n">
        <v>10</v>
      </c>
      <c r="I469" s="2">
        <f>ROUND(INDEX(가맹점!$P$2:$P$9,D469)*INDEX(가맹점!$J$2:$M$9,D469,E469),0)</f>
        <v/>
      </c>
      <c r="J469" s="2">
        <f>ROUND(I469*(1-할인율),0)</f>
        <v/>
      </c>
      <c r="K469" s="2">
        <f>ROUNDDOWN(I469*할인율,0)</f>
        <v/>
      </c>
      <c r="L469" s="2">
        <f>ROUND(I469*INDEX(미지급률범위,E469),0)</f>
        <v/>
      </c>
      <c r="M469" s="2">
        <f>ROUND(I469*INDEX(과지급률범위,E469),0)</f>
        <v/>
      </c>
      <c r="N469" s="2">
        <f>MAX(0,L469-M469)</f>
        <v/>
      </c>
      <c r="O469" s="2">
        <f>K469-N469</f>
        <v/>
      </c>
      <c r="P469" s="2">
        <f>I469-N469</f>
        <v/>
      </c>
      <c r="Q469" s="5">
        <f>IF(G469&gt;기준일,1,0)</f>
        <v/>
      </c>
      <c r="R469" s="5">
        <f>IF(G469&lt;=기준일,1,0)</f>
        <v/>
      </c>
      <c r="S469" s="2">
        <f>J469*H469</f>
        <v/>
      </c>
      <c r="T469" s="5">
        <f>IF(AND(F469&gt;=표본시작,F469&lt;=표본종료),1,0)</f>
        <v/>
      </c>
      <c r="U469" s="5">
        <f>IF(AND(G469&gt;=조회시작,G469&lt;=조회종료),1,0)</f>
        <v/>
      </c>
    </row>
    <row r="470">
      <c r="A470" s="2">
        <f>ROW()-1</f>
        <v/>
      </c>
      <c r="B470" s="5">
        <f>INDEX(상호범위,D470)</f>
        <v/>
      </c>
      <c r="C470" s="5">
        <f>INDEX(플랫폼명범위,E470)</f>
        <v/>
      </c>
      <c r="D470" s="2">
        <f>MOD(INT((A470-1)/4),8)+1</f>
        <v/>
      </c>
      <c r="E470" s="2">
        <f>MOD(A470-1,4)+1</f>
        <v/>
      </c>
      <c r="F470" s="20">
        <f>축시작+INT((A470-1)/32)</f>
        <v/>
      </c>
      <c r="G470" s="20">
        <f>F470+H470</f>
        <v/>
      </c>
      <c r="H470" s="5" t="n">
        <v>1</v>
      </c>
      <c r="I470" s="2">
        <f>ROUND(INDEX(가맹점!$P$2:$P$9,D470)*INDEX(가맹점!$J$2:$M$9,D470,E470),0)</f>
        <v/>
      </c>
      <c r="J470" s="2">
        <f>ROUND(I470*(1-할인율),0)</f>
        <v/>
      </c>
      <c r="K470" s="2">
        <f>ROUNDDOWN(I470*할인율,0)</f>
        <v/>
      </c>
      <c r="L470" s="2">
        <f>ROUND(I470*INDEX(미지급률범위,E470),0)</f>
        <v/>
      </c>
      <c r="M470" s="2">
        <f>ROUND(I470*INDEX(과지급률범위,E470),0)</f>
        <v/>
      </c>
      <c r="N470" s="2">
        <f>MAX(0,L470-M470)</f>
        <v/>
      </c>
      <c r="O470" s="2">
        <f>K470-N470</f>
        <v/>
      </c>
      <c r="P470" s="2">
        <f>I470-N470</f>
        <v/>
      </c>
      <c r="Q470" s="5">
        <f>IF(G470&gt;기준일,1,0)</f>
        <v/>
      </c>
      <c r="R470" s="5">
        <f>IF(G470&lt;=기준일,1,0)</f>
        <v/>
      </c>
      <c r="S470" s="2">
        <f>J470*H470</f>
        <v/>
      </c>
      <c r="T470" s="5">
        <f>IF(AND(F470&gt;=표본시작,F470&lt;=표본종료),1,0)</f>
        <v/>
      </c>
      <c r="U470" s="5">
        <f>IF(AND(G470&gt;=조회시작,G470&lt;=조회종료),1,0)</f>
        <v/>
      </c>
    </row>
    <row r="471">
      <c r="A471" s="2">
        <f>ROW()-1</f>
        <v/>
      </c>
      <c r="B471" s="5">
        <f>INDEX(상호범위,D471)</f>
        <v/>
      </c>
      <c r="C471" s="5">
        <f>INDEX(플랫폼명범위,E471)</f>
        <v/>
      </c>
      <c r="D471" s="2">
        <f>MOD(INT((A471-1)/4),8)+1</f>
        <v/>
      </c>
      <c r="E471" s="2">
        <f>MOD(A471-1,4)+1</f>
        <v/>
      </c>
      <c r="F471" s="20">
        <f>축시작+INT((A471-1)/32)</f>
        <v/>
      </c>
      <c r="G471" s="20">
        <f>F471+H471</f>
        <v/>
      </c>
      <c r="H471" s="5" t="n">
        <v>4</v>
      </c>
      <c r="I471" s="2">
        <f>ROUND(INDEX(가맹점!$P$2:$P$9,D471)*INDEX(가맹점!$J$2:$M$9,D471,E471),0)</f>
        <v/>
      </c>
      <c r="J471" s="2">
        <f>ROUND(I471*(1-할인율),0)</f>
        <v/>
      </c>
      <c r="K471" s="2">
        <f>ROUNDDOWN(I471*할인율,0)</f>
        <v/>
      </c>
      <c r="L471" s="2">
        <f>ROUND(I471*INDEX(미지급률범위,E471),0)</f>
        <v/>
      </c>
      <c r="M471" s="2">
        <f>ROUND(I471*INDEX(과지급률범위,E471),0)</f>
        <v/>
      </c>
      <c r="N471" s="2">
        <f>MAX(0,L471-M471)</f>
        <v/>
      </c>
      <c r="O471" s="2">
        <f>K471-N471</f>
        <v/>
      </c>
      <c r="P471" s="2">
        <f>I471-N471</f>
        <v/>
      </c>
      <c r="Q471" s="5">
        <f>IF(G471&gt;기준일,1,0)</f>
        <v/>
      </c>
      <c r="R471" s="5">
        <f>IF(G471&lt;=기준일,1,0)</f>
        <v/>
      </c>
      <c r="S471" s="2">
        <f>J471*H471</f>
        <v/>
      </c>
      <c r="T471" s="5">
        <f>IF(AND(F471&gt;=표본시작,F471&lt;=표본종료),1,0)</f>
        <v/>
      </c>
      <c r="U471" s="5">
        <f>IF(AND(G471&gt;=조회시작,G471&lt;=조회종료),1,0)</f>
        <v/>
      </c>
    </row>
    <row r="472">
      <c r="A472" s="2">
        <f>ROW()-1</f>
        <v/>
      </c>
      <c r="B472" s="5">
        <f>INDEX(상호범위,D472)</f>
        <v/>
      </c>
      <c r="C472" s="5">
        <f>INDEX(플랫폼명범위,E472)</f>
        <v/>
      </c>
      <c r="D472" s="2">
        <f>MOD(INT((A472-1)/4),8)+1</f>
        <v/>
      </c>
      <c r="E472" s="2">
        <f>MOD(A472-1,4)+1</f>
        <v/>
      </c>
      <c r="F472" s="20">
        <f>축시작+INT((A472-1)/32)</f>
        <v/>
      </c>
      <c r="G472" s="20">
        <f>F472+H472</f>
        <v/>
      </c>
      <c r="H472" s="5" t="n">
        <v>5</v>
      </c>
      <c r="I472" s="2">
        <f>ROUND(INDEX(가맹점!$P$2:$P$9,D472)*INDEX(가맹점!$J$2:$M$9,D472,E472),0)</f>
        <v/>
      </c>
      <c r="J472" s="2">
        <f>ROUND(I472*(1-할인율),0)</f>
        <v/>
      </c>
      <c r="K472" s="2">
        <f>ROUNDDOWN(I472*할인율,0)</f>
        <v/>
      </c>
      <c r="L472" s="2">
        <f>ROUND(I472*INDEX(미지급률범위,E472),0)</f>
        <v/>
      </c>
      <c r="M472" s="2">
        <f>ROUND(I472*INDEX(과지급률범위,E472),0)</f>
        <v/>
      </c>
      <c r="N472" s="2">
        <f>MAX(0,L472-M472)</f>
        <v/>
      </c>
      <c r="O472" s="2">
        <f>K472-N472</f>
        <v/>
      </c>
      <c r="P472" s="2">
        <f>I472-N472</f>
        <v/>
      </c>
      <c r="Q472" s="5">
        <f>IF(G472&gt;기준일,1,0)</f>
        <v/>
      </c>
      <c r="R472" s="5">
        <f>IF(G472&lt;=기준일,1,0)</f>
        <v/>
      </c>
      <c r="S472" s="2">
        <f>J472*H472</f>
        <v/>
      </c>
      <c r="T472" s="5">
        <f>IF(AND(F472&gt;=표본시작,F472&lt;=표본종료),1,0)</f>
        <v/>
      </c>
      <c r="U472" s="5">
        <f>IF(AND(G472&gt;=조회시작,G472&lt;=조회종료),1,0)</f>
        <v/>
      </c>
    </row>
    <row r="473">
      <c r="A473" s="2">
        <f>ROW()-1</f>
        <v/>
      </c>
      <c r="B473" s="5">
        <f>INDEX(상호범위,D473)</f>
        <v/>
      </c>
      <c r="C473" s="5">
        <f>INDEX(플랫폼명범위,E473)</f>
        <v/>
      </c>
      <c r="D473" s="2">
        <f>MOD(INT((A473-1)/4),8)+1</f>
        <v/>
      </c>
      <c r="E473" s="2">
        <f>MOD(A473-1,4)+1</f>
        <v/>
      </c>
      <c r="F473" s="20">
        <f>축시작+INT((A473-1)/32)</f>
        <v/>
      </c>
      <c r="G473" s="20">
        <f>F473+H473</f>
        <v/>
      </c>
      <c r="H473" s="5" t="n">
        <v>5</v>
      </c>
      <c r="I473" s="2">
        <f>ROUND(INDEX(가맹점!$P$2:$P$9,D473)*INDEX(가맹점!$J$2:$M$9,D473,E473),0)</f>
        <v/>
      </c>
      <c r="J473" s="2">
        <f>ROUND(I473*(1-할인율),0)</f>
        <v/>
      </c>
      <c r="K473" s="2">
        <f>ROUNDDOWN(I473*할인율,0)</f>
        <v/>
      </c>
      <c r="L473" s="2">
        <f>ROUND(I473*INDEX(미지급률범위,E473),0)</f>
        <v/>
      </c>
      <c r="M473" s="2">
        <f>ROUND(I473*INDEX(과지급률범위,E473),0)</f>
        <v/>
      </c>
      <c r="N473" s="2">
        <f>MAX(0,L473-M473)</f>
        <v/>
      </c>
      <c r="O473" s="2">
        <f>K473-N473</f>
        <v/>
      </c>
      <c r="P473" s="2">
        <f>I473-N473</f>
        <v/>
      </c>
      <c r="Q473" s="5">
        <f>IF(G473&gt;기준일,1,0)</f>
        <v/>
      </c>
      <c r="R473" s="5">
        <f>IF(G473&lt;=기준일,1,0)</f>
        <v/>
      </c>
      <c r="S473" s="2">
        <f>J473*H473</f>
        <v/>
      </c>
      <c r="T473" s="5">
        <f>IF(AND(F473&gt;=표본시작,F473&lt;=표본종료),1,0)</f>
        <v/>
      </c>
      <c r="U473" s="5">
        <f>IF(AND(G473&gt;=조회시작,G473&lt;=조회종료),1,0)</f>
        <v/>
      </c>
    </row>
    <row r="474">
      <c r="A474" s="2">
        <f>ROW()-1</f>
        <v/>
      </c>
      <c r="B474" s="5">
        <f>INDEX(상호범위,D474)</f>
        <v/>
      </c>
      <c r="C474" s="5">
        <f>INDEX(플랫폼명범위,E474)</f>
        <v/>
      </c>
      <c r="D474" s="2">
        <f>MOD(INT((A474-1)/4),8)+1</f>
        <v/>
      </c>
      <c r="E474" s="2">
        <f>MOD(A474-1,4)+1</f>
        <v/>
      </c>
      <c r="F474" s="20">
        <f>축시작+INT((A474-1)/32)</f>
        <v/>
      </c>
      <c r="G474" s="20">
        <f>F474+H474</f>
        <v/>
      </c>
      <c r="H474" s="5" t="n">
        <v>1</v>
      </c>
      <c r="I474" s="2">
        <f>ROUND(INDEX(가맹점!$P$2:$P$9,D474)*INDEX(가맹점!$J$2:$M$9,D474,E474),0)</f>
        <v/>
      </c>
      <c r="J474" s="2">
        <f>ROUND(I474*(1-할인율),0)</f>
        <v/>
      </c>
      <c r="K474" s="2">
        <f>ROUNDDOWN(I474*할인율,0)</f>
        <v/>
      </c>
      <c r="L474" s="2">
        <f>ROUND(I474*INDEX(미지급률범위,E474),0)</f>
        <v/>
      </c>
      <c r="M474" s="2">
        <f>ROUND(I474*INDEX(과지급률범위,E474),0)</f>
        <v/>
      </c>
      <c r="N474" s="2">
        <f>MAX(0,L474-M474)</f>
        <v/>
      </c>
      <c r="O474" s="2">
        <f>K474-N474</f>
        <v/>
      </c>
      <c r="P474" s="2">
        <f>I474-N474</f>
        <v/>
      </c>
      <c r="Q474" s="5">
        <f>IF(G474&gt;기준일,1,0)</f>
        <v/>
      </c>
      <c r="R474" s="5">
        <f>IF(G474&lt;=기준일,1,0)</f>
        <v/>
      </c>
      <c r="S474" s="2">
        <f>J474*H474</f>
        <v/>
      </c>
      <c r="T474" s="5">
        <f>IF(AND(F474&gt;=표본시작,F474&lt;=표본종료),1,0)</f>
        <v/>
      </c>
      <c r="U474" s="5">
        <f>IF(AND(G474&gt;=조회시작,G474&lt;=조회종료),1,0)</f>
        <v/>
      </c>
    </row>
    <row r="475">
      <c r="A475" s="2">
        <f>ROW()-1</f>
        <v/>
      </c>
      <c r="B475" s="5">
        <f>INDEX(상호범위,D475)</f>
        <v/>
      </c>
      <c r="C475" s="5">
        <f>INDEX(플랫폼명범위,E475)</f>
        <v/>
      </c>
      <c r="D475" s="2">
        <f>MOD(INT((A475-1)/4),8)+1</f>
        <v/>
      </c>
      <c r="E475" s="2">
        <f>MOD(A475-1,4)+1</f>
        <v/>
      </c>
      <c r="F475" s="20">
        <f>축시작+INT((A475-1)/32)</f>
        <v/>
      </c>
      <c r="G475" s="20">
        <f>F475+H475</f>
        <v/>
      </c>
      <c r="H475" s="5" t="n">
        <v>2</v>
      </c>
      <c r="I475" s="2">
        <f>ROUND(INDEX(가맹점!$P$2:$P$9,D475)*INDEX(가맹점!$J$2:$M$9,D475,E475),0)</f>
        <v/>
      </c>
      <c r="J475" s="2">
        <f>ROUND(I475*(1-할인율),0)</f>
        <v/>
      </c>
      <c r="K475" s="2">
        <f>ROUNDDOWN(I475*할인율,0)</f>
        <v/>
      </c>
      <c r="L475" s="2">
        <f>ROUND(I475*INDEX(미지급률범위,E475),0)</f>
        <v/>
      </c>
      <c r="M475" s="2">
        <f>ROUND(I475*INDEX(과지급률범위,E475),0)</f>
        <v/>
      </c>
      <c r="N475" s="2">
        <f>MAX(0,L475-M475)</f>
        <v/>
      </c>
      <c r="O475" s="2">
        <f>K475-N475</f>
        <v/>
      </c>
      <c r="P475" s="2">
        <f>I475-N475</f>
        <v/>
      </c>
      <c r="Q475" s="5">
        <f>IF(G475&gt;기준일,1,0)</f>
        <v/>
      </c>
      <c r="R475" s="5">
        <f>IF(G475&lt;=기준일,1,0)</f>
        <v/>
      </c>
      <c r="S475" s="2">
        <f>J475*H475</f>
        <v/>
      </c>
      <c r="T475" s="5">
        <f>IF(AND(F475&gt;=표본시작,F475&lt;=표본종료),1,0)</f>
        <v/>
      </c>
      <c r="U475" s="5">
        <f>IF(AND(G475&gt;=조회시작,G475&lt;=조회종료),1,0)</f>
        <v/>
      </c>
    </row>
    <row r="476">
      <c r="A476" s="2">
        <f>ROW()-1</f>
        <v/>
      </c>
      <c r="B476" s="5">
        <f>INDEX(상호범위,D476)</f>
        <v/>
      </c>
      <c r="C476" s="5">
        <f>INDEX(플랫폼명범위,E476)</f>
        <v/>
      </c>
      <c r="D476" s="2">
        <f>MOD(INT((A476-1)/4),8)+1</f>
        <v/>
      </c>
      <c r="E476" s="2">
        <f>MOD(A476-1,4)+1</f>
        <v/>
      </c>
      <c r="F476" s="20">
        <f>축시작+INT((A476-1)/32)</f>
        <v/>
      </c>
      <c r="G476" s="20">
        <f>F476+H476</f>
        <v/>
      </c>
      <c r="H476" s="5" t="n">
        <v>5</v>
      </c>
      <c r="I476" s="2">
        <f>ROUND(INDEX(가맹점!$P$2:$P$9,D476)*INDEX(가맹점!$J$2:$M$9,D476,E476),0)</f>
        <v/>
      </c>
      <c r="J476" s="2">
        <f>ROUND(I476*(1-할인율),0)</f>
        <v/>
      </c>
      <c r="K476" s="2">
        <f>ROUNDDOWN(I476*할인율,0)</f>
        <v/>
      </c>
      <c r="L476" s="2">
        <f>ROUND(I476*INDEX(미지급률범위,E476),0)</f>
        <v/>
      </c>
      <c r="M476" s="2">
        <f>ROUND(I476*INDEX(과지급률범위,E476),0)</f>
        <v/>
      </c>
      <c r="N476" s="2">
        <f>MAX(0,L476-M476)</f>
        <v/>
      </c>
      <c r="O476" s="2">
        <f>K476-N476</f>
        <v/>
      </c>
      <c r="P476" s="2">
        <f>I476-N476</f>
        <v/>
      </c>
      <c r="Q476" s="5">
        <f>IF(G476&gt;기준일,1,0)</f>
        <v/>
      </c>
      <c r="R476" s="5">
        <f>IF(G476&lt;=기준일,1,0)</f>
        <v/>
      </c>
      <c r="S476" s="2">
        <f>J476*H476</f>
        <v/>
      </c>
      <c r="T476" s="5">
        <f>IF(AND(F476&gt;=표본시작,F476&lt;=표본종료),1,0)</f>
        <v/>
      </c>
      <c r="U476" s="5">
        <f>IF(AND(G476&gt;=조회시작,G476&lt;=조회종료),1,0)</f>
        <v/>
      </c>
    </row>
    <row r="477">
      <c r="A477" s="2">
        <f>ROW()-1</f>
        <v/>
      </c>
      <c r="B477" s="5">
        <f>INDEX(상호범위,D477)</f>
        <v/>
      </c>
      <c r="C477" s="5">
        <f>INDEX(플랫폼명범위,E477)</f>
        <v/>
      </c>
      <c r="D477" s="2">
        <f>MOD(INT((A477-1)/4),8)+1</f>
        <v/>
      </c>
      <c r="E477" s="2">
        <f>MOD(A477-1,4)+1</f>
        <v/>
      </c>
      <c r="F477" s="20">
        <f>축시작+INT((A477-1)/32)</f>
        <v/>
      </c>
      <c r="G477" s="20">
        <f>F477+H477</f>
        <v/>
      </c>
      <c r="H477" s="5" t="n">
        <v>6</v>
      </c>
      <c r="I477" s="2">
        <f>ROUND(INDEX(가맹점!$P$2:$P$9,D477)*INDEX(가맹점!$J$2:$M$9,D477,E477),0)</f>
        <v/>
      </c>
      <c r="J477" s="2">
        <f>ROUND(I477*(1-할인율),0)</f>
        <v/>
      </c>
      <c r="K477" s="2">
        <f>ROUNDDOWN(I477*할인율,0)</f>
        <v/>
      </c>
      <c r="L477" s="2">
        <f>ROUND(I477*INDEX(미지급률범위,E477),0)</f>
        <v/>
      </c>
      <c r="M477" s="2">
        <f>ROUND(I477*INDEX(과지급률범위,E477),0)</f>
        <v/>
      </c>
      <c r="N477" s="2">
        <f>MAX(0,L477-M477)</f>
        <v/>
      </c>
      <c r="O477" s="2">
        <f>K477-N477</f>
        <v/>
      </c>
      <c r="P477" s="2">
        <f>I477-N477</f>
        <v/>
      </c>
      <c r="Q477" s="5">
        <f>IF(G477&gt;기준일,1,0)</f>
        <v/>
      </c>
      <c r="R477" s="5">
        <f>IF(G477&lt;=기준일,1,0)</f>
        <v/>
      </c>
      <c r="S477" s="2">
        <f>J477*H477</f>
        <v/>
      </c>
      <c r="T477" s="5">
        <f>IF(AND(F477&gt;=표본시작,F477&lt;=표본종료),1,0)</f>
        <v/>
      </c>
      <c r="U477" s="5">
        <f>IF(AND(G477&gt;=조회시작,G477&lt;=조회종료),1,0)</f>
        <v/>
      </c>
    </row>
    <row r="478">
      <c r="A478" s="2">
        <f>ROW()-1</f>
        <v/>
      </c>
      <c r="B478" s="5">
        <f>INDEX(상호범위,D478)</f>
        <v/>
      </c>
      <c r="C478" s="5">
        <f>INDEX(플랫폼명범위,E478)</f>
        <v/>
      </c>
      <c r="D478" s="2">
        <f>MOD(INT((A478-1)/4),8)+1</f>
        <v/>
      </c>
      <c r="E478" s="2">
        <f>MOD(A478-1,4)+1</f>
        <v/>
      </c>
      <c r="F478" s="20">
        <f>축시작+INT((A478-1)/32)</f>
        <v/>
      </c>
      <c r="G478" s="20">
        <f>F478+H478</f>
        <v/>
      </c>
      <c r="H478" s="5" t="n">
        <v>1</v>
      </c>
      <c r="I478" s="2">
        <f>ROUND(INDEX(가맹점!$P$2:$P$9,D478)*INDEX(가맹점!$J$2:$M$9,D478,E478),0)</f>
        <v/>
      </c>
      <c r="J478" s="2">
        <f>ROUND(I478*(1-할인율),0)</f>
        <v/>
      </c>
      <c r="K478" s="2">
        <f>ROUNDDOWN(I478*할인율,0)</f>
        <v/>
      </c>
      <c r="L478" s="2">
        <f>ROUND(I478*INDEX(미지급률범위,E478),0)</f>
        <v/>
      </c>
      <c r="M478" s="2">
        <f>ROUND(I478*INDEX(과지급률범위,E478),0)</f>
        <v/>
      </c>
      <c r="N478" s="2">
        <f>MAX(0,L478-M478)</f>
        <v/>
      </c>
      <c r="O478" s="2">
        <f>K478-N478</f>
        <v/>
      </c>
      <c r="P478" s="2">
        <f>I478-N478</f>
        <v/>
      </c>
      <c r="Q478" s="5">
        <f>IF(G478&gt;기준일,1,0)</f>
        <v/>
      </c>
      <c r="R478" s="5">
        <f>IF(G478&lt;=기준일,1,0)</f>
        <v/>
      </c>
      <c r="S478" s="2">
        <f>J478*H478</f>
        <v/>
      </c>
      <c r="T478" s="5">
        <f>IF(AND(F478&gt;=표본시작,F478&lt;=표본종료),1,0)</f>
        <v/>
      </c>
      <c r="U478" s="5">
        <f>IF(AND(G478&gt;=조회시작,G478&lt;=조회종료),1,0)</f>
        <v/>
      </c>
    </row>
    <row r="479">
      <c r="A479" s="2">
        <f>ROW()-1</f>
        <v/>
      </c>
      <c r="B479" s="5">
        <f>INDEX(상호범위,D479)</f>
        <v/>
      </c>
      <c r="C479" s="5">
        <f>INDEX(플랫폼명범위,E479)</f>
        <v/>
      </c>
      <c r="D479" s="2">
        <f>MOD(INT((A479-1)/4),8)+1</f>
        <v/>
      </c>
      <c r="E479" s="2">
        <f>MOD(A479-1,4)+1</f>
        <v/>
      </c>
      <c r="F479" s="20">
        <f>축시작+INT((A479-1)/32)</f>
        <v/>
      </c>
      <c r="G479" s="20">
        <f>F479+H479</f>
        <v/>
      </c>
      <c r="H479" s="5" t="n">
        <v>6</v>
      </c>
      <c r="I479" s="2">
        <f>ROUND(INDEX(가맹점!$P$2:$P$9,D479)*INDEX(가맹점!$J$2:$M$9,D479,E479),0)</f>
        <v/>
      </c>
      <c r="J479" s="2">
        <f>ROUND(I479*(1-할인율),0)</f>
        <v/>
      </c>
      <c r="K479" s="2">
        <f>ROUNDDOWN(I479*할인율,0)</f>
        <v/>
      </c>
      <c r="L479" s="2">
        <f>ROUND(I479*INDEX(미지급률범위,E479),0)</f>
        <v/>
      </c>
      <c r="M479" s="2">
        <f>ROUND(I479*INDEX(과지급률범위,E479),0)</f>
        <v/>
      </c>
      <c r="N479" s="2">
        <f>MAX(0,L479-M479)</f>
        <v/>
      </c>
      <c r="O479" s="2">
        <f>K479-N479</f>
        <v/>
      </c>
      <c r="P479" s="2">
        <f>I479-N479</f>
        <v/>
      </c>
      <c r="Q479" s="5">
        <f>IF(G479&gt;기준일,1,0)</f>
        <v/>
      </c>
      <c r="R479" s="5">
        <f>IF(G479&lt;=기준일,1,0)</f>
        <v/>
      </c>
      <c r="S479" s="2">
        <f>J479*H479</f>
        <v/>
      </c>
      <c r="T479" s="5">
        <f>IF(AND(F479&gt;=표본시작,F479&lt;=표본종료),1,0)</f>
        <v/>
      </c>
      <c r="U479" s="5">
        <f>IF(AND(G479&gt;=조회시작,G479&lt;=조회종료),1,0)</f>
        <v/>
      </c>
    </row>
    <row r="480">
      <c r="A480" s="2">
        <f>ROW()-1</f>
        <v/>
      </c>
      <c r="B480" s="5">
        <f>INDEX(상호범위,D480)</f>
        <v/>
      </c>
      <c r="C480" s="5">
        <f>INDEX(플랫폼명범위,E480)</f>
        <v/>
      </c>
      <c r="D480" s="2">
        <f>MOD(INT((A480-1)/4),8)+1</f>
        <v/>
      </c>
      <c r="E480" s="2">
        <f>MOD(A480-1,4)+1</f>
        <v/>
      </c>
      <c r="F480" s="20">
        <f>축시작+INT((A480-1)/32)</f>
        <v/>
      </c>
      <c r="G480" s="20">
        <f>F480+H480</f>
        <v/>
      </c>
      <c r="H480" s="5" t="n">
        <v>4</v>
      </c>
      <c r="I480" s="2">
        <f>ROUND(INDEX(가맹점!$P$2:$P$9,D480)*INDEX(가맹점!$J$2:$M$9,D480,E480),0)</f>
        <v/>
      </c>
      <c r="J480" s="2">
        <f>ROUND(I480*(1-할인율),0)</f>
        <v/>
      </c>
      <c r="K480" s="2">
        <f>ROUNDDOWN(I480*할인율,0)</f>
        <v/>
      </c>
      <c r="L480" s="2">
        <f>ROUND(I480*INDEX(미지급률범위,E480),0)</f>
        <v/>
      </c>
      <c r="M480" s="2">
        <f>ROUND(I480*INDEX(과지급률범위,E480),0)</f>
        <v/>
      </c>
      <c r="N480" s="2">
        <f>MAX(0,L480-M480)</f>
        <v/>
      </c>
      <c r="O480" s="2">
        <f>K480-N480</f>
        <v/>
      </c>
      <c r="P480" s="2">
        <f>I480-N480</f>
        <v/>
      </c>
      <c r="Q480" s="5">
        <f>IF(G480&gt;기준일,1,0)</f>
        <v/>
      </c>
      <c r="R480" s="5">
        <f>IF(G480&lt;=기준일,1,0)</f>
        <v/>
      </c>
      <c r="S480" s="2">
        <f>J480*H480</f>
        <v/>
      </c>
      <c r="T480" s="5">
        <f>IF(AND(F480&gt;=표본시작,F480&lt;=표본종료),1,0)</f>
        <v/>
      </c>
      <c r="U480" s="5">
        <f>IF(AND(G480&gt;=조회시작,G480&lt;=조회종료),1,0)</f>
        <v/>
      </c>
    </row>
    <row r="481">
      <c r="A481" s="2">
        <f>ROW()-1</f>
        <v/>
      </c>
      <c r="B481" s="5">
        <f>INDEX(상호범위,D481)</f>
        <v/>
      </c>
      <c r="C481" s="5">
        <f>INDEX(플랫폼명범위,E481)</f>
        <v/>
      </c>
      <c r="D481" s="2">
        <f>MOD(INT((A481-1)/4),8)+1</f>
        <v/>
      </c>
      <c r="E481" s="2">
        <f>MOD(A481-1,4)+1</f>
        <v/>
      </c>
      <c r="F481" s="20">
        <f>축시작+INT((A481-1)/32)</f>
        <v/>
      </c>
      <c r="G481" s="20">
        <f>F481+H481</f>
        <v/>
      </c>
      <c r="H481" s="5" t="n">
        <v>4</v>
      </c>
      <c r="I481" s="2">
        <f>ROUND(INDEX(가맹점!$P$2:$P$9,D481)*INDEX(가맹점!$J$2:$M$9,D481,E481),0)</f>
        <v/>
      </c>
      <c r="J481" s="2">
        <f>ROUND(I481*(1-할인율),0)</f>
        <v/>
      </c>
      <c r="K481" s="2">
        <f>ROUNDDOWN(I481*할인율,0)</f>
        <v/>
      </c>
      <c r="L481" s="2">
        <f>ROUND(I481*INDEX(미지급률범위,E481),0)</f>
        <v/>
      </c>
      <c r="M481" s="2">
        <f>ROUND(I481*INDEX(과지급률범위,E481),0)</f>
        <v/>
      </c>
      <c r="N481" s="2">
        <f>MAX(0,L481-M481)</f>
        <v/>
      </c>
      <c r="O481" s="2">
        <f>K481-N481</f>
        <v/>
      </c>
      <c r="P481" s="2">
        <f>I481-N481</f>
        <v/>
      </c>
      <c r="Q481" s="5">
        <f>IF(G481&gt;기준일,1,0)</f>
        <v/>
      </c>
      <c r="R481" s="5">
        <f>IF(G481&lt;=기준일,1,0)</f>
        <v/>
      </c>
      <c r="S481" s="2">
        <f>J481*H481</f>
        <v/>
      </c>
      <c r="T481" s="5">
        <f>IF(AND(F481&gt;=표본시작,F481&lt;=표본종료),1,0)</f>
        <v/>
      </c>
      <c r="U481" s="5">
        <f>IF(AND(G481&gt;=조회시작,G481&lt;=조회종료),1,0)</f>
        <v/>
      </c>
    </row>
    <row r="482">
      <c r="A482" s="2">
        <f>ROW()-1</f>
        <v/>
      </c>
      <c r="B482" s="5">
        <f>INDEX(상호범위,D482)</f>
        <v/>
      </c>
      <c r="C482" s="5">
        <f>INDEX(플랫폼명범위,E482)</f>
        <v/>
      </c>
      <c r="D482" s="2">
        <f>MOD(INT((A482-1)/4),8)+1</f>
        <v/>
      </c>
      <c r="E482" s="2">
        <f>MOD(A482-1,4)+1</f>
        <v/>
      </c>
      <c r="F482" s="20">
        <f>축시작+INT((A482-1)/32)</f>
        <v/>
      </c>
      <c r="G482" s="20">
        <f>F482+H482</f>
        <v/>
      </c>
      <c r="H482" s="5" t="n">
        <v>3</v>
      </c>
      <c r="I482" s="2">
        <f>ROUND(INDEX(가맹점!$P$2:$P$9,D482)*INDEX(가맹점!$J$2:$M$9,D482,E482),0)</f>
        <v/>
      </c>
      <c r="J482" s="2">
        <f>ROUND(I482*(1-할인율),0)</f>
        <v/>
      </c>
      <c r="K482" s="2">
        <f>ROUNDDOWN(I482*할인율,0)</f>
        <v/>
      </c>
      <c r="L482" s="2">
        <f>ROUND(I482*INDEX(미지급률범위,E482),0)</f>
        <v/>
      </c>
      <c r="M482" s="2">
        <f>ROUND(I482*INDEX(과지급률범위,E482),0)</f>
        <v/>
      </c>
      <c r="N482" s="2">
        <f>MAX(0,L482-M482)</f>
        <v/>
      </c>
      <c r="O482" s="2">
        <f>K482-N482</f>
        <v/>
      </c>
      <c r="P482" s="2">
        <f>I482-N482</f>
        <v/>
      </c>
      <c r="Q482" s="5">
        <f>IF(G482&gt;기준일,1,0)</f>
        <v/>
      </c>
      <c r="R482" s="5">
        <f>IF(G482&lt;=기준일,1,0)</f>
        <v/>
      </c>
      <c r="S482" s="2">
        <f>J482*H482</f>
        <v/>
      </c>
      <c r="T482" s="5">
        <f>IF(AND(F482&gt;=표본시작,F482&lt;=표본종료),1,0)</f>
        <v/>
      </c>
      <c r="U482" s="5">
        <f>IF(AND(G482&gt;=조회시작,G482&lt;=조회종료),1,0)</f>
        <v/>
      </c>
    </row>
    <row r="483">
      <c r="A483" s="2">
        <f>ROW()-1</f>
        <v/>
      </c>
      <c r="B483" s="5">
        <f>INDEX(상호범위,D483)</f>
        <v/>
      </c>
      <c r="C483" s="5">
        <f>INDEX(플랫폼명범위,E483)</f>
        <v/>
      </c>
      <c r="D483" s="2">
        <f>MOD(INT((A483-1)/4),8)+1</f>
        <v/>
      </c>
      <c r="E483" s="2">
        <f>MOD(A483-1,4)+1</f>
        <v/>
      </c>
      <c r="F483" s="20">
        <f>축시작+INT((A483-1)/32)</f>
        <v/>
      </c>
      <c r="G483" s="20">
        <f>F483+H483</f>
        <v/>
      </c>
      <c r="H483" s="5" t="n">
        <v>4</v>
      </c>
      <c r="I483" s="2">
        <f>ROUND(INDEX(가맹점!$P$2:$P$9,D483)*INDEX(가맹점!$J$2:$M$9,D483,E483),0)</f>
        <v/>
      </c>
      <c r="J483" s="2">
        <f>ROUND(I483*(1-할인율),0)</f>
        <v/>
      </c>
      <c r="K483" s="2">
        <f>ROUNDDOWN(I483*할인율,0)</f>
        <v/>
      </c>
      <c r="L483" s="2">
        <f>ROUND(I483*INDEX(미지급률범위,E483),0)</f>
        <v/>
      </c>
      <c r="M483" s="2">
        <f>ROUND(I483*INDEX(과지급률범위,E483),0)</f>
        <v/>
      </c>
      <c r="N483" s="2">
        <f>MAX(0,L483-M483)</f>
        <v/>
      </c>
      <c r="O483" s="2">
        <f>K483-N483</f>
        <v/>
      </c>
      <c r="P483" s="2">
        <f>I483-N483</f>
        <v/>
      </c>
      <c r="Q483" s="5">
        <f>IF(G483&gt;기준일,1,0)</f>
        <v/>
      </c>
      <c r="R483" s="5">
        <f>IF(G483&lt;=기준일,1,0)</f>
        <v/>
      </c>
      <c r="S483" s="2">
        <f>J483*H483</f>
        <v/>
      </c>
      <c r="T483" s="5">
        <f>IF(AND(F483&gt;=표본시작,F483&lt;=표본종료),1,0)</f>
        <v/>
      </c>
      <c r="U483" s="5">
        <f>IF(AND(G483&gt;=조회시작,G483&lt;=조회종료),1,0)</f>
        <v/>
      </c>
    </row>
    <row r="484">
      <c r="A484" s="2">
        <f>ROW()-1</f>
        <v/>
      </c>
      <c r="B484" s="5">
        <f>INDEX(상호범위,D484)</f>
        <v/>
      </c>
      <c r="C484" s="5">
        <f>INDEX(플랫폼명범위,E484)</f>
        <v/>
      </c>
      <c r="D484" s="2">
        <f>MOD(INT((A484-1)/4),8)+1</f>
        <v/>
      </c>
      <c r="E484" s="2">
        <f>MOD(A484-1,4)+1</f>
        <v/>
      </c>
      <c r="F484" s="20">
        <f>축시작+INT((A484-1)/32)</f>
        <v/>
      </c>
      <c r="G484" s="20">
        <f>F484+H484</f>
        <v/>
      </c>
      <c r="H484" s="5" t="n">
        <v>7</v>
      </c>
      <c r="I484" s="2">
        <f>ROUND(INDEX(가맹점!$P$2:$P$9,D484)*INDEX(가맹점!$J$2:$M$9,D484,E484),0)</f>
        <v/>
      </c>
      <c r="J484" s="2">
        <f>ROUND(I484*(1-할인율),0)</f>
        <v/>
      </c>
      <c r="K484" s="2">
        <f>ROUNDDOWN(I484*할인율,0)</f>
        <v/>
      </c>
      <c r="L484" s="2">
        <f>ROUND(I484*INDEX(미지급률범위,E484),0)</f>
        <v/>
      </c>
      <c r="M484" s="2">
        <f>ROUND(I484*INDEX(과지급률범위,E484),0)</f>
        <v/>
      </c>
      <c r="N484" s="2">
        <f>MAX(0,L484-M484)</f>
        <v/>
      </c>
      <c r="O484" s="2">
        <f>K484-N484</f>
        <v/>
      </c>
      <c r="P484" s="2">
        <f>I484-N484</f>
        <v/>
      </c>
      <c r="Q484" s="5">
        <f>IF(G484&gt;기준일,1,0)</f>
        <v/>
      </c>
      <c r="R484" s="5">
        <f>IF(G484&lt;=기준일,1,0)</f>
        <v/>
      </c>
      <c r="S484" s="2">
        <f>J484*H484</f>
        <v/>
      </c>
      <c r="T484" s="5">
        <f>IF(AND(F484&gt;=표본시작,F484&lt;=표본종료),1,0)</f>
        <v/>
      </c>
      <c r="U484" s="5">
        <f>IF(AND(G484&gt;=조회시작,G484&lt;=조회종료),1,0)</f>
        <v/>
      </c>
    </row>
    <row r="485">
      <c r="A485" s="2">
        <f>ROW()-1</f>
        <v/>
      </c>
      <c r="B485" s="5">
        <f>INDEX(상호범위,D485)</f>
        <v/>
      </c>
      <c r="C485" s="5">
        <f>INDEX(플랫폼명범위,E485)</f>
        <v/>
      </c>
      <c r="D485" s="2">
        <f>MOD(INT((A485-1)/4),8)+1</f>
        <v/>
      </c>
      <c r="E485" s="2">
        <f>MOD(A485-1,4)+1</f>
        <v/>
      </c>
      <c r="F485" s="20">
        <f>축시작+INT((A485-1)/32)</f>
        <v/>
      </c>
      <c r="G485" s="20">
        <f>F485+H485</f>
        <v/>
      </c>
      <c r="H485" s="5" t="n">
        <v>5</v>
      </c>
      <c r="I485" s="2">
        <f>ROUND(INDEX(가맹점!$P$2:$P$9,D485)*INDEX(가맹점!$J$2:$M$9,D485,E485),0)</f>
        <v/>
      </c>
      <c r="J485" s="2">
        <f>ROUND(I485*(1-할인율),0)</f>
        <v/>
      </c>
      <c r="K485" s="2">
        <f>ROUNDDOWN(I485*할인율,0)</f>
        <v/>
      </c>
      <c r="L485" s="2">
        <f>ROUND(I485*INDEX(미지급률범위,E485),0)</f>
        <v/>
      </c>
      <c r="M485" s="2">
        <f>ROUND(I485*INDEX(과지급률범위,E485),0)</f>
        <v/>
      </c>
      <c r="N485" s="2">
        <f>MAX(0,L485-M485)</f>
        <v/>
      </c>
      <c r="O485" s="2">
        <f>K485-N485</f>
        <v/>
      </c>
      <c r="P485" s="2">
        <f>I485-N485</f>
        <v/>
      </c>
      <c r="Q485" s="5">
        <f>IF(G485&gt;기준일,1,0)</f>
        <v/>
      </c>
      <c r="R485" s="5">
        <f>IF(G485&lt;=기준일,1,0)</f>
        <v/>
      </c>
      <c r="S485" s="2">
        <f>J485*H485</f>
        <v/>
      </c>
      <c r="T485" s="5">
        <f>IF(AND(F485&gt;=표본시작,F485&lt;=표본종료),1,0)</f>
        <v/>
      </c>
      <c r="U485" s="5">
        <f>IF(AND(G485&gt;=조회시작,G485&lt;=조회종료),1,0)</f>
        <v/>
      </c>
    </row>
    <row r="486">
      <c r="A486" s="2">
        <f>ROW()-1</f>
        <v/>
      </c>
      <c r="B486" s="5">
        <f>INDEX(상호범위,D486)</f>
        <v/>
      </c>
      <c r="C486" s="5">
        <f>INDEX(플랫폼명범위,E486)</f>
        <v/>
      </c>
      <c r="D486" s="2">
        <f>MOD(INT((A486-1)/4),8)+1</f>
        <v/>
      </c>
      <c r="E486" s="2">
        <f>MOD(A486-1,4)+1</f>
        <v/>
      </c>
      <c r="F486" s="20">
        <f>축시작+INT((A486-1)/32)</f>
        <v/>
      </c>
      <c r="G486" s="20">
        <f>F486+H486</f>
        <v/>
      </c>
      <c r="H486" s="5" t="n">
        <v>4</v>
      </c>
      <c r="I486" s="2">
        <f>ROUND(INDEX(가맹점!$P$2:$P$9,D486)*INDEX(가맹점!$J$2:$M$9,D486,E486),0)</f>
        <v/>
      </c>
      <c r="J486" s="2">
        <f>ROUND(I486*(1-할인율),0)</f>
        <v/>
      </c>
      <c r="K486" s="2">
        <f>ROUNDDOWN(I486*할인율,0)</f>
        <v/>
      </c>
      <c r="L486" s="2">
        <f>ROUND(I486*INDEX(미지급률범위,E486),0)</f>
        <v/>
      </c>
      <c r="M486" s="2">
        <f>ROUND(I486*INDEX(과지급률범위,E486),0)</f>
        <v/>
      </c>
      <c r="N486" s="2">
        <f>MAX(0,L486-M486)</f>
        <v/>
      </c>
      <c r="O486" s="2">
        <f>K486-N486</f>
        <v/>
      </c>
      <c r="P486" s="2">
        <f>I486-N486</f>
        <v/>
      </c>
      <c r="Q486" s="5">
        <f>IF(G486&gt;기준일,1,0)</f>
        <v/>
      </c>
      <c r="R486" s="5">
        <f>IF(G486&lt;=기준일,1,0)</f>
        <v/>
      </c>
      <c r="S486" s="2">
        <f>J486*H486</f>
        <v/>
      </c>
      <c r="T486" s="5">
        <f>IF(AND(F486&gt;=표본시작,F486&lt;=표본종료),1,0)</f>
        <v/>
      </c>
      <c r="U486" s="5">
        <f>IF(AND(G486&gt;=조회시작,G486&lt;=조회종료),1,0)</f>
        <v/>
      </c>
    </row>
    <row r="487">
      <c r="A487" s="2">
        <f>ROW()-1</f>
        <v/>
      </c>
      <c r="B487" s="5">
        <f>INDEX(상호범위,D487)</f>
        <v/>
      </c>
      <c r="C487" s="5">
        <f>INDEX(플랫폼명범위,E487)</f>
        <v/>
      </c>
      <c r="D487" s="2">
        <f>MOD(INT((A487-1)/4),8)+1</f>
        <v/>
      </c>
      <c r="E487" s="2">
        <f>MOD(A487-1,4)+1</f>
        <v/>
      </c>
      <c r="F487" s="20">
        <f>축시작+INT((A487-1)/32)</f>
        <v/>
      </c>
      <c r="G487" s="20">
        <f>F487+H487</f>
        <v/>
      </c>
      <c r="H487" s="5" t="n">
        <v>4</v>
      </c>
      <c r="I487" s="2">
        <f>ROUND(INDEX(가맹점!$P$2:$P$9,D487)*INDEX(가맹점!$J$2:$M$9,D487,E487),0)</f>
        <v/>
      </c>
      <c r="J487" s="2">
        <f>ROUND(I487*(1-할인율),0)</f>
        <v/>
      </c>
      <c r="K487" s="2">
        <f>ROUNDDOWN(I487*할인율,0)</f>
        <v/>
      </c>
      <c r="L487" s="2">
        <f>ROUND(I487*INDEX(미지급률범위,E487),0)</f>
        <v/>
      </c>
      <c r="M487" s="2">
        <f>ROUND(I487*INDEX(과지급률범위,E487),0)</f>
        <v/>
      </c>
      <c r="N487" s="2">
        <f>MAX(0,L487-M487)</f>
        <v/>
      </c>
      <c r="O487" s="2">
        <f>K487-N487</f>
        <v/>
      </c>
      <c r="P487" s="2">
        <f>I487-N487</f>
        <v/>
      </c>
      <c r="Q487" s="5">
        <f>IF(G487&gt;기준일,1,0)</f>
        <v/>
      </c>
      <c r="R487" s="5">
        <f>IF(G487&lt;=기준일,1,0)</f>
        <v/>
      </c>
      <c r="S487" s="2">
        <f>J487*H487</f>
        <v/>
      </c>
      <c r="T487" s="5">
        <f>IF(AND(F487&gt;=표본시작,F487&lt;=표본종료),1,0)</f>
        <v/>
      </c>
      <c r="U487" s="5">
        <f>IF(AND(G487&gt;=조회시작,G487&lt;=조회종료),1,0)</f>
        <v/>
      </c>
    </row>
    <row r="488">
      <c r="A488" s="2">
        <f>ROW()-1</f>
        <v/>
      </c>
      <c r="B488" s="5">
        <f>INDEX(상호범위,D488)</f>
        <v/>
      </c>
      <c r="C488" s="5">
        <f>INDEX(플랫폼명범위,E488)</f>
        <v/>
      </c>
      <c r="D488" s="2">
        <f>MOD(INT((A488-1)/4),8)+1</f>
        <v/>
      </c>
      <c r="E488" s="2">
        <f>MOD(A488-1,4)+1</f>
        <v/>
      </c>
      <c r="F488" s="20">
        <f>축시작+INT((A488-1)/32)</f>
        <v/>
      </c>
      <c r="G488" s="20">
        <f>F488+H488</f>
        <v/>
      </c>
      <c r="H488" s="5" t="n">
        <v>9</v>
      </c>
      <c r="I488" s="2">
        <f>ROUND(INDEX(가맹점!$P$2:$P$9,D488)*INDEX(가맹점!$J$2:$M$9,D488,E488),0)</f>
        <v/>
      </c>
      <c r="J488" s="2">
        <f>ROUND(I488*(1-할인율),0)</f>
        <v/>
      </c>
      <c r="K488" s="2">
        <f>ROUNDDOWN(I488*할인율,0)</f>
        <v/>
      </c>
      <c r="L488" s="2">
        <f>ROUND(I488*INDEX(미지급률범위,E488),0)</f>
        <v/>
      </c>
      <c r="M488" s="2">
        <f>ROUND(I488*INDEX(과지급률범위,E488),0)</f>
        <v/>
      </c>
      <c r="N488" s="2">
        <f>MAX(0,L488-M488)</f>
        <v/>
      </c>
      <c r="O488" s="2">
        <f>K488-N488</f>
        <v/>
      </c>
      <c r="P488" s="2">
        <f>I488-N488</f>
        <v/>
      </c>
      <c r="Q488" s="5">
        <f>IF(G488&gt;기준일,1,0)</f>
        <v/>
      </c>
      <c r="R488" s="5">
        <f>IF(G488&lt;=기준일,1,0)</f>
        <v/>
      </c>
      <c r="S488" s="2">
        <f>J488*H488</f>
        <v/>
      </c>
      <c r="T488" s="5">
        <f>IF(AND(F488&gt;=표본시작,F488&lt;=표본종료),1,0)</f>
        <v/>
      </c>
      <c r="U488" s="5">
        <f>IF(AND(G488&gt;=조회시작,G488&lt;=조회종료),1,0)</f>
        <v/>
      </c>
    </row>
    <row r="489">
      <c r="A489" s="2">
        <f>ROW()-1</f>
        <v/>
      </c>
      <c r="B489" s="5">
        <f>INDEX(상호범위,D489)</f>
        <v/>
      </c>
      <c r="C489" s="5">
        <f>INDEX(플랫폼명범위,E489)</f>
        <v/>
      </c>
      <c r="D489" s="2">
        <f>MOD(INT((A489-1)/4),8)+1</f>
        <v/>
      </c>
      <c r="E489" s="2">
        <f>MOD(A489-1,4)+1</f>
        <v/>
      </c>
      <c r="F489" s="20">
        <f>축시작+INT((A489-1)/32)</f>
        <v/>
      </c>
      <c r="G489" s="20">
        <f>F489+H489</f>
        <v/>
      </c>
      <c r="H489" s="5" t="n">
        <v>4</v>
      </c>
      <c r="I489" s="2">
        <f>ROUND(INDEX(가맹점!$P$2:$P$9,D489)*INDEX(가맹점!$J$2:$M$9,D489,E489),0)</f>
        <v/>
      </c>
      <c r="J489" s="2">
        <f>ROUND(I489*(1-할인율),0)</f>
        <v/>
      </c>
      <c r="K489" s="2">
        <f>ROUNDDOWN(I489*할인율,0)</f>
        <v/>
      </c>
      <c r="L489" s="2">
        <f>ROUND(I489*INDEX(미지급률범위,E489),0)</f>
        <v/>
      </c>
      <c r="M489" s="2">
        <f>ROUND(I489*INDEX(과지급률범위,E489),0)</f>
        <v/>
      </c>
      <c r="N489" s="2">
        <f>MAX(0,L489-M489)</f>
        <v/>
      </c>
      <c r="O489" s="2">
        <f>K489-N489</f>
        <v/>
      </c>
      <c r="P489" s="2">
        <f>I489-N489</f>
        <v/>
      </c>
      <c r="Q489" s="5">
        <f>IF(G489&gt;기준일,1,0)</f>
        <v/>
      </c>
      <c r="R489" s="5">
        <f>IF(G489&lt;=기준일,1,0)</f>
        <v/>
      </c>
      <c r="S489" s="2">
        <f>J489*H489</f>
        <v/>
      </c>
      <c r="T489" s="5">
        <f>IF(AND(F489&gt;=표본시작,F489&lt;=표본종료),1,0)</f>
        <v/>
      </c>
      <c r="U489" s="5">
        <f>IF(AND(G489&gt;=조회시작,G489&lt;=조회종료),1,0)</f>
        <v/>
      </c>
    </row>
    <row r="490">
      <c r="A490" s="2">
        <f>ROW()-1</f>
        <v/>
      </c>
      <c r="B490" s="5">
        <f>INDEX(상호범위,D490)</f>
        <v/>
      </c>
      <c r="C490" s="5">
        <f>INDEX(플랫폼명범위,E490)</f>
        <v/>
      </c>
      <c r="D490" s="2">
        <f>MOD(INT((A490-1)/4),8)+1</f>
        <v/>
      </c>
      <c r="E490" s="2">
        <f>MOD(A490-1,4)+1</f>
        <v/>
      </c>
      <c r="F490" s="20">
        <f>축시작+INT((A490-1)/32)</f>
        <v/>
      </c>
      <c r="G490" s="20">
        <f>F490+H490</f>
        <v/>
      </c>
      <c r="H490" s="5" t="n">
        <v>6</v>
      </c>
      <c r="I490" s="2">
        <f>ROUND(INDEX(가맹점!$P$2:$P$9,D490)*INDEX(가맹점!$J$2:$M$9,D490,E490),0)</f>
        <v/>
      </c>
      <c r="J490" s="2">
        <f>ROUND(I490*(1-할인율),0)</f>
        <v/>
      </c>
      <c r="K490" s="2">
        <f>ROUNDDOWN(I490*할인율,0)</f>
        <v/>
      </c>
      <c r="L490" s="2">
        <f>ROUND(I490*INDEX(미지급률범위,E490),0)</f>
        <v/>
      </c>
      <c r="M490" s="2">
        <f>ROUND(I490*INDEX(과지급률범위,E490),0)</f>
        <v/>
      </c>
      <c r="N490" s="2">
        <f>MAX(0,L490-M490)</f>
        <v/>
      </c>
      <c r="O490" s="2">
        <f>K490-N490</f>
        <v/>
      </c>
      <c r="P490" s="2">
        <f>I490-N490</f>
        <v/>
      </c>
      <c r="Q490" s="5">
        <f>IF(G490&gt;기준일,1,0)</f>
        <v/>
      </c>
      <c r="R490" s="5">
        <f>IF(G490&lt;=기준일,1,0)</f>
        <v/>
      </c>
      <c r="S490" s="2">
        <f>J490*H490</f>
        <v/>
      </c>
      <c r="T490" s="5">
        <f>IF(AND(F490&gt;=표본시작,F490&lt;=표본종료),1,0)</f>
        <v/>
      </c>
      <c r="U490" s="5">
        <f>IF(AND(G490&gt;=조회시작,G490&lt;=조회종료),1,0)</f>
        <v/>
      </c>
    </row>
    <row r="491">
      <c r="A491" s="2">
        <f>ROW()-1</f>
        <v/>
      </c>
      <c r="B491" s="5">
        <f>INDEX(상호범위,D491)</f>
        <v/>
      </c>
      <c r="C491" s="5">
        <f>INDEX(플랫폼명범위,E491)</f>
        <v/>
      </c>
      <c r="D491" s="2">
        <f>MOD(INT((A491-1)/4),8)+1</f>
        <v/>
      </c>
      <c r="E491" s="2">
        <f>MOD(A491-1,4)+1</f>
        <v/>
      </c>
      <c r="F491" s="20">
        <f>축시작+INT((A491-1)/32)</f>
        <v/>
      </c>
      <c r="G491" s="20">
        <f>F491+H491</f>
        <v/>
      </c>
      <c r="H491" s="5" t="n">
        <v>4</v>
      </c>
      <c r="I491" s="2">
        <f>ROUND(INDEX(가맹점!$P$2:$P$9,D491)*INDEX(가맹점!$J$2:$M$9,D491,E491),0)</f>
        <v/>
      </c>
      <c r="J491" s="2">
        <f>ROUND(I491*(1-할인율),0)</f>
        <v/>
      </c>
      <c r="K491" s="2">
        <f>ROUNDDOWN(I491*할인율,0)</f>
        <v/>
      </c>
      <c r="L491" s="2">
        <f>ROUND(I491*INDEX(미지급률범위,E491),0)</f>
        <v/>
      </c>
      <c r="M491" s="2">
        <f>ROUND(I491*INDEX(과지급률범위,E491),0)</f>
        <v/>
      </c>
      <c r="N491" s="2">
        <f>MAX(0,L491-M491)</f>
        <v/>
      </c>
      <c r="O491" s="2">
        <f>K491-N491</f>
        <v/>
      </c>
      <c r="P491" s="2">
        <f>I491-N491</f>
        <v/>
      </c>
      <c r="Q491" s="5">
        <f>IF(G491&gt;기준일,1,0)</f>
        <v/>
      </c>
      <c r="R491" s="5">
        <f>IF(G491&lt;=기준일,1,0)</f>
        <v/>
      </c>
      <c r="S491" s="2">
        <f>J491*H491</f>
        <v/>
      </c>
      <c r="T491" s="5">
        <f>IF(AND(F491&gt;=표본시작,F491&lt;=표본종료),1,0)</f>
        <v/>
      </c>
      <c r="U491" s="5">
        <f>IF(AND(G491&gt;=조회시작,G491&lt;=조회종료),1,0)</f>
        <v/>
      </c>
    </row>
    <row r="492">
      <c r="A492" s="2">
        <f>ROW()-1</f>
        <v/>
      </c>
      <c r="B492" s="5">
        <f>INDEX(상호범위,D492)</f>
        <v/>
      </c>
      <c r="C492" s="5">
        <f>INDEX(플랫폼명범위,E492)</f>
        <v/>
      </c>
      <c r="D492" s="2">
        <f>MOD(INT((A492-1)/4),8)+1</f>
        <v/>
      </c>
      <c r="E492" s="2">
        <f>MOD(A492-1,4)+1</f>
        <v/>
      </c>
      <c r="F492" s="20">
        <f>축시작+INT((A492-1)/32)</f>
        <v/>
      </c>
      <c r="G492" s="20">
        <f>F492+H492</f>
        <v/>
      </c>
      <c r="H492" s="5" t="n">
        <v>5</v>
      </c>
      <c r="I492" s="2">
        <f>ROUND(INDEX(가맹점!$P$2:$P$9,D492)*INDEX(가맹점!$J$2:$M$9,D492,E492),0)</f>
        <v/>
      </c>
      <c r="J492" s="2">
        <f>ROUND(I492*(1-할인율),0)</f>
        <v/>
      </c>
      <c r="K492" s="2">
        <f>ROUNDDOWN(I492*할인율,0)</f>
        <v/>
      </c>
      <c r="L492" s="2">
        <f>ROUND(I492*INDEX(미지급률범위,E492),0)</f>
        <v/>
      </c>
      <c r="M492" s="2">
        <f>ROUND(I492*INDEX(과지급률범위,E492),0)</f>
        <v/>
      </c>
      <c r="N492" s="2">
        <f>MAX(0,L492-M492)</f>
        <v/>
      </c>
      <c r="O492" s="2">
        <f>K492-N492</f>
        <v/>
      </c>
      <c r="P492" s="2">
        <f>I492-N492</f>
        <v/>
      </c>
      <c r="Q492" s="5">
        <f>IF(G492&gt;기준일,1,0)</f>
        <v/>
      </c>
      <c r="R492" s="5">
        <f>IF(G492&lt;=기준일,1,0)</f>
        <v/>
      </c>
      <c r="S492" s="2">
        <f>J492*H492</f>
        <v/>
      </c>
      <c r="T492" s="5">
        <f>IF(AND(F492&gt;=표본시작,F492&lt;=표본종료),1,0)</f>
        <v/>
      </c>
      <c r="U492" s="5">
        <f>IF(AND(G492&gt;=조회시작,G492&lt;=조회종료),1,0)</f>
        <v/>
      </c>
    </row>
    <row r="493">
      <c r="A493" s="2">
        <f>ROW()-1</f>
        <v/>
      </c>
      <c r="B493" s="5">
        <f>INDEX(상호범위,D493)</f>
        <v/>
      </c>
      <c r="C493" s="5">
        <f>INDEX(플랫폼명범위,E493)</f>
        <v/>
      </c>
      <c r="D493" s="2">
        <f>MOD(INT((A493-1)/4),8)+1</f>
        <v/>
      </c>
      <c r="E493" s="2">
        <f>MOD(A493-1,4)+1</f>
        <v/>
      </c>
      <c r="F493" s="20">
        <f>축시작+INT((A493-1)/32)</f>
        <v/>
      </c>
      <c r="G493" s="20">
        <f>F493+H493</f>
        <v/>
      </c>
      <c r="H493" s="5" t="n">
        <v>6</v>
      </c>
      <c r="I493" s="2">
        <f>ROUND(INDEX(가맹점!$P$2:$P$9,D493)*INDEX(가맹점!$J$2:$M$9,D493,E493),0)</f>
        <v/>
      </c>
      <c r="J493" s="2">
        <f>ROUND(I493*(1-할인율),0)</f>
        <v/>
      </c>
      <c r="K493" s="2">
        <f>ROUNDDOWN(I493*할인율,0)</f>
        <v/>
      </c>
      <c r="L493" s="2">
        <f>ROUND(I493*INDEX(미지급률범위,E493),0)</f>
        <v/>
      </c>
      <c r="M493" s="2">
        <f>ROUND(I493*INDEX(과지급률범위,E493),0)</f>
        <v/>
      </c>
      <c r="N493" s="2">
        <f>MAX(0,L493-M493)</f>
        <v/>
      </c>
      <c r="O493" s="2">
        <f>K493-N493</f>
        <v/>
      </c>
      <c r="P493" s="2">
        <f>I493-N493</f>
        <v/>
      </c>
      <c r="Q493" s="5">
        <f>IF(G493&gt;기준일,1,0)</f>
        <v/>
      </c>
      <c r="R493" s="5">
        <f>IF(G493&lt;=기준일,1,0)</f>
        <v/>
      </c>
      <c r="S493" s="2">
        <f>J493*H493</f>
        <v/>
      </c>
      <c r="T493" s="5">
        <f>IF(AND(F493&gt;=표본시작,F493&lt;=표본종료),1,0)</f>
        <v/>
      </c>
      <c r="U493" s="5">
        <f>IF(AND(G493&gt;=조회시작,G493&lt;=조회종료),1,0)</f>
        <v/>
      </c>
    </row>
    <row r="494">
      <c r="A494" s="2">
        <f>ROW()-1</f>
        <v/>
      </c>
      <c r="B494" s="5">
        <f>INDEX(상호범위,D494)</f>
        <v/>
      </c>
      <c r="C494" s="5">
        <f>INDEX(플랫폼명범위,E494)</f>
        <v/>
      </c>
      <c r="D494" s="2">
        <f>MOD(INT((A494-1)/4),8)+1</f>
        <v/>
      </c>
      <c r="E494" s="2">
        <f>MOD(A494-1,4)+1</f>
        <v/>
      </c>
      <c r="F494" s="20">
        <f>축시작+INT((A494-1)/32)</f>
        <v/>
      </c>
      <c r="G494" s="20">
        <f>F494+H494</f>
        <v/>
      </c>
      <c r="H494" s="5" t="n">
        <v>8</v>
      </c>
      <c r="I494" s="2">
        <f>ROUND(INDEX(가맹점!$P$2:$P$9,D494)*INDEX(가맹점!$J$2:$M$9,D494,E494),0)</f>
        <v/>
      </c>
      <c r="J494" s="2">
        <f>ROUND(I494*(1-할인율),0)</f>
        <v/>
      </c>
      <c r="K494" s="2">
        <f>ROUNDDOWN(I494*할인율,0)</f>
        <v/>
      </c>
      <c r="L494" s="2">
        <f>ROUND(I494*INDEX(미지급률범위,E494),0)</f>
        <v/>
      </c>
      <c r="M494" s="2">
        <f>ROUND(I494*INDEX(과지급률범위,E494),0)</f>
        <v/>
      </c>
      <c r="N494" s="2">
        <f>MAX(0,L494-M494)</f>
        <v/>
      </c>
      <c r="O494" s="2">
        <f>K494-N494</f>
        <v/>
      </c>
      <c r="P494" s="2">
        <f>I494-N494</f>
        <v/>
      </c>
      <c r="Q494" s="5">
        <f>IF(G494&gt;기준일,1,0)</f>
        <v/>
      </c>
      <c r="R494" s="5">
        <f>IF(G494&lt;=기준일,1,0)</f>
        <v/>
      </c>
      <c r="S494" s="2">
        <f>J494*H494</f>
        <v/>
      </c>
      <c r="T494" s="5">
        <f>IF(AND(F494&gt;=표본시작,F494&lt;=표본종료),1,0)</f>
        <v/>
      </c>
      <c r="U494" s="5">
        <f>IF(AND(G494&gt;=조회시작,G494&lt;=조회종료),1,0)</f>
        <v/>
      </c>
    </row>
    <row r="495">
      <c r="A495" s="2">
        <f>ROW()-1</f>
        <v/>
      </c>
      <c r="B495" s="5">
        <f>INDEX(상호범위,D495)</f>
        <v/>
      </c>
      <c r="C495" s="5">
        <f>INDEX(플랫폼명범위,E495)</f>
        <v/>
      </c>
      <c r="D495" s="2">
        <f>MOD(INT((A495-1)/4),8)+1</f>
        <v/>
      </c>
      <c r="E495" s="2">
        <f>MOD(A495-1,4)+1</f>
        <v/>
      </c>
      <c r="F495" s="20">
        <f>축시작+INT((A495-1)/32)</f>
        <v/>
      </c>
      <c r="G495" s="20">
        <f>F495+H495</f>
        <v/>
      </c>
      <c r="H495" s="5" t="n">
        <v>2</v>
      </c>
      <c r="I495" s="2">
        <f>ROUND(INDEX(가맹점!$P$2:$P$9,D495)*INDEX(가맹점!$J$2:$M$9,D495,E495),0)</f>
        <v/>
      </c>
      <c r="J495" s="2">
        <f>ROUND(I495*(1-할인율),0)</f>
        <v/>
      </c>
      <c r="K495" s="2">
        <f>ROUNDDOWN(I495*할인율,0)</f>
        <v/>
      </c>
      <c r="L495" s="2">
        <f>ROUND(I495*INDEX(미지급률범위,E495),0)</f>
        <v/>
      </c>
      <c r="M495" s="2">
        <f>ROUND(I495*INDEX(과지급률범위,E495),0)</f>
        <v/>
      </c>
      <c r="N495" s="2">
        <f>MAX(0,L495-M495)</f>
        <v/>
      </c>
      <c r="O495" s="2">
        <f>K495-N495</f>
        <v/>
      </c>
      <c r="P495" s="2">
        <f>I495-N495</f>
        <v/>
      </c>
      <c r="Q495" s="5">
        <f>IF(G495&gt;기준일,1,0)</f>
        <v/>
      </c>
      <c r="R495" s="5">
        <f>IF(G495&lt;=기준일,1,0)</f>
        <v/>
      </c>
      <c r="S495" s="2">
        <f>J495*H495</f>
        <v/>
      </c>
      <c r="T495" s="5">
        <f>IF(AND(F495&gt;=표본시작,F495&lt;=표본종료),1,0)</f>
        <v/>
      </c>
      <c r="U495" s="5">
        <f>IF(AND(G495&gt;=조회시작,G495&lt;=조회종료),1,0)</f>
        <v/>
      </c>
    </row>
    <row r="496">
      <c r="A496" s="2">
        <f>ROW()-1</f>
        <v/>
      </c>
      <c r="B496" s="5">
        <f>INDEX(상호범위,D496)</f>
        <v/>
      </c>
      <c r="C496" s="5">
        <f>INDEX(플랫폼명범위,E496)</f>
        <v/>
      </c>
      <c r="D496" s="2">
        <f>MOD(INT((A496-1)/4),8)+1</f>
        <v/>
      </c>
      <c r="E496" s="2">
        <f>MOD(A496-1,4)+1</f>
        <v/>
      </c>
      <c r="F496" s="20">
        <f>축시작+INT((A496-1)/32)</f>
        <v/>
      </c>
      <c r="G496" s="20">
        <f>F496+H496</f>
        <v/>
      </c>
      <c r="H496" s="5" t="n">
        <v>3</v>
      </c>
      <c r="I496" s="2">
        <f>ROUND(INDEX(가맹점!$P$2:$P$9,D496)*INDEX(가맹점!$J$2:$M$9,D496,E496),0)</f>
        <v/>
      </c>
      <c r="J496" s="2">
        <f>ROUND(I496*(1-할인율),0)</f>
        <v/>
      </c>
      <c r="K496" s="2">
        <f>ROUNDDOWN(I496*할인율,0)</f>
        <v/>
      </c>
      <c r="L496" s="2">
        <f>ROUND(I496*INDEX(미지급률범위,E496),0)</f>
        <v/>
      </c>
      <c r="M496" s="2">
        <f>ROUND(I496*INDEX(과지급률범위,E496),0)</f>
        <v/>
      </c>
      <c r="N496" s="2">
        <f>MAX(0,L496-M496)</f>
        <v/>
      </c>
      <c r="O496" s="2">
        <f>K496-N496</f>
        <v/>
      </c>
      <c r="P496" s="2">
        <f>I496-N496</f>
        <v/>
      </c>
      <c r="Q496" s="5">
        <f>IF(G496&gt;기준일,1,0)</f>
        <v/>
      </c>
      <c r="R496" s="5">
        <f>IF(G496&lt;=기준일,1,0)</f>
        <v/>
      </c>
      <c r="S496" s="2">
        <f>J496*H496</f>
        <v/>
      </c>
      <c r="T496" s="5">
        <f>IF(AND(F496&gt;=표본시작,F496&lt;=표본종료),1,0)</f>
        <v/>
      </c>
      <c r="U496" s="5">
        <f>IF(AND(G496&gt;=조회시작,G496&lt;=조회종료),1,0)</f>
        <v/>
      </c>
    </row>
    <row r="497">
      <c r="A497" s="2">
        <f>ROW()-1</f>
        <v/>
      </c>
      <c r="B497" s="5">
        <f>INDEX(상호범위,D497)</f>
        <v/>
      </c>
      <c r="C497" s="5">
        <f>INDEX(플랫폼명범위,E497)</f>
        <v/>
      </c>
      <c r="D497" s="2">
        <f>MOD(INT((A497-1)/4),8)+1</f>
        <v/>
      </c>
      <c r="E497" s="2">
        <f>MOD(A497-1,4)+1</f>
        <v/>
      </c>
      <c r="F497" s="20">
        <f>축시작+INT((A497-1)/32)</f>
        <v/>
      </c>
      <c r="G497" s="20">
        <f>F497+H497</f>
        <v/>
      </c>
      <c r="H497" s="5" t="n">
        <v>5</v>
      </c>
      <c r="I497" s="2">
        <f>ROUND(INDEX(가맹점!$P$2:$P$9,D497)*INDEX(가맹점!$J$2:$M$9,D497,E497),0)</f>
        <v/>
      </c>
      <c r="J497" s="2">
        <f>ROUND(I497*(1-할인율),0)</f>
        <v/>
      </c>
      <c r="K497" s="2">
        <f>ROUNDDOWN(I497*할인율,0)</f>
        <v/>
      </c>
      <c r="L497" s="2">
        <f>ROUND(I497*INDEX(미지급률범위,E497),0)</f>
        <v/>
      </c>
      <c r="M497" s="2">
        <f>ROUND(I497*INDEX(과지급률범위,E497),0)</f>
        <v/>
      </c>
      <c r="N497" s="2">
        <f>MAX(0,L497-M497)</f>
        <v/>
      </c>
      <c r="O497" s="2">
        <f>K497-N497</f>
        <v/>
      </c>
      <c r="P497" s="2">
        <f>I497-N497</f>
        <v/>
      </c>
      <c r="Q497" s="5">
        <f>IF(G497&gt;기준일,1,0)</f>
        <v/>
      </c>
      <c r="R497" s="5">
        <f>IF(G497&lt;=기준일,1,0)</f>
        <v/>
      </c>
      <c r="S497" s="2">
        <f>J497*H497</f>
        <v/>
      </c>
      <c r="T497" s="5">
        <f>IF(AND(F497&gt;=표본시작,F497&lt;=표본종료),1,0)</f>
        <v/>
      </c>
      <c r="U497" s="5">
        <f>IF(AND(G497&gt;=조회시작,G497&lt;=조회종료),1,0)</f>
        <v/>
      </c>
    </row>
    <row r="498">
      <c r="A498" s="2">
        <f>ROW()-1</f>
        <v/>
      </c>
      <c r="B498" s="5">
        <f>INDEX(상호범위,D498)</f>
        <v/>
      </c>
      <c r="C498" s="5">
        <f>INDEX(플랫폼명범위,E498)</f>
        <v/>
      </c>
      <c r="D498" s="2">
        <f>MOD(INT((A498-1)/4),8)+1</f>
        <v/>
      </c>
      <c r="E498" s="2">
        <f>MOD(A498-1,4)+1</f>
        <v/>
      </c>
      <c r="F498" s="20">
        <f>축시작+INT((A498-1)/32)</f>
        <v/>
      </c>
      <c r="G498" s="20">
        <f>F498+H498</f>
        <v/>
      </c>
      <c r="H498" s="5" t="n">
        <v>1</v>
      </c>
      <c r="I498" s="2">
        <f>ROUND(INDEX(가맹점!$P$2:$P$9,D498)*INDEX(가맹점!$J$2:$M$9,D498,E498),0)</f>
        <v/>
      </c>
      <c r="J498" s="2">
        <f>ROUND(I498*(1-할인율),0)</f>
        <v/>
      </c>
      <c r="K498" s="2">
        <f>ROUNDDOWN(I498*할인율,0)</f>
        <v/>
      </c>
      <c r="L498" s="2">
        <f>ROUND(I498*INDEX(미지급률범위,E498),0)</f>
        <v/>
      </c>
      <c r="M498" s="2">
        <f>ROUND(I498*INDEX(과지급률범위,E498),0)</f>
        <v/>
      </c>
      <c r="N498" s="2">
        <f>MAX(0,L498-M498)</f>
        <v/>
      </c>
      <c r="O498" s="2">
        <f>K498-N498</f>
        <v/>
      </c>
      <c r="P498" s="2">
        <f>I498-N498</f>
        <v/>
      </c>
      <c r="Q498" s="5">
        <f>IF(G498&gt;기준일,1,0)</f>
        <v/>
      </c>
      <c r="R498" s="5">
        <f>IF(G498&lt;=기준일,1,0)</f>
        <v/>
      </c>
      <c r="S498" s="2">
        <f>J498*H498</f>
        <v/>
      </c>
      <c r="T498" s="5">
        <f>IF(AND(F498&gt;=표본시작,F498&lt;=표본종료),1,0)</f>
        <v/>
      </c>
      <c r="U498" s="5">
        <f>IF(AND(G498&gt;=조회시작,G498&lt;=조회종료),1,0)</f>
        <v/>
      </c>
    </row>
    <row r="499">
      <c r="A499" s="2">
        <f>ROW()-1</f>
        <v/>
      </c>
      <c r="B499" s="5">
        <f>INDEX(상호범위,D499)</f>
        <v/>
      </c>
      <c r="C499" s="5">
        <f>INDEX(플랫폼명범위,E499)</f>
        <v/>
      </c>
      <c r="D499" s="2">
        <f>MOD(INT((A499-1)/4),8)+1</f>
        <v/>
      </c>
      <c r="E499" s="2">
        <f>MOD(A499-1,4)+1</f>
        <v/>
      </c>
      <c r="F499" s="20">
        <f>축시작+INT((A499-1)/32)</f>
        <v/>
      </c>
      <c r="G499" s="20">
        <f>F499+H499</f>
        <v/>
      </c>
      <c r="H499" s="5" t="n">
        <v>2</v>
      </c>
      <c r="I499" s="2">
        <f>ROUND(INDEX(가맹점!$P$2:$P$9,D499)*INDEX(가맹점!$J$2:$M$9,D499,E499),0)</f>
        <v/>
      </c>
      <c r="J499" s="2">
        <f>ROUND(I499*(1-할인율),0)</f>
        <v/>
      </c>
      <c r="K499" s="2">
        <f>ROUNDDOWN(I499*할인율,0)</f>
        <v/>
      </c>
      <c r="L499" s="2">
        <f>ROUND(I499*INDEX(미지급률범위,E499),0)</f>
        <v/>
      </c>
      <c r="M499" s="2">
        <f>ROUND(I499*INDEX(과지급률범위,E499),0)</f>
        <v/>
      </c>
      <c r="N499" s="2">
        <f>MAX(0,L499-M499)</f>
        <v/>
      </c>
      <c r="O499" s="2">
        <f>K499-N499</f>
        <v/>
      </c>
      <c r="P499" s="2">
        <f>I499-N499</f>
        <v/>
      </c>
      <c r="Q499" s="5">
        <f>IF(G499&gt;기준일,1,0)</f>
        <v/>
      </c>
      <c r="R499" s="5">
        <f>IF(G499&lt;=기준일,1,0)</f>
        <v/>
      </c>
      <c r="S499" s="2">
        <f>J499*H499</f>
        <v/>
      </c>
      <c r="T499" s="5">
        <f>IF(AND(F499&gt;=표본시작,F499&lt;=표본종료),1,0)</f>
        <v/>
      </c>
      <c r="U499" s="5">
        <f>IF(AND(G499&gt;=조회시작,G499&lt;=조회종료),1,0)</f>
        <v/>
      </c>
    </row>
    <row r="500">
      <c r="A500" s="2">
        <f>ROW()-1</f>
        <v/>
      </c>
      <c r="B500" s="5">
        <f>INDEX(상호범위,D500)</f>
        <v/>
      </c>
      <c r="C500" s="5">
        <f>INDEX(플랫폼명범위,E500)</f>
        <v/>
      </c>
      <c r="D500" s="2">
        <f>MOD(INT((A500-1)/4),8)+1</f>
        <v/>
      </c>
      <c r="E500" s="2">
        <f>MOD(A500-1,4)+1</f>
        <v/>
      </c>
      <c r="F500" s="20">
        <f>축시작+INT((A500-1)/32)</f>
        <v/>
      </c>
      <c r="G500" s="20">
        <f>F500+H500</f>
        <v/>
      </c>
      <c r="H500" s="5" t="n">
        <v>3</v>
      </c>
      <c r="I500" s="2">
        <f>ROUND(INDEX(가맹점!$P$2:$P$9,D500)*INDEX(가맹점!$J$2:$M$9,D500,E500),0)</f>
        <v/>
      </c>
      <c r="J500" s="2">
        <f>ROUND(I500*(1-할인율),0)</f>
        <v/>
      </c>
      <c r="K500" s="2">
        <f>ROUNDDOWN(I500*할인율,0)</f>
        <v/>
      </c>
      <c r="L500" s="2">
        <f>ROUND(I500*INDEX(미지급률범위,E500),0)</f>
        <v/>
      </c>
      <c r="M500" s="2">
        <f>ROUND(I500*INDEX(과지급률범위,E500),0)</f>
        <v/>
      </c>
      <c r="N500" s="2">
        <f>MAX(0,L500-M500)</f>
        <v/>
      </c>
      <c r="O500" s="2">
        <f>K500-N500</f>
        <v/>
      </c>
      <c r="P500" s="2">
        <f>I500-N500</f>
        <v/>
      </c>
      <c r="Q500" s="5">
        <f>IF(G500&gt;기준일,1,0)</f>
        <v/>
      </c>
      <c r="R500" s="5">
        <f>IF(G500&lt;=기준일,1,0)</f>
        <v/>
      </c>
      <c r="S500" s="2">
        <f>J500*H500</f>
        <v/>
      </c>
      <c r="T500" s="5">
        <f>IF(AND(F500&gt;=표본시작,F500&lt;=표본종료),1,0)</f>
        <v/>
      </c>
      <c r="U500" s="5">
        <f>IF(AND(G500&gt;=조회시작,G500&lt;=조회종료),1,0)</f>
        <v/>
      </c>
    </row>
    <row r="501">
      <c r="A501" s="2">
        <f>ROW()-1</f>
        <v/>
      </c>
      <c r="B501" s="5">
        <f>INDEX(상호범위,D501)</f>
        <v/>
      </c>
      <c r="C501" s="5">
        <f>INDEX(플랫폼명범위,E501)</f>
        <v/>
      </c>
      <c r="D501" s="2">
        <f>MOD(INT((A501-1)/4),8)+1</f>
        <v/>
      </c>
      <c r="E501" s="2">
        <f>MOD(A501-1,4)+1</f>
        <v/>
      </c>
      <c r="F501" s="20">
        <f>축시작+INT((A501-1)/32)</f>
        <v/>
      </c>
      <c r="G501" s="20">
        <f>F501+H501</f>
        <v/>
      </c>
      <c r="H501" s="5" t="n">
        <v>6</v>
      </c>
      <c r="I501" s="2">
        <f>ROUND(INDEX(가맹점!$P$2:$P$9,D501)*INDEX(가맹점!$J$2:$M$9,D501,E501),0)</f>
        <v/>
      </c>
      <c r="J501" s="2">
        <f>ROUND(I501*(1-할인율),0)</f>
        <v/>
      </c>
      <c r="K501" s="2">
        <f>ROUNDDOWN(I501*할인율,0)</f>
        <v/>
      </c>
      <c r="L501" s="2">
        <f>ROUND(I501*INDEX(미지급률범위,E501),0)</f>
        <v/>
      </c>
      <c r="M501" s="2">
        <f>ROUND(I501*INDEX(과지급률범위,E501),0)</f>
        <v/>
      </c>
      <c r="N501" s="2">
        <f>MAX(0,L501-M501)</f>
        <v/>
      </c>
      <c r="O501" s="2">
        <f>K501-N501</f>
        <v/>
      </c>
      <c r="P501" s="2">
        <f>I501-N501</f>
        <v/>
      </c>
      <c r="Q501" s="5">
        <f>IF(G501&gt;기준일,1,0)</f>
        <v/>
      </c>
      <c r="R501" s="5">
        <f>IF(G501&lt;=기준일,1,0)</f>
        <v/>
      </c>
      <c r="S501" s="2">
        <f>J501*H501</f>
        <v/>
      </c>
      <c r="T501" s="5">
        <f>IF(AND(F501&gt;=표본시작,F501&lt;=표본종료),1,0)</f>
        <v/>
      </c>
      <c r="U501" s="5">
        <f>IF(AND(G501&gt;=조회시작,G501&lt;=조회종료),1,0)</f>
        <v/>
      </c>
    </row>
    <row r="502">
      <c r="A502" s="2">
        <f>ROW()-1</f>
        <v/>
      </c>
      <c r="B502" s="5">
        <f>INDEX(상호범위,D502)</f>
        <v/>
      </c>
      <c r="C502" s="5">
        <f>INDEX(플랫폼명범위,E502)</f>
        <v/>
      </c>
      <c r="D502" s="2">
        <f>MOD(INT((A502-1)/4),8)+1</f>
        <v/>
      </c>
      <c r="E502" s="2">
        <f>MOD(A502-1,4)+1</f>
        <v/>
      </c>
      <c r="F502" s="20">
        <f>축시작+INT((A502-1)/32)</f>
        <v/>
      </c>
      <c r="G502" s="20">
        <f>F502+H502</f>
        <v/>
      </c>
      <c r="H502" s="5" t="n">
        <v>1</v>
      </c>
      <c r="I502" s="2">
        <f>ROUND(INDEX(가맹점!$P$2:$P$9,D502)*INDEX(가맹점!$J$2:$M$9,D502,E502),0)</f>
        <v/>
      </c>
      <c r="J502" s="2">
        <f>ROUND(I502*(1-할인율),0)</f>
        <v/>
      </c>
      <c r="K502" s="2">
        <f>ROUNDDOWN(I502*할인율,0)</f>
        <v/>
      </c>
      <c r="L502" s="2">
        <f>ROUND(I502*INDEX(미지급률범위,E502),0)</f>
        <v/>
      </c>
      <c r="M502" s="2">
        <f>ROUND(I502*INDEX(과지급률범위,E502),0)</f>
        <v/>
      </c>
      <c r="N502" s="2">
        <f>MAX(0,L502-M502)</f>
        <v/>
      </c>
      <c r="O502" s="2">
        <f>K502-N502</f>
        <v/>
      </c>
      <c r="P502" s="2">
        <f>I502-N502</f>
        <v/>
      </c>
      <c r="Q502" s="5">
        <f>IF(G502&gt;기준일,1,0)</f>
        <v/>
      </c>
      <c r="R502" s="5">
        <f>IF(G502&lt;=기준일,1,0)</f>
        <v/>
      </c>
      <c r="S502" s="2">
        <f>J502*H502</f>
        <v/>
      </c>
      <c r="T502" s="5">
        <f>IF(AND(F502&gt;=표본시작,F502&lt;=표본종료),1,0)</f>
        <v/>
      </c>
      <c r="U502" s="5">
        <f>IF(AND(G502&gt;=조회시작,G502&lt;=조회종료),1,0)</f>
        <v/>
      </c>
    </row>
    <row r="503">
      <c r="A503" s="2">
        <f>ROW()-1</f>
        <v/>
      </c>
      <c r="B503" s="5">
        <f>INDEX(상호범위,D503)</f>
        <v/>
      </c>
      <c r="C503" s="5">
        <f>INDEX(플랫폼명범위,E503)</f>
        <v/>
      </c>
      <c r="D503" s="2">
        <f>MOD(INT((A503-1)/4),8)+1</f>
        <v/>
      </c>
      <c r="E503" s="2">
        <f>MOD(A503-1,4)+1</f>
        <v/>
      </c>
      <c r="F503" s="20">
        <f>축시작+INT((A503-1)/32)</f>
        <v/>
      </c>
      <c r="G503" s="20">
        <f>F503+H503</f>
        <v/>
      </c>
      <c r="H503" s="5" t="n">
        <v>8</v>
      </c>
      <c r="I503" s="2">
        <f>ROUND(INDEX(가맹점!$P$2:$P$9,D503)*INDEX(가맹점!$J$2:$M$9,D503,E503),0)</f>
        <v/>
      </c>
      <c r="J503" s="2">
        <f>ROUND(I503*(1-할인율),0)</f>
        <v/>
      </c>
      <c r="K503" s="2">
        <f>ROUNDDOWN(I503*할인율,0)</f>
        <v/>
      </c>
      <c r="L503" s="2">
        <f>ROUND(I503*INDEX(미지급률범위,E503),0)</f>
        <v/>
      </c>
      <c r="M503" s="2">
        <f>ROUND(I503*INDEX(과지급률범위,E503),0)</f>
        <v/>
      </c>
      <c r="N503" s="2">
        <f>MAX(0,L503-M503)</f>
        <v/>
      </c>
      <c r="O503" s="2">
        <f>K503-N503</f>
        <v/>
      </c>
      <c r="P503" s="2">
        <f>I503-N503</f>
        <v/>
      </c>
      <c r="Q503" s="5">
        <f>IF(G503&gt;기준일,1,0)</f>
        <v/>
      </c>
      <c r="R503" s="5">
        <f>IF(G503&lt;=기준일,1,0)</f>
        <v/>
      </c>
      <c r="S503" s="2">
        <f>J503*H503</f>
        <v/>
      </c>
      <c r="T503" s="5">
        <f>IF(AND(F503&gt;=표본시작,F503&lt;=표본종료),1,0)</f>
        <v/>
      </c>
      <c r="U503" s="5">
        <f>IF(AND(G503&gt;=조회시작,G503&lt;=조회종료),1,0)</f>
        <v/>
      </c>
    </row>
    <row r="504">
      <c r="A504" s="2">
        <f>ROW()-1</f>
        <v/>
      </c>
      <c r="B504" s="5">
        <f>INDEX(상호범위,D504)</f>
        <v/>
      </c>
      <c r="C504" s="5">
        <f>INDEX(플랫폼명범위,E504)</f>
        <v/>
      </c>
      <c r="D504" s="2">
        <f>MOD(INT((A504-1)/4),8)+1</f>
        <v/>
      </c>
      <c r="E504" s="2">
        <f>MOD(A504-1,4)+1</f>
        <v/>
      </c>
      <c r="F504" s="20">
        <f>축시작+INT((A504-1)/32)</f>
        <v/>
      </c>
      <c r="G504" s="20">
        <f>F504+H504</f>
        <v/>
      </c>
      <c r="H504" s="5" t="n">
        <v>9</v>
      </c>
      <c r="I504" s="2">
        <f>ROUND(INDEX(가맹점!$P$2:$P$9,D504)*INDEX(가맹점!$J$2:$M$9,D504,E504),0)</f>
        <v/>
      </c>
      <c r="J504" s="2">
        <f>ROUND(I504*(1-할인율),0)</f>
        <v/>
      </c>
      <c r="K504" s="2">
        <f>ROUNDDOWN(I504*할인율,0)</f>
        <v/>
      </c>
      <c r="L504" s="2">
        <f>ROUND(I504*INDEX(미지급률범위,E504),0)</f>
        <v/>
      </c>
      <c r="M504" s="2">
        <f>ROUND(I504*INDEX(과지급률범위,E504),0)</f>
        <v/>
      </c>
      <c r="N504" s="2">
        <f>MAX(0,L504-M504)</f>
        <v/>
      </c>
      <c r="O504" s="2">
        <f>K504-N504</f>
        <v/>
      </c>
      <c r="P504" s="2">
        <f>I504-N504</f>
        <v/>
      </c>
      <c r="Q504" s="5">
        <f>IF(G504&gt;기준일,1,0)</f>
        <v/>
      </c>
      <c r="R504" s="5">
        <f>IF(G504&lt;=기준일,1,0)</f>
        <v/>
      </c>
      <c r="S504" s="2">
        <f>J504*H504</f>
        <v/>
      </c>
      <c r="T504" s="5">
        <f>IF(AND(F504&gt;=표본시작,F504&lt;=표본종료),1,0)</f>
        <v/>
      </c>
      <c r="U504" s="5">
        <f>IF(AND(G504&gt;=조회시작,G504&lt;=조회종료),1,0)</f>
        <v/>
      </c>
    </row>
    <row r="505">
      <c r="A505" s="2">
        <f>ROW()-1</f>
        <v/>
      </c>
      <c r="B505" s="5">
        <f>INDEX(상호범위,D505)</f>
        <v/>
      </c>
      <c r="C505" s="5">
        <f>INDEX(플랫폼명범위,E505)</f>
        <v/>
      </c>
      <c r="D505" s="2">
        <f>MOD(INT((A505-1)/4),8)+1</f>
        <v/>
      </c>
      <c r="E505" s="2">
        <f>MOD(A505-1,4)+1</f>
        <v/>
      </c>
      <c r="F505" s="20">
        <f>축시작+INT((A505-1)/32)</f>
        <v/>
      </c>
      <c r="G505" s="20">
        <f>F505+H505</f>
        <v/>
      </c>
      <c r="H505" s="5" t="n">
        <v>6</v>
      </c>
      <c r="I505" s="2">
        <f>ROUND(INDEX(가맹점!$P$2:$P$9,D505)*INDEX(가맹점!$J$2:$M$9,D505,E505),0)</f>
        <v/>
      </c>
      <c r="J505" s="2">
        <f>ROUND(I505*(1-할인율),0)</f>
        <v/>
      </c>
      <c r="K505" s="2">
        <f>ROUNDDOWN(I505*할인율,0)</f>
        <v/>
      </c>
      <c r="L505" s="2">
        <f>ROUND(I505*INDEX(미지급률범위,E505),0)</f>
        <v/>
      </c>
      <c r="M505" s="2">
        <f>ROUND(I505*INDEX(과지급률범위,E505),0)</f>
        <v/>
      </c>
      <c r="N505" s="2">
        <f>MAX(0,L505-M505)</f>
        <v/>
      </c>
      <c r="O505" s="2">
        <f>K505-N505</f>
        <v/>
      </c>
      <c r="P505" s="2">
        <f>I505-N505</f>
        <v/>
      </c>
      <c r="Q505" s="5">
        <f>IF(G505&gt;기준일,1,0)</f>
        <v/>
      </c>
      <c r="R505" s="5">
        <f>IF(G505&lt;=기준일,1,0)</f>
        <v/>
      </c>
      <c r="S505" s="2">
        <f>J505*H505</f>
        <v/>
      </c>
      <c r="T505" s="5">
        <f>IF(AND(F505&gt;=표본시작,F505&lt;=표본종료),1,0)</f>
        <v/>
      </c>
      <c r="U505" s="5">
        <f>IF(AND(G505&gt;=조회시작,G505&lt;=조회종료),1,0)</f>
        <v/>
      </c>
    </row>
    <row r="506">
      <c r="A506" s="2">
        <f>ROW()-1</f>
        <v/>
      </c>
      <c r="B506" s="5">
        <f>INDEX(상호범위,D506)</f>
        <v/>
      </c>
      <c r="C506" s="5">
        <f>INDEX(플랫폼명범위,E506)</f>
        <v/>
      </c>
      <c r="D506" s="2">
        <f>MOD(INT((A506-1)/4),8)+1</f>
        <v/>
      </c>
      <c r="E506" s="2">
        <f>MOD(A506-1,4)+1</f>
        <v/>
      </c>
      <c r="F506" s="20">
        <f>축시작+INT((A506-1)/32)</f>
        <v/>
      </c>
      <c r="G506" s="20">
        <f>F506+H506</f>
        <v/>
      </c>
      <c r="H506" s="5" t="n">
        <v>1</v>
      </c>
      <c r="I506" s="2">
        <f>ROUND(INDEX(가맹점!$P$2:$P$9,D506)*INDEX(가맹점!$J$2:$M$9,D506,E506),0)</f>
        <v/>
      </c>
      <c r="J506" s="2">
        <f>ROUND(I506*(1-할인율),0)</f>
        <v/>
      </c>
      <c r="K506" s="2">
        <f>ROUNDDOWN(I506*할인율,0)</f>
        <v/>
      </c>
      <c r="L506" s="2">
        <f>ROUND(I506*INDEX(미지급률범위,E506),0)</f>
        <v/>
      </c>
      <c r="M506" s="2">
        <f>ROUND(I506*INDEX(과지급률범위,E506),0)</f>
        <v/>
      </c>
      <c r="N506" s="2">
        <f>MAX(0,L506-M506)</f>
        <v/>
      </c>
      <c r="O506" s="2">
        <f>K506-N506</f>
        <v/>
      </c>
      <c r="P506" s="2">
        <f>I506-N506</f>
        <v/>
      </c>
      <c r="Q506" s="5">
        <f>IF(G506&gt;기준일,1,0)</f>
        <v/>
      </c>
      <c r="R506" s="5">
        <f>IF(G506&lt;=기준일,1,0)</f>
        <v/>
      </c>
      <c r="S506" s="2">
        <f>J506*H506</f>
        <v/>
      </c>
      <c r="T506" s="5">
        <f>IF(AND(F506&gt;=표본시작,F506&lt;=표본종료),1,0)</f>
        <v/>
      </c>
      <c r="U506" s="5">
        <f>IF(AND(G506&gt;=조회시작,G506&lt;=조회종료),1,0)</f>
        <v/>
      </c>
    </row>
    <row r="507">
      <c r="A507" s="2">
        <f>ROW()-1</f>
        <v/>
      </c>
      <c r="B507" s="5">
        <f>INDEX(상호범위,D507)</f>
        <v/>
      </c>
      <c r="C507" s="5">
        <f>INDEX(플랫폼명범위,E507)</f>
        <v/>
      </c>
      <c r="D507" s="2">
        <f>MOD(INT((A507-1)/4),8)+1</f>
        <v/>
      </c>
      <c r="E507" s="2">
        <f>MOD(A507-1,4)+1</f>
        <v/>
      </c>
      <c r="F507" s="20">
        <f>축시작+INT((A507-1)/32)</f>
        <v/>
      </c>
      <c r="G507" s="20">
        <f>F507+H507</f>
        <v/>
      </c>
      <c r="H507" s="5" t="n">
        <v>5</v>
      </c>
      <c r="I507" s="2">
        <f>ROUND(INDEX(가맹점!$P$2:$P$9,D507)*INDEX(가맹점!$J$2:$M$9,D507,E507),0)</f>
        <v/>
      </c>
      <c r="J507" s="2">
        <f>ROUND(I507*(1-할인율),0)</f>
        <v/>
      </c>
      <c r="K507" s="2">
        <f>ROUNDDOWN(I507*할인율,0)</f>
        <v/>
      </c>
      <c r="L507" s="2">
        <f>ROUND(I507*INDEX(미지급률범위,E507),0)</f>
        <v/>
      </c>
      <c r="M507" s="2">
        <f>ROUND(I507*INDEX(과지급률범위,E507),0)</f>
        <v/>
      </c>
      <c r="N507" s="2">
        <f>MAX(0,L507-M507)</f>
        <v/>
      </c>
      <c r="O507" s="2">
        <f>K507-N507</f>
        <v/>
      </c>
      <c r="P507" s="2">
        <f>I507-N507</f>
        <v/>
      </c>
      <c r="Q507" s="5">
        <f>IF(G507&gt;기준일,1,0)</f>
        <v/>
      </c>
      <c r="R507" s="5">
        <f>IF(G507&lt;=기준일,1,0)</f>
        <v/>
      </c>
      <c r="S507" s="2">
        <f>J507*H507</f>
        <v/>
      </c>
      <c r="T507" s="5">
        <f>IF(AND(F507&gt;=표본시작,F507&lt;=표본종료),1,0)</f>
        <v/>
      </c>
      <c r="U507" s="5">
        <f>IF(AND(G507&gt;=조회시작,G507&lt;=조회종료),1,0)</f>
        <v/>
      </c>
    </row>
    <row r="508">
      <c r="A508" s="2">
        <f>ROW()-1</f>
        <v/>
      </c>
      <c r="B508" s="5">
        <f>INDEX(상호범위,D508)</f>
        <v/>
      </c>
      <c r="C508" s="5">
        <f>INDEX(플랫폼명범위,E508)</f>
        <v/>
      </c>
      <c r="D508" s="2">
        <f>MOD(INT((A508-1)/4),8)+1</f>
        <v/>
      </c>
      <c r="E508" s="2">
        <f>MOD(A508-1,4)+1</f>
        <v/>
      </c>
      <c r="F508" s="20">
        <f>축시작+INT((A508-1)/32)</f>
        <v/>
      </c>
      <c r="G508" s="20">
        <f>F508+H508</f>
        <v/>
      </c>
      <c r="H508" s="5" t="n">
        <v>3</v>
      </c>
      <c r="I508" s="2">
        <f>ROUND(INDEX(가맹점!$P$2:$P$9,D508)*INDEX(가맹점!$J$2:$M$9,D508,E508),0)</f>
        <v/>
      </c>
      <c r="J508" s="2">
        <f>ROUND(I508*(1-할인율),0)</f>
        <v/>
      </c>
      <c r="K508" s="2">
        <f>ROUNDDOWN(I508*할인율,0)</f>
        <v/>
      </c>
      <c r="L508" s="2">
        <f>ROUND(I508*INDEX(미지급률범위,E508),0)</f>
        <v/>
      </c>
      <c r="M508" s="2">
        <f>ROUND(I508*INDEX(과지급률범위,E508),0)</f>
        <v/>
      </c>
      <c r="N508" s="2">
        <f>MAX(0,L508-M508)</f>
        <v/>
      </c>
      <c r="O508" s="2">
        <f>K508-N508</f>
        <v/>
      </c>
      <c r="P508" s="2">
        <f>I508-N508</f>
        <v/>
      </c>
      <c r="Q508" s="5">
        <f>IF(G508&gt;기준일,1,0)</f>
        <v/>
      </c>
      <c r="R508" s="5">
        <f>IF(G508&lt;=기준일,1,0)</f>
        <v/>
      </c>
      <c r="S508" s="2">
        <f>J508*H508</f>
        <v/>
      </c>
      <c r="T508" s="5">
        <f>IF(AND(F508&gt;=표본시작,F508&lt;=표본종료),1,0)</f>
        <v/>
      </c>
      <c r="U508" s="5">
        <f>IF(AND(G508&gt;=조회시작,G508&lt;=조회종료),1,0)</f>
        <v/>
      </c>
    </row>
    <row r="509">
      <c r="A509" s="2">
        <f>ROW()-1</f>
        <v/>
      </c>
      <c r="B509" s="5">
        <f>INDEX(상호범위,D509)</f>
        <v/>
      </c>
      <c r="C509" s="5">
        <f>INDEX(플랫폼명범위,E509)</f>
        <v/>
      </c>
      <c r="D509" s="2">
        <f>MOD(INT((A509-1)/4),8)+1</f>
        <v/>
      </c>
      <c r="E509" s="2">
        <f>MOD(A509-1,4)+1</f>
        <v/>
      </c>
      <c r="F509" s="20">
        <f>축시작+INT((A509-1)/32)</f>
        <v/>
      </c>
      <c r="G509" s="20">
        <f>F509+H509</f>
        <v/>
      </c>
      <c r="H509" s="5" t="n">
        <v>6</v>
      </c>
      <c r="I509" s="2">
        <f>ROUND(INDEX(가맹점!$P$2:$P$9,D509)*INDEX(가맹점!$J$2:$M$9,D509,E509),0)</f>
        <v/>
      </c>
      <c r="J509" s="2">
        <f>ROUND(I509*(1-할인율),0)</f>
        <v/>
      </c>
      <c r="K509" s="2">
        <f>ROUNDDOWN(I509*할인율,0)</f>
        <v/>
      </c>
      <c r="L509" s="2">
        <f>ROUND(I509*INDEX(미지급률범위,E509),0)</f>
        <v/>
      </c>
      <c r="M509" s="2">
        <f>ROUND(I509*INDEX(과지급률범위,E509),0)</f>
        <v/>
      </c>
      <c r="N509" s="2">
        <f>MAX(0,L509-M509)</f>
        <v/>
      </c>
      <c r="O509" s="2">
        <f>K509-N509</f>
        <v/>
      </c>
      <c r="P509" s="2">
        <f>I509-N509</f>
        <v/>
      </c>
      <c r="Q509" s="5">
        <f>IF(G509&gt;기준일,1,0)</f>
        <v/>
      </c>
      <c r="R509" s="5">
        <f>IF(G509&lt;=기준일,1,0)</f>
        <v/>
      </c>
      <c r="S509" s="2">
        <f>J509*H509</f>
        <v/>
      </c>
      <c r="T509" s="5">
        <f>IF(AND(F509&gt;=표본시작,F509&lt;=표본종료),1,0)</f>
        <v/>
      </c>
      <c r="U509" s="5">
        <f>IF(AND(G509&gt;=조회시작,G509&lt;=조회종료),1,0)</f>
        <v/>
      </c>
    </row>
    <row r="510">
      <c r="A510" s="2">
        <f>ROW()-1</f>
        <v/>
      </c>
      <c r="B510" s="5">
        <f>INDEX(상호범위,D510)</f>
        <v/>
      </c>
      <c r="C510" s="5">
        <f>INDEX(플랫폼명범위,E510)</f>
        <v/>
      </c>
      <c r="D510" s="2">
        <f>MOD(INT((A510-1)/4),8)+1</f>
        <v/>
      </c>
      <c r="E510" s="2">
        <f>MOD(A510-1,4)+1</f>
        <v/>
      </c>
      <c r="F510" s="20">
        <f>축시작+INT((A510-1)/32)</f>
        <v/>
      </c>
      <c r="G510" s="20">
        <f>F510+H510</f>
        <v/>
      </c>
      <c r="H510" s="5" t="n">
        <v>1</v>
      </c>
      <c r="I510" s="2">
        <f>ROUND(INDEX(가맹점!$P$2:$P$9,D510)*INDEX(가맹점!$J$2:$M$9,D510,E510),0)</f>
        <v/>
      </c>
      <c r="J510" s="2">
        <f>ROUND(I510*(1-할인율),0)</f>
        <v/>
      </c>
      <c r="K510" s="2">
        <f>ROUNDDOWN(I510*할인율,0)</f>
        <v/>
      </c>
      <c r="L510" s="2">
        <f>ROUND(I510*INDEX(미지급률범위,E510),0)</f>
        <v/>
      </c>
      <c r="M510" s="2">
        <f>ROUND(I510*INDEX(과지급률범위,E510),0)</f>
        <v/>
      </c>
      <c r="N510" s="2">
        <f>MAX(0,L510-M510)</f>
        <v/>
      </c>
      <c r="O510" s="2">
        <f>K510-N510</f>
        <v/>
      </c>
      <c r="P510" s="2">
        <f>I510-N510</f>
        <v/>
      </c>
      <c r="Q510" s="5">
        <f>IF(G510&gt;기준일,1,0)</f>
        <v/>
      </c>
      <c r="R510" s="5">
        <f>IF(G510&lt;=기준일,1,0)</f>
        <v/>
      </c>
      <c r="S510" s="2">
        <f>J510*H510</f>
        <v/>
      </c>
      <c r="T510" s="5">
        <f>IF(AND(F510&gt;=표본시작,F510&lt;=표본종료),1,0)</f>
        <v/>
      </c>
      <c r="U510" s="5">
        <f>IF(AND(G510&gt;=조회시작,G510&lt;=조회종료),1,0)</f>
        <v/>
      </c>
    </row>
    <row r="511">
      <c r="A511" s="2">
        <f>ROW()-1</f>
        <v/>
      </c>
      <c r="B511" s="5">
        <f>INDEX(상호범위,D511)</f>
        <v/>
      </c>
      <c r="C511" s="5">
        <f>INDEX(플랫폼명범위,E511)</f>
        <v/>
      </c>
      <c r="D511" s="2">
        <f>MOD(INT((A511-1)/4),8)+1</f>
        <v/>
      </c>
      <c r="E511" s="2">
        <f>MOD(A511-1,4)+1</f>
        <v/>
      </c>
      <c r="F511" s="20">
        <f>축시작+INT((A511-1)/32)</f>
        <v/>
      </c>
      <c r="G511" s="20">
        <f>F511+H511</f>
        <v/>
      </c>
      <c r="H511" s="5" t="n">
        <v>2</v>
      </c>
      <c r="I511" s="2">
        <f>ROUND(INDEX(가맹점!$P$2:$P$9,D511)*INDEX(가맹점!$J$2:$M$9,D511,E511),0)</f>
        <v/>
      </c>
      <c r="J511" s="2">
        <f>ROUND(I511*(1-할인율),0)</f>
        <v/>
      </c>
      <c r="K511" s="2">
        <f>ROUNDDOWN(I511*할인율,0)</f>
        <v/>
      </c>
      <c r="L511" s="2">
        <f>ROUND(I511*INDEX(미지급률범위,E511),0)</f>
        <v/>
      </c>
      <c r="M511" s="2">
        <f>ROUND(I511*INDEX(과지급률범위,E511),0)</f>
        <v/>
      </c>
      <c r="N511" s="2">
        <f>MAX(0,L511-M511)</f>
        <v/>
      </c>
      <c r="O511" s="2">
        <f>K511-N511</f>
        <v/>
      </c>
      <c r="P511" s="2">
        <f>I511-N511</f>
        <v/>
      </c>
      <c r="Q511" s="5">
        <f>IF(G511&gt;기준일,1,0)</f>
        <v/>
      </c>
      <c r="R511" s="5">
        <f>IF(G511&lt;=기준일,1,0)</f>
        <v/>
      </c>
      <c r="S511" s="2">
        <f>J511*H511</f>
        <v/>
      </c>
      <c r="T511" s="5">
        <f>IF(AND(F511&gt;=표본시작,F511&lt;=표본종료),1,0)</f>
        <v/>
      </c>
      <c r="U511" s="5">
        <f>IF(AND(G511&gt;=조회시작,G511&lt;=조회종료),1,0)</f>
        <v/>
      </c>
    </row>
    <row r="512">
      <c r="A512" s="2">
        <f>ROW()-1</f>
        <v/>
      </c>
      <c r="B512" s="5">
        <f>INDEX(상호범위,D512)</f>
        <v/>
      </c>
      <c r="C512" s="5">
        <f>INDEX(플랫폼명범위,E512)</f>
        <v/>
      </c>
      <c r="D512" s="2">
        <f>MOD(INT((A512-1)/4),8)+1</f>
        <v/>
      </c>
      <c r="E512" s="2">
        <f>MOD(A512-1,4)+1</f>
        <v/>
      </c>
      <c r="F512" s="20">
        <f>축시작+INT((A512-1)/32)</f>
        <v/>
      </c>
      <c r="G512" s="20">
        <f>F512+H512</f>
        <v/>
      </c>
      <c r="H512" s="5" t="n">
        <v>5</v>
      </c>
      <c r="I512" s="2">
        <f>ROUND(INDEX(가맹점!$P$2:$P$9,D512)*INDEX(가맹점!$J$2:$M$9,D512,E512),0)</f>
        <v/>
      </c>
      <c r="J512" s="2">
        <f>ROUND(I512*(1-할인율),0)</f>
        <v/>
      </c>
      <c r="K512" s="2">
        <f>ROUNDDOWN(I512*할인율,0)</f>
        <v/>
      </c>
      <c r="L512" s="2">
        <f>ROUND(I512*INDEX(미지급률범위,E512),0)</f>
        <v/>
      </c>
      <c r="M512" s="2">
        <f>ROUND(I512*INDEX(과지급률범위,E512),0)</f>
        <v/>
      </c>
      <c r="N512" s="2">
        <f>MAX(0,L512-M512)</f>
        <v/>
      </c>
      <c r="O512" s="2">
        <f>K512-N512</f>
        <v/>
      </c>
      <c r="P512" s="2">
        <f>I512-N512</f>
        <v/>
      </c>
      <c r="Q512" s="5">
        <f>IF(G512&gt;기준일,1,0)</f>
        <v/>
      </c>
      <c r="R512" s="5">
        <f>IF(G512&lt;=기준일,1,0)</f>
        <v/>
      </c>
      <c r="S512" s="2">
        <f>J512*H512</f>
        <v/>
      </c>
      <c r="T512" s="5">
        <f>IF(AND(F512&gt;=표본시작,F512&lt;=표본종료),1,0)</f>
        <v/>
      </c>
      <c r="U512" s="5">
        <f>IF(AND(G512&gt;=조회시작,G512&lt;=조회종료),1,0)</f>
        <v/>
      </c>
    </row>
    <row r="513">
      <c r="A513" s="2">
        <f>ROW()-1</f>
        <v/>
      </c>
      <c r="B513" s="5">
        <f>INDEX(상호범위,D513)</f>
        <v/>
      </c>
      <c r="C513" s="5">
        <f>INDEX(플랫폼명범위,E513)</f>
        <v/>
      </c>
      <c r="D513" s="2">
        <f>MOD(INT((A513-1)/4),8)+1</f>
        <v/>
      </c>
      <c r="E513" s="2">
        <f>MOD(A513-1,4)+1</f>
        <v/>
      </c>
      <c r="F513" s="20">
        <f>축시작+INT((A513-1)/32)</f>
        <v/>
      </c>
      <c r="G513" s="20">
        <f>F513+H513</f>
        <v/>
      </c>
      <c r="H513" s="5" t="n">
        <v>5</v>
      </c>
      <c r="I513" s="2">
        <f>ROUND(INDEX(가맹점!$P$2:$P$9,D513)*INDEX(가맹점!$J$2:$M$9,D513,E513),0)</f>
        <v/>
      </c>
      <c r="J513" s="2">
        <f>ROUND(I513*(1-할인율),0)</f>
        <v/>
      </c>
      <c r="K513" s="2">
        <f>ROUNDDOWN(I513*할인율,0)</f>
        <v/>
      </c>
      <c r="L513" s="2">
        <f>ROUND(I513*INDEX(미지급률범위,E513),0)</f>
        <v/>
      </c>
      <c r="M513" s="2">
        <f>ROUND(I513*INDEX(과지급률범위,E513),0)</f>
        <v/>
      </c>
      <c r="N513" s="2">
        <f>MAX(0,L513-M513)</f>
        <v/>
      </c>
      <c r="O513" s="2">
        <f>K513-N513</f>
        <v/>
      </c>
      <c r="P513" s="2">
        <f>I513-N513</f>
        <v/>
      </c>
      <c r="Q513" s="5">
        <f>IF(G513&gt;기준일,1,0)</f>
        <v/>
      </c>
      <c r="R513" s="5">
        <f>IF(G513&lt;=기준일,1,0)</f>
        <v/>
      </c>
      <c r="S513" s="2">
        <f>J513*H513</f>
        <v/>
      </c>
      <c r="T513" s="5">
        <f>IF(AND(F513&gt;=표본시작,F513&lt;=표본종료),1,0)</f>
        <v/>
      </c>
      <c r="U513" s="5">
        <f>IF(AND(G513&gt;=조회시작,G513&lt;=조회종료),1,0)</f>
        <v/>
      </c>
    </row>
    <row r="514">
      <c r="A514" s="2">
        <f>ROW()-1</f>
        <v/>
      </c>
      <c r="B514" s="5">
        <f>INDEX(상호범위,D514)</f>
        <v/>
      </c>
      <c r="C514" s="5">
        <f>INDEX(플랫폼명범위,E514)</f>
        <v/>
      </c>
      <c r="D514" s="2">
        <f>MOD(INT((A514-1)/4),8)+1</f>
        <v/>
      </c>
      <c r="E514" s="2">
        <f>MOD(A514-1,4)+1</f>
        <v/>
      </c>
      <c r="F514" s="20">
        <f>축시작+INT((A514-1)/32)</f>
        <v/>
      </c>
      <c r="G514" s="20">
        <f>F514+H514</f>
        <v/>
      </c>
      <c r="H514" s="5" t="n">
        <v>1</v>
      </c>
      <c r="I514" s="2">
        <f>ROUND(INDEX(가맹점!$P$2:$P$9,D514)*INDEX(가맹점!$J$2:$M$9,D514,E514),0)</f>
        <v/>
      </c>
      <c r="J514" s="2">
        <f>ROUND(I514*(1-할인율),0)</f>
        <v/>
      </c>
      <c r="K514" s="2">
        <f>ROUNDDOWN(I514*할인율,0)</f>
        <v/>
      </c>
      <c r="L514" s="2">
        <f>ROUND(I514*INDEX(미지급률범위,E514),0)</f>
        <v/>
      </c>
      <c r="M514" s="2">
        <f>ROUND(I514*INDEX(과지급률범위,E514),0)</f>
        <v/>
      </c>
      <c r="N514" s="2">
        <f>MAX(0,L514-M514)</f>
        <v/>
      </c>
      <c r="O514" s="2">
        <f>K514-N514</f>
        <v/>
      </c>
      <c r="P514" s="2">
        <f>I514-N514</f>
        <v/>
      </c>
      <c r="Q514" s="5">
        <f>IF(G514&gt;기준일,1,0)</f>
        <v/>
      </c>
      <c r="R514" s="5">
        <f>IF(G514&lt;=기준일,1,0)</f>
        <v/>
      </c>
      <c r="S514" s="2">
        <f>J514*H514</f>
        <v/>
      </c>
      <c r="T514" s="5">
        <f>IF(AND(F514&gt;=표본시작,F514&lt;=표본종료),1,0)</f>
        <v/>
      </c>
      <c r="U514" s="5">
        <f>IF(AND(G514&gt;=조회시작,G514&lt;=조회종료),1,0)</f>
        <v/>
      </c>
    </row>
    <row r="515">
      <c r="A515" s="2">
        <f>ROW()-1</f>
        <v/>
      </c>
      <c r="B515" s="5">
        <f>INDEX(상호범위,D515)</f>
        <v/>
      </c>
      <c r="C515" s="5">
        <f>INDEX(플랫폼명범위,E515)</f>
        <v/>
      </c>
      <c r="D515" s="2">
        <f>MOD(INT((A515-1)/4),8)+1</f>
        <v/>
      </c>
      <c r="E515" s="2">
        <f>MOD(A515-1,4)+1</f>
        <v/>
      </c>
      <c r="F515" s="20">
        <f>축시작+INT((A515-1)/32)</f>
        <v/>
      </c>
      <c r="G515" s="20">
        <f>F515+H515</f>
        <v/>
      </c>
      <c r="H515" s="5" t="n">
        <v>2</v>
      </c>
      <c r="I515" s="2">
        <f>ROUND(INDEX(가맹점!$P$2:$P$9,D515)*INDEX(가맹점!$J$2:$M$9,D515,E515),0)</f>
        <v/>
      </c>
      <c r="J515" s="2">
        <f>ROUND(I515*(1-할인율),0)</f>
        <v/>
      </c>
      <c r="K515" s="2">
        <f>ROUNDDOWN(I515*할인율,0)</f>
        <v/>
      </c>
      <c r="L515" s="2">
        <f>ROUND(I515*INDEX(미지급률범위,E515),0)</f>
        <v/>
      </c>
      <c r="M515" s="2">
        <f>ROUND(I515*INDEX(과지급률범위,E515),0)</f>
        <v/>
      </c>
      <c r="N515" s="2">
        <f>MAX(0,L515-M515)</f>
        <v/>
      </c>
      <c r="O515" s="2">
        <f>K515-N515</f>
        <v/>
      </c>
      <c r="P515" s="2">
        <f>I515-N515</f>
        <v/>
      </c>
      <c r="Q515" s="5">
        <f>IF(G515&gt;기준일,1,0)</f>
        <v/>
      </c>
      <c r="R515" s="5">
        <f>IF(G515&lt;=기준일,1,0)</f>
        <v/>
      </c>
      <c r="S515" s="2">
        <f>J515*H515</f>
        <v/>
      </c>
      <c r="T515" s="5">
        <f>IF(AND(F515&gt;=표본시작,F515&lt;=표본종료),1,0)</f>
        <v/>
      </c>
      <c r="U515" s="5">
        <f>IF(AND(G515&gt;=조회시작,G515&lt;=조회종료),1,0)</f>
        <v/>
      </c>
    </row>
    <row r="516">
      <c r="A516" s="2">
        <f>ROW()-1</f>
        <v/>
      </c>
      <c r="B516" s="5">
        <f>INDEX(상호범위,D516)</f>
        <v/>
      </c>
      <c r="C516" s="5">
        <f>INDEX(플랫폼명범위,E516)</f>
        <v/>
      </c>
      <c r="D516" s="2">
        <f>MOD(INT((A516-1)/4),8)+1</f>
        <v/>
      </c>
      <c r="E516" s="2">
        <f>MOD(A516-1,4)+1</f>
        <v/>
      </c>
      <c r="F516" s="20">
        <f>축시작+INT((A516-1)/32)</f>
        <v/>
      </c>
      <c r="G516" s="20">
        <f>F516+H516</f>
        <v/>
      </c>
      <c r="H516" s="5" t="n">
        <v>3</v>
      </c>
      <c r="I516" s="2">
        <f>ROUND(INDEX(가맹점!$P$2:$P$9,D516)*INDEX(가맹점!$J$2:$M$9,D516,E516),0)</f>
        <v/>
      </c>
      <c r="J516" s="2">
        <f>ROUND(I516*(1-할인율),0)</f>
        <v/>
      </c>
      <c r="K516" s="2">
        <f>ROUNDDOWN(I516*할인율,0)</f>
        <v/>
      </c>
      <c r="L516" s="2">
        <f>ROUND(I516*INDEX(미지급률범위,E516),0)</f>
        <v/>
      </c>
      <c r="M516" s="2">
        <f>ROUND(I516*INDEX(과지급률범위,E516),0)</f>
        <v/>
      </c>
      <c r="N516" s="2">
        <f>MAX(0,L516-M516)</f>
        <v/>
      </c>
      <c r="O516" s="2">
        <f>K516-N516</f>
        <v/>
      </c>
      <c r="P516" s="2">
        <f>I516-N516</f>
        <v/>
      </c>
      <c r="Q516" s="5">
        <f>IF(G516&gt;기준일,1,0)</f>
        <v/>
      </c>
      <c r="R516" s="5">
        <f>IF(G516&lt;=기준일,1,0)</f>
        <v/>
      </c>
      <c r="S516" s="2">
        <f>J516*H516</f>
        <v/>
      </c>
      <c r="T516" s="5">
        <f>IF(AND(F516&gt;=표본시작,F516&lt;=표본종료),1,0)</f>
        <v/>
      </c>
      <c r="U516" s="5">
        <f>IF(AND(G516&gt;=조회시작,G516&lt;=조회종료),1,0)</f>
        <v/>
      </c>
    </row>
    <row r="517">
      <c r="A517" s="2">
        <f>ROW()-1</f>
        <v/>
      </c>
      <c r="B517" s="5">
        <f>INDEX(상호범위,D517)</f>
        <v/>
      </c>
      <c r="C517" s="5">
        <f>INDEX(플랫폼명범위,E517)</f>
        <v/>
      </c>
      <c r="D517" s="2">
        <f>MOD(INT((A517-1)/4),8)+1</f>
        <v/>
      </c>
      <c r="E517" s="2">
        <f>MOD(A517-1,4)+1</f>
        <v/>
      </c>
      <c r="F517" s="20">
        <f>축시작+INT((A517-1)/32)</f>
        <v/>
      </c>
      <c r="G517" s="20">
        <f>F517+H517</f>
        <v/>
      </c>
      <c r="H517" s="5" t="n">
        <v>5</v>
      </c>
      <c r="I517" s="2">
        <f>ROUND(INDEX(가맹점!$P$2:$P$9,D517)*INDEX(가맹점!$J$2:$M$9,D517,E517),0)</f>
        <v/>
      </c>
      <c r="J517" s="2">
        <f>ROUND(I517*(1-할인율),0)</f>
        <v/>
      </c>
      <c r="K517" s="2">
        <f>ROUNDDOWN(I517*할인율,0)</f>
        <v/>
      </c>
      <c r="L517" s="2">
        <f>ROUND(I517*INDEX(미지급률범위,E517),0)</f>
        <v/>
      </c>
      <c r="M517" s="2">
        <f>ROUND(I517*INDEX(과지급률범위,E517),0)</f>
        <v/>
      </c>
      <c r="N517" s="2">
        <f>MAX(0,L517-M517)</f>
        <v/>
      </c>
      <c r="O517" s="2">
        <f>K517-N517</f>
        <v/>
      </c>
      <c r="P517" s="2">
        <f>I517-N517</f>
        <v/>
      </c>
      <c r="Q517" s="5">
        <f>IF(G517&gt;기준일,1,0)</f>
        <v/>
      </c>
      <c r="R517" s="5">
        <f>IF(G517&lt;=기준일,1,0)</f>
        <v/>
      </c>
      <c r="S517" s="2">
        <f>J517*H517</f>
        <v/>
      </c>
      <c r="T517" s="5">
        <f>IF(AND(F517&gt;=표본시작,F517&lt;=표본종료),1,0)</f>
        <v/>
      </c>
      <c r="U517" s="5">
        <f>IF(AND(G517&gt;=조회시작,G517&lt;=조회종료),1,0)</f>
        <v/>
      </c>
    </row>
    <row r="518">
      <c r="A518" s="2">
        <f>ROW()-1</f>
        <v/>
      </c>
      <c r="B518" s="5">
        <f>INDEX(상호범위,D518)</f>
        <v/>
      </c>
      <c r="C518" s="5">
        <f>INDEX(플랫폼명범위,E518)</f>
        <v/>
      </c>
      <c r="D518" s="2">
        <f>MOD(INT((A518-1)/4),8)+1</f>
        <v/>
      </c>
      <c r="E518" s="2">
        <f>MOD(A518-1,4)+1</f>
        <v/>
      </c>
      <c r="F518" s="20">
        <f>축시작+INT((A518-1)/32)</f>
        <v/>
      </c>
      <c r="G518" s="20">
        <f>F518+H518</f>
        <v/>
      </c>
      <c r="H518" s="5" t="n">
        <v>1</v>
      </c>
      <c r="I518" s="2">
        <f>ROUND(INDEX(가맹점!$P$2:$P$9,D518)*INDEX(가맹점!$J$2:$M$9,D518,E518),0)</f>
        <v/>
      </c>
      <c r="J518" s="2">
        <f>ROUND(I518*(1-할인율),0)</f>
        <v/>
      </c>
      <c r="K518" s="2">
        <f>ROUNDDOWN(I518*할인율,0)</f>
        <v/>
      </c>
      <c r="L518" s="2">
        <f>ROUND(I518*INDEX(미지급률범위,E518),0)</f>
        <v/>
      </c>
      <c r="M518" s="2">
        <f>ROUND(I518*INDEX(과지급률범위,E518),0)</f>
        <v/>
      </c>
      <c r="N518" s="2">
        <f>MAX(0,L518-M518)</f>
        <v/>
      </c>
      <c r="O518" s="2">
        <f>K518-N518</f>
        <v/>
      </c>
      <c r="P518" s="2">
        <f>I518-N518</f>
        <v/>
      </c>
      <c r="Q518" s="5">
        <f>IF(G518&gt;기준일,1,0)</f>
        <v/>
      </c>
      <c r="R518" s="5">
        <f>IF(G518&lt;=기준일,1,0)</f>
        <v/>
      </c>
      <c r="S518" s="2">
        <f>J518*H518</f>
        <v/>
      </c>
      <c r="T518" s="5">
        <f>IF(AND(F518&gt;=표본시작,F518&lt;=표본종료),1,0)</f>
        <v/>
      </c>
      <c r="U518" s="5">
        <f>IF(AND(G518&gt;=조회시작,G518&lt;=조회종료),1,0)</f>
        <v/>
      </c>
    </row>
    <row r="519">
      <c r="A519" s="2">
        <f>ROW()-1</f>
        <v/>
      </c>
      <c r="B519" s="5">
        <f>INDEX(상호범위,D519)</f>
        <v/>
      </c>
      <c r="C519" s="5">
        <f>INDEX(플랫폼명범위,E519)</f>
        <v/>
      </c>
      <c r="D519" s="2">
        <f>MOD(INT((A519-1)/4),8)+1</f>
        <v/>
      </c>
      <c r="E519" s="2">
        <f>MOD(A519-1,4)+1</f>
        <v/>
      </c>
      <c r="F519" s="20">
        <f>축시작+INT((A519-1)/32)</f>
        <v/>
      </c>
      <c r="G519" s="20">
        <f>F519+H519</f>
        <v/>
      </c>
      <c r="H519" s="5" t="n">
        <v>4</v>
      </c>
      <c r="I519" s="2">
        <f>ROUND(INDEX(가맹점!$P$2:$P$9,D519)*INDEX(가맹점!$J$2:$M$9,D519,E519),0)</f>
        <v/>
      </c>
      <c r="J519" s="2">
        <f>ROUND(I519*(1-할인율),0)</f>
        <v/>
      </c>
      <c r="K519" s="2">
        <f>ROUNDDOWN(I519*할인율,0)</f>
        <v/>
      </c>
      <c r="L519" s="2">
        <f>ROUND(I519*INDEX(미지급률범위,E519),0)</f>
        <v/>
      </c>
      <c r="M519" s="2">
        <f>ROUND(I519*INDEX(과지급률범위,E519),0)</f>
        <v/>
      </c>
      <c r="N519" s="2">
        <f>MAX(0,L519-M519)</f>
        <v/>
      </c>
      <c r="O519" s="2">
        <f>K519-N519</f>
        <v/>
      </c>
      <c r="P519" s="2">
        <f>I519-N519</f>
        <v/>
      </c>
      <c r="Q519" s="5">
        <f>IF(G519&gt;기준일,1,0)</f>
        <v/>
      </c>
      <c r="R519" s="5">
        <f>IF(G519&lt;=기준일,1,0)</f>
        <v/>
      </c>
      <c r="S519" s="2">
        <f>J519*H519</f>
        <v/>
      </c>
      <c r="T519" s="5">
        <f>IF(AND(F519&gt;=표본시작,F519&lt;=표본종료),1,0)</f>
        <v/>
      </c>
      <c r="U519" s="5">
        <f>IF(AND(G519&gt;=조회시작,G519&lt;=조회종료),1,0)</f>
        <v/>
      </c>
    </row>
    <row r="520">
      <c r="A520" s="2">
        <f>ROW()-1</f>
        <v/>
      </c>
      <c r="B520" s="5">
        <f>INDEX(상호범위,D520)</f>
        <v/>
      </c>
      <c r="C520" s="5">
        <f>INDEX(플랫폼명범위,E520)</f>
        <v/>
      </c>
      <c r="D520" s="2">
        <f>MOD(INT((A520-1)/4),8)+1</f>
        <v/>
      </c>
      <c r="E520" s="2">
        <f>MOD(A520-1,4)+1</f>
        <v/>
      </c>
      <c r="F520" s="20">
        <f>축시작+INT((A520-1)/32)</f>
        <v/>
      </c>
      <c r="G520" s="20">
        <f>F520+H520</f>
        <v/>
      </c>
      <c r="H520" s="5" t="n">
        <v>5</v>
      </c>
      <c r="I520" s="2">
        <f>ROUND(INDEX(가맹점!$P$2:$P$9,D520)*INDEX(가맹점!$J$2:$M$9,D520,E520),0)</f>
        <v/>
      </c>
      <c r="J520" s="2">
        <f>ROUND(I520*(1-할인율),0)</f>
        <v/>
      </c>
      <c r="K520" s="2">
        <f>ROUNDDOWN(I520*할인율,0)</f>
        <v/>
      </c>
      <c r="L520" s="2">
        <f>ROUND(I520*INDEX(미지급률범위,E520),0)</f>
        <v/>
      </c>
      <c r="M520" s="2">
        <f>ROUND(I520*INDEX(과지급률범위,E520),0)</f>
        <v/>
      </c>
      <c r="N520" s="2">
        <f>MAX(0,L520-M520)</f>
        <v/>
      </c>
      <c r="O520" s="2">
        <f>K520-N520</f>
        <v/>
      </c>
      <c r="P520" s="2">
        <f>I520-N520</f>
        <v/>
      </c>
      <c r="Q520" s="5">
        <f>IF(G520&gt;기준일,1,0)</f>
        <v/>
      </c>
      <c r="R520" s="5">
        <f>IF(G520&lt;=기준일,1,0)</f>
        <v/>
      </c>
      <c r="S520" s="2">
        <f>J520*H520</f>
        <v/>
      </c>
      <c r="T520" s="5">
        <f>IF(AND(F520&gt;=표본시작,F520&lt;=표본종료),1,0)</f>
        <v/>
      </c>
      <c r="U520" s="5">
        <f>IF(AND(G520&gt;=조회시작,G520&lt;=조회종료),1,0)</f>
        <v/>
      </c>
    </row>
    <row r="521">
      <c r="A521" s="2">
        <f>ROW()-1</f>
        <v/>
      </c>
      <c r="B521" s="5">
        <f>INDEX(상호범위,D521)</f>
        <v/>
      </c>
      <c r="C521" s="5">
        <f>INDEX(플랫폼명범위,E521)</f>
        <v/>
      </c>
      <c r="D521" s="2">
        <f>MOD(INT((A521-1)/4),8)+1</f>
        <v/>
      </c>
      <c r="E521" s="2">
        <f>MOD(A521-1,4)+1</f>
        <v/>
      </c>
      <c r="F521" s="20">
        <f>축시작+INT((A521-1)/32)</f>
        <v/>
      </c>
      <c r="G521" s="20">
        <f>F521+H521</f>
        <v/>
      </c>
      <c r="H521" s="5" t="n">
        <v>4</v>
      </c>
      <c r="I521" s="2">
        <f>ROUND(INDEX(가맹점!$P$2:$P$9,D521)*INDEX(가맹점!$J$2:$M$9,D521,E521),0)</f>
        <v/>
      </c>
      <c r="J521" s="2">
        <f>ROUND(I521*(1-할인율),0)</f>
        <v/>
      </c>
      <c r="K521" s="2">
        <f>ROUNDDOWN(I521*할인율,0)</f>
        <v/>
      </c>
      <c r="L521" s="2">
        <f>ROUND(I521*INDEX(미지급률범위,E521),0)</f>
        <v/>
      </c>
      <c r="M521" s="2">
        <f>ROUND(I521*INDEX(과지급률범위,E521),0)</f>
        <v/>
      </c>
      <c r="N521" s="2">
        <f>MAX(0,L521-M521)</f>
        <v/>
      </c>
      <c r="O521" s="2">
        <f>K521-N521</f>
        <v/>
      </c>
      <c r="P521" s="2">
        <f>I521-N521</f>
        <v/>
      </c>
      <c r="Q521" s="5">
        <f>IF(G521&gt;기준일,1,0)</f>
        <v/>
      </c>
      <c r="R521" s="5">
        <f>IF(G521&lt;=기준일,1,0)</f>
        <v/>
      </c>
      <c r="S521" s="2">
        <f>J521*H521</f>
        <v/>
      </c>
      <c r="T521" s="5">
        <f>IF(AND(F521&gt;=표본시작,F521&lt;=표본종료),1,0)</f>
        <v/>
      </c>
      <c r="U521" s="5">
        <f>IF(AND(G521&gt;=조회시작,G521&lt;=조회종료),1,0)</f>
        <v/>
      </c>
    </row>
    <row r="522">
      <c r="A522" s="2">
        <f>ROW()-1</f>
        <v/>
      </c>
      <c r="B522" s="5">
        <f>INDEX(상호범위,D522)</f>
        <v/>
      </c>
      <c r="C522" s="5">
        <f>INDEX(플랫폼명범위,E522)</f>
        <v/>
      </c>
      <c r="D522" s="2">
        <f>MOD(INT((A522-1)/4),8)+1</f>
        <v/>
      </c>
      <c r="E522" s="2">
        <f>MOD(A522-1,4)+1</f>
        <v/>
      </c>
      <c r="F522" s="20">
        <f>축시작+INT((A522-1)/32)</f>
        <v/>
      </c>
      <c r="G522" s="20">
        <f>F522+H522</f>
        <v/>
      </c>
      <c r="H522" s="5" t="n">
        <v>1</v>
      </c>
      <c r="I522" s="2">
        <f>ROUND(INDEX(가맹점!$P$2:$P$9,D522)*INDEX(가맹점!$J$2:$M$9,D522,E522),0)</f>
        <v/>
      </c>
      <c r="J522" s="2">
        <f>ROUND(I522*(1-할인율),0)</f>
        <v/>
      </c>
      <c r="K522" s="2">
        <f>ROUNDDOWN(I522*할인율,0)</f>
        <v/>
      </c>
      <c r="L522" s="2">
        <f>ROUND(I522*INDEX(미지급률범위,E522),0)</f>
        <v/>
      </c>
      <c r="M522" s="2">
        <f>ROUND(I522*INDEX(과지급률범위,E522),0)</f>
        <v/>
      </c>
      <c r="N522" s="2">
        <f>MAX(0,L522-M522)</f>
        <v/>
      </c>
      <c r="O522" s="2">
        <f>K522-N522</f>
        <v/>
      </c>
      <c r="P522" s="2">
        <f>I522-N522</f>
        <v/>
      </c>
      <c r="Q522" s="5">
        <f>IF(G522&gt;기준일,1,0)</f>
        <v/>
      </c>
      <c r="R522" s="5">
        <f>IF(G522&lt;=기준일,1,0)</f>
        <v/>
      </c>
      <c r="S522" s="2">
        <f>J522*H522</f>
        <v/>
      </c>
      <c r="T522" s="5">
        <f>IF(AND(F522&gt;=표본시작,F522&lt;=표본종료),1,0)</f>
        <v/>
      </c>
      <c r="U522" s="5">
        <f>IF(AND(G522&gt;=조회시작,G522&lt;=조회종료),1,0)</f>
        <v/>
      </c>
    </row>
    <row r="523">
      <c r="A523" s="2">
        <f>ROW()-1</f>
        <v/>
      </c>
      <c r="B523" s="5">
        <f>INDEX(상호범위,D523)</f>
        <v/>
      </c>
      <c r="C523" s="5">
        <f>INDEX(플랫폼명범위,E523)</f>
        <v/>
      </c>
      <c r="D523" s="2">
        <f>MOD(INT((A523-1)/4),8)+1</f>
        <v/>
      </c>
      <c r="E523" s="2">
        <f>MOD(A523-1,4)+1</f>
        <v/>
      </c>
      <c r="F523" s="20">
        <f>축시작+INT((A523-1)/32)</f>
        <v/>
      </c>
      <c r="G523" s="20">
        <f>F523+H523</f>
        <v/>
      </c>
      <c r="H523" s="5" t="n">
        <v>4</v>
      </c>
      <c r="I523" s="2">
        <f>ROUND(INDEX(가맹점!$P$2:$P$9,D523)*INDEX(가맹점!$J$2:$M$9,D523,E523),0)</f>
        <v/>
      </c>
      <c r="J523" s="2">
        <f>ROUND(I523*(1-할인율),0)</f>
        <v/>
      </c>
      <c r="K523" s="2">
        <f>ROUNDDOWN(I523*할인율,0)</f>
        <v/>
      </c>
      <c r="L523" s="2">
        <f>ROUND(I523*INDEX(미지급률범위,E523),0)</f>
        <v/>
      </c>
      <c r="M523" s="2">
        <f>ROUND(I523*INDEX(과지급률범위,E523),0)</f>
        <v/>
      </c>
      <c r="N523" s="2">
        <f>MAX(0,L523-M523)</f>
        <v/>
      </c>
      <c r="O523" s="2">
        <f>K523-N523</f>
        <v/>
      </c>
      <c r="P523" s="2">
        <f>I523-N523</f>
        <v/>
      </c>
      <c r="Q523" s="5">
        <f>IF(G523&gt;기준일,1,0)</f>
        <v/>
      </c>
      <c r="R523" s="5">
        <f>IF(G523&lt;=기준일,1,0)</f>
        <v/>
      </c>
      <c r="S523" s="2">
        <f>J523*H523</f>
        <v/>
      </c>
      <c r="T523" s="5">
        <f>IF(AND(F523&gt;=표본시작,F523&lt;=표본종료),1,0)</f>
        <v/>
      </c>
      <c r="U523" s="5">
        <f>IF(AND(G523&gt;=조회시작,G523&lt;=조회종료),1,0)</f>
        <v/>
      </c>
    </row>
    <row r="524">
      <c r="A524" s="2">
        <f>ROW()-1</f>
        <v/>
      </c>
      <c r="B524" s="5">
        <f>INDEX(상호범위,D524)</f>
        <v/>
      </c>
      <c r="C524" s="5">
        <f>INDEX(플랫폼명범위,E524)</f>
        <v/>
      </c>
      <c r="D524" s="2">
        <f>MOD(INT((A524-1)/4),8)+1</f>
        <v/>
      </c>
      <c r="E524" s="2">
        <f>MOD(A524-1,4)+1</f>
        <v/>
      </c>
      <c r="F524" s="20">
        <f>축시작+INT((A524-1)/32)</f>
        <v/>
      </c>
      <c r="G524" s="20">
        <f>F524+H524</f>
        <v/>
      </c>
      <c r="H524" s="5" t="n">
        <v>8</v>
      </c>
      <c r="I524" s="2">
        <f>ROUND(INDEX(가맹점!$P$2:$P$9,D524)*INDEX(가맹점!$J$2:$M$9,D524,E524),0)</f>
        <v/>
      </c>
      <c r="J524" s="2">
        <f>ROUND(I524*(1-할인율),0)</f>
        <v/>
      </c>
      <c r="K524" s="2">
        <f>ROUNDDOWN(I524*할인율,0)</f>
        <v/>
      </c>
      <c r="L524" s="2">
        <f>ROUND(I524*INDEX(미지급률범위,E524),0)</f>
        <v/>
      </c>
      <c r="M524" s="2">
        <f>ROUND(I524*INDEX(과지급률범위,E524),0)</f>
        <v/>
      </c>
      <c r="N524" s="2">
        <f>MAX(0,L524-M524)</f>
        <v/>
      </c>
      <c r="O524" s="2">
        <f>K524-N524</f>
        <v/>
      </c>
      <c r="P524" s="2">
        <f>I524-N524</f>
        <v/>
      </c>
      <c r="Q524" s="5">
        <f>IF(G524&gt;기준일,1,0)</f>
        <v/>
      </c>
      <c r="R524" s="5">
        <f>IF(G524&lt;=기준일,1,0)</f>
        <v/>
      </c>
      <c r="S524" s="2">
        <f>J524*H524</f>
        <v/>
      </c>
      <c r="T524" s="5">
        <f>IF(AND(F524&gt;=표본시작,F524&lt;=표본종료),1,0)</f>
        <v/>
      </c>
      <c r="U524" s="5">
        <f>IF(AND(G524&gt;=조회시작,G524&lt;=조회종료),1,0)</f>
        <v/>
      </c>
    </row>
    <row r="525">
      <c r="A525" s="2">
        <f>ROW()-1</f>
        <v/>
      </c>
      <c r="B525" s="5">
        <f>INDEX(상호범위,D525)</f>
        <v/>
      </c>
      <c r="C525" s="5">
        <f>INDEX(플랫폼명범위,E525)</f>
        <v/>
      </c>
      <c r="D525" s="2">
        <f>MOD(INT((A525-1)/4),8)+1</f>
        <v/>
      </c>
      <c r="E525" s="2">
        <f>MOD(A525-1,4)+1</f>
        <v/>
      </c>
      <c r="F525" s="20">
        <f>축시작+INT((A525-1)/32)</f>
        <v/>
      </c>
      <c r="G525" s="20">
        <f>F525+H525</f>
        <v/>
      </c>
      <c r="H525" s="5" t="n">
        <v>6</v>
      </c>
      <c r="I525" s="2">
        <f>ROUND(INDEX(가맹점!$P$2:$P$9,D525)*INDEX(가맹점!$J$2:$M$9,D525,E525),0)</f>
        <v/>
      </c>
      <c r="J525" s="2">
        <f>ROUND(I525*(1-할인율),0)</f>
        <v/>
      </c>
      <c r="K525" s="2">
        <f>ROUNDDOWN(I525*할인율,0)</f>
        <v/>
      </c>
      <c r="L525" s="2">
        <f>ROUND(I525*INDEX(미지급률범위,E525),0)</f>
        <v/>
      </c>
      <c r="M525" s="2">
        <f>ROUND(I525*INDEX(과지급률범위,E525),0)</f>
        <v/>
      </c>
      <c r="N525" s="2">
        <f>MAX(0,L525-M525)</f>
        <v/>
      </c>
      <c r="O525" s="2">
        <f>K525-N525</f>
        <v/>
      </c>
      <c r="P525" s="2">
        <f>I525-N525</f>
        <v/>
      </c>
      <c r="Q525" s="5">
        <f>IF(G525&gt;기준일,1,0)</f>
        <v/>
      </c>
      <c r="R525" s="5">
        <f>IF(G525&lt;=기준일,1,0)</f>
        <v/>
      </c>
      <c r="S525" s="2">
        <f>J525*H525</f>
        <v/>
      </c>
      <c r="T525" s="5">
        <f>IF(AND(F525&gt;=표본시작,F525&lt;=표본종료),1,0)</f>
        <v/>
      </c>
      <c r="U525" s="5">
        <f>IF(AND(G525&gt;=조회시작,G525&lt;=조회종료),1,0)</f>
        <v/>
      </c>
    </row>
    <row r="526">
      <c r="A526" s="2">
        <f>ROW()-1</f>
        <v/>
      </c>
      <c r="B526" s="5">
        <f>INDEX(상호범위,D526)</f>
        <v/>
      </c>
      <c r="C526" s="5">
        <f>INDEX(플랫폼명범위,E526)</f>
        <v/>
      </c>
      <c r="D526" s="2">
        <f>MOD(INT((A526-1)/4),8)+1</f>
        <v/>
      </c>
      <c r="E526" s="2">
        <f>MOD(A526-1,4)+1</f>
        <v/>
      </c>
      <c r="F526" s="20">
        <f>축시작+INT((A526-1)/32)</f>
        <v/>
      </c>
      <c r="G526" s="20">
        <f>F526+H526</f>
        <v/>
      </c>
      <c r="H526" s="5" t="n">
        <v>1</v>
      </c>
      <c r="I526" s="2">
        <f>ROUND(INDEX(가맹점!$P$2:$P$9,D526)*INDEX(가맹점!$J$2:$M$9,D526,E526),0)</f>
        <v/>
      </c>
      <c r="J526" s="2">
        <f>ROUND(I526*(1-할인율),0)</f>
        <v/>
      </c>
      <c r="K526" s="2">
        <f>ROUNDDOWN(I526*할인율,0)</f>
        <v/>
      </c>
      <c r="L526" s="2">
        <f>ROUND(I526*INDEX(미지급률범위,E526),0)</f>
        <v/>
      </c>
      <c r="M526" s="2">
        <f>ROUND(I526*INDEX(과지급률범위,E526),0)</f>
        <v/>
      </c>
      <c r="N526" s="2">
        <f>MAX(0,L526-M526)</f>
        <v/>
      </c>
      <c r="O526" s="2">
        <f>K526-N526</f>
        <v/>
      </c>
      <c r="P526" s="2">
        <f>I526-N526</f>
        <v/>
      </c>
      <c r="Q526" s="5">
        <f>IF(G526&gt;기준일,1,0)</f>
        <v/>
      </c>
      <c r="R526" s="5">
        <f>IF(G526&lt;=기준일,1,0)</f>
        <v/>
      </c>
      <c r="S526" s="2">
        <f>J526*H526</f>
        <v/>
      </c>
      <c r="T526" s="5">
        <f>IF(AND(F526&gt;=표본시작,F526&lt;=표본종료),1,0)</f>
        <v/>
      </c>
      <c r="U526" s="5">
        <f>IF(AND(G526&gt;=조회시작,G526&lt;=조회종료),1,0)</f>
        <v/>
      </c>
    </row>
    <row r="527">
      <c r="A527" s="2">
        <f>ROW()-1</f>
        <v/>
      </c>
      <c r="B527" s="5">
        <f>INDEX(상호범위,D527)</f>
        <v/>
      </c>
      <c r="C527" s="5">
        <f>INDEX(플랫폼명범위,E527)</f>
        <v/>
      </c>
      <c r="D527" s="2">
        <f>MOD(INT((A527-1)/4),8)+1</f>
        <v/>
      </c>
      <c r="E527" s="2">
        <f>MOD(A527-1,4)+1</f>
        <v/>
      </c>
      <c r="F527" s="20">
        <f>축시작+INT((A527-1)/32)</f>
        <v/>
      </c>
      <c r="G527" s="20">
        <f>F527+H527</f>
        <v/>
      </c>
      <c r="H527" s="5" t="n">
        <v>2</v>
      </c>
      <c r="I527" s="2">
        <f>ROUND(INDEX(가맹점!$P$2:$P$9,D527)*INDEX(가맹점!$J$2:$M$9,D527,E527),0)</f>
        <v/>
      </c>
      <c r="J527" s="2">
        <f>ROUND(I527*(1-할인율),0)</f>
        <v/>
      </c>
      <c r="K527" s="2">
        <f>ROUNDDOWN(I527*할인율,0)</f>
        <v/>
      </c>
      <c r="L527" s="2">
        <f>ROUND(I527*INDEX(미지급률범위,E527),0)</f>
        <v/>
      </c>
      <c r="M527" s="2">
        <f>ROUND(I527*INDEX(과지급률범위,E527),0)</f>
        <v/>
      </c>
      <c r="N527" s="2">
        <f>MAX(0,L527-M527)</f>
        <v/>
      </c>
      <c r="O527" s="2">
        <f>K527-N527</f>
        <v/>
      </c>
      <c r="P527" s="2">
        <f>I527-N527</f>
        <v/>
      </c>
      <c r="Q527" s="5">
        <f>IF(G527&gt;기준일,1,0)</f>
        <v/>
      </c>
      <c r="R527" s="5">
        <f>IF(G527&lt;=기준일,1,0)</f>
        <v/>
      </c>
      <c r="S527" s="2">
        <f>J527*H527</f>
        <v/>
      </c>
      <c r="T527" s="5">
        <f>IF(AND(F527&gt;=표본시작,F527&lt;=표본종료),1,0)</f>
        <v/>
      </c>
      <c r="U527" s="5">
        <f>IF(AND(G527&gt;=조회시작,G527&lt;=조회종료),1,0)</f>
        <v/>
      </c>
    </row>
    <row r="528">
      <c r="A528" s="2">
        <f>ROW()-1</f>
        <v/>
      </c>
      <c r="B528" s="5">
        <f>INDEX(상호범위,D528)</f>
        <v/>
      </c>
      <c r="C528" s="5">
        <f>INDEX(플랫폼명범위,E528)</f>
        <v/>
      </c>
      <c r="D528" s="2">
        <f>MOD(INT((A528-1)/4),8)+1</f>
        <v/>
      </c>
      <c r="E528" s="2">
        <f>MOD(A528-1,4)+1</f>
        <v/>
      </c>
      <c r="F528" s="20">
        <f>축시작+INT((A528-1)/32)</f>
        <v/>
      </c>
      <c r="G528" s="20">
        <f>F528+H528</f>
        <v/>
      </c>
      <c r="H528" s="5" t="n">
        <v>7</v>
      </c>
      <c r="I528" s="2">
        <f>ROUND(INDEX(가맹점!$P$2:$P$9,D528)*INDEX(가맹점!$J$2:$M$9,D528,E528),0)</f>
        <v/>
      </c>
      <c r="J528" s="2">
        <f>ROUND(I528*(1-할인율),0)</f>
        <v/>
      </c>
      <c r="K528" s="2">
        <f>ROUNDDOWN(I528*할인율,0)</f>
        <v/>
      </c>
      <c r="L528" s="2">
        <f>ROUND(I528*INDEX(미지급률범위,E528),0)</f>
        <v/>
      </c>
      <c r="M528" s="2">
        <f>ROUND(I528*INDEX(과지급률범위,E528),0)</f>
        <v/>
      </c>
      <c r="N528" s="2">
        <f>MAX(0,L528-M528)</f>
        <v/>
      </c>
      <c r="O528" s="2">
        <f>K528-N528</f>
        <v/>
      </c>
      <c r="P528" s="2">
        <f>I528-N528</f>
        <v/>
      </c>
      <c r="Q528" s="5">
        <f>IF(G528&gt;기준일,1,0)</f>
        <v/>
      </c>
      <c r="R528" s="5">
        <f>IF(G528&lt;=기준일,1,0)</f>
        <v/>
      </c>
      <c r="S528" s="2">
        <f>J528*H528</f>
        <v/>
      </c>
      <c r="T528" s="5">
        <f>IF(AND(F528&gt;=표본시작,F528&lt;=표본종료),1,0)</f>
        <v/>
      </c>
      <c r="U528" s="5">
        <f>IF(AND(G528&gt;=조회시작,G528&lt;=조회종료),1,0)</f>
        <v/>
      </c>
    </row>
    <row r="529">
      <c r="A529" s="2">
        <f>ROW()-1</f>
        <v/>
      </c>
      <c r="B529" s="5">
        <f>INDEX(상호범위,D529)</f>
        <v/>
      </c>
      <c r="C529" s="5">
        <f>INDEX(플랫폼명범위,E529)</f>
        <v/>
      </c>
      <c r="D529" s="2">
        <f>MOD(INT((A529-1)/4),8)+1</f>
        <v/>
      </c>
      <c r="E529" s="2">
        <f>MOD(A529-1,4)+1</f>
        <v/>
      </c>
      <c r="F529" s="20">
        <f>축시작+INT((A529-1)/32)</f>
        <v/>
      </c>
      <c r="G529" s="20">
        <f>F529+H529</f>
        <v/>
      </c>
      <c r="H529" s="5" t="n">
        <v>10</v>
      </c>
      <c r="I529" s="2">
        <f>ROUND(INDEX(가맹점!$P$2:$P$9,D529)*INDEX(가맹점!$J$2:$M$9,D529,E529),0)</f>
        <v/>
      </c>
      <c r="J529" s="2">
        <f>ROUND(I529*(1-할인율),0)</f>
        <v/>
      </c>
      <c r="K529" s="2">
        <f>ROUNDDOWN(I529*할인율,0)</f>
        <v/>
      </c>
      <c r="L529" s="2">
        <f>ROUND(I529*INDEX(미지급률범위,E529),0)</f>
        <v/>
      </c>
      <c r="M529" s="2">
        <f>ROUND(I529*INDEX(과지급률범위,E529),0)</f>
        <v/>
      </c>
      <c r="N529" s="2">
        <f>MAX(0,L529-M529)</f>
        <v/>
      </c>
      <c r="O529" s="2">
        <f>K529-N529</f>
        <v/>
      </c>
      <c r="P529" s="2">
        <f>I529-N529</f>
        <v/>
      </c>
      <c r="Q529" s="5">
        <f>IF(G529&gt;기준일,1,0)</f>
        <v/>
      </c>
      <c r="R529" s="5">
        <f>IF(G529&lt;=기준일,1,0)</f>
        <v/>
      </c>
      <c r="S529" s="2">
        <f>J529*H529</f>
        <v/>
      </c>
      <c r="T529" s="5">
        <f>IF(AND(F529&gt;=표본시작,F529&lt;=표본종료),1,0)</f>
        <v/>
      </c>
      <c r="U529" s="5">
        <f>IF(AND(G529&gt;=조회시작,G529&lt;=조회종료),1,0)</f>
        <v/>
      </c>
    </row>
    <row r="530">
      <c r="A530" s="2">
        <f>ROW()-1</f>
        <v/>
      </c>
      <c r="B530" s="5">
        <f>INDEX(상호범위,D530)</f>
        <v/>
      </c>
      <c r="C530" s="5">
        <f>INDEX(플랫폼명범위,E530)</f>
        <v/>
      </c>
      <c r="D530" s="2">
        <f>MOD(INT((A530-1)/4),8)+1</f>
        <v/>
      </c>
      <c r="E530" s="2">
        <f>MOD(A530-1,4)+1</f>
        <v/>
      </c>
      <c r="F530" s="20">
        <f>축시작+INT((A530-1)/32)</f>
        <v/>
      </c>
      <c r="G530" s="20">
        <f>F530+H530</f>
        <v/>
      </c>
      <c r="H530" s="5" t="n">
        <v>1</v>
      </c>
      <c r="I530" s="2">
        <f>ROUND(INDEX(가맹점!$P$2:$P$9,D530)*INDEX(가맹점!$J$2:$M$9,D530,E530),0)</f>
        <v/>
      </c>
      <c r="J530" s="2">
        <f>ROUND(I530*(1-할인율),0)</f>
        <v/>
      </c>
      <c r="K530" s="2">
        <f>ROUNDDOWN(I530*할인율,0)</f>
        <v/>
      </c>
      <c r="L530" s="2">
        <f>ROUND(I530*INDEX(미지급률범위,E530),0)</f>
        <v/>
      </c>
      <c r="M530" s="2">
        <f>ROUND(I530*INDEX(과지급률범위,E530),0)</f>
        <v/>
      </c>
      <c r="N530" s="2">
        <f>MAX(0,L530-M530)</f>
        <v/>
      </c>
      <c r="O530" s="2">
        <f>K530-N530</f>
        <v/>
      </c>
      <c r="P530" s="2">
        <f>I530-N530</f>
        <v/>
      </c>
      <c r="Q530" s="5">
        <f>IF(G530&gt;기준일,1,0)</f>
        <v/>
      </c>
      <c r="R530" s="5">
        <f>IF(G530&lt;=기준일,1,0)</f>
        <v/>
      </c>
      <c r="S530" s="2">
        <f>J530*H530</f>
        <v/>
      </c>
      <c r="T530" s="5">
        <f>IF(AND(F530&gt;=표본시작,F530&lt;=표본종료),1,0)</f>
        <v/>
      </c>
      <c r="U530" s="5">
        <f>IF(AND(G530&gt;=조회시작,G530&lt;=조회종료),1,0)</f>
        <v/>
      </c>
    </row>
    <row r="531">
      <c r="A531" s="2">
        <f>ROW()-1</f>
        <v/>
      </c>
      <c r="B531" s="5">
        <f>INDEX(상호범위,D531)</f>
        <v/>
      </c>
      <c r="C531" s="5">
        <f>INDEX(플랫폼명범위,E531)</f>
        <v/>
      </c>
      <c r="D531" s="2">
        <f>MOD(INT((A531-1)/4),8)+1</f>
        <v/>
      </c>
      <c r="E531" s="2">
        <f>MOD(A531-1,4)+1</f>
        <v/>
      </c>
      <c r="F531" s="20">
        <f>축시작+INT((A531-1)/32)</f>
        <v/>
      </c>
      <c r="G531" s="20">
        <f>F531+H531</f>
        <v/>
      </c>
      <c r="H531" s="5" t="n">
        <v>2</v>
      </c>
      <c r="I531" s="2">
        <f>ROUND(INDEX(가맹점!$P$2:$P$9,D531)*INDEX(가맹점!$J$2:$M$9,D531,E531),0)</f>
        <v/>
      </c>
      <c r="J531" s="2">
        <f>ROUND(I531*(1-할인율),0)</f>
        <v/>
      </c>
      <c r="K531" s="2">
        <f>ROUNDDOWN(I531*할인율,0)</f>
        <v/>
      </c>
      <c r="L531" s="2">
        <f>ROUND(I531*INDEX(미지급률범위,E531),0)</f>
        <v/>
      </c>
      <c r="M531" s="2">
        <f>ROUND(I531*INDEX(과지급률범위,E531),0)</f>
        <v/>
      </c>
      <c r="N531" s="2">
        <f>MAX(0,L531-M531)</f>
        <v/>
      </c>
      <c r="O531" s="2">
        <f>K531-N531</f>
        <v/>
      </c>
      <c r="P531" s="2">
        <f>I531-N531</f>
        <v/>
      </c>
      <c r="Q531" s="5">
        <f>IF(G531&gt;기준일,1,0)</f>
        <v/>
      </c>
      <c r="R531" s="5">
        <f>IF(G531&lt;=기준일,1,0)</f>
        <v/>
      </c>
      <c r="S531" s="2">
        <f>J531*H531</f>
        <v/>
      </c>
      <c r="T531" s="5">
        <f>IF(AND(F531&gt;=표본시작,F531&lt;=표본종료),1,0)</f>
        <v/>
      </c>
      <c r="U531" s="5">
        <f>IF(AND(G531&gt;=조회시작,G531&lt;=조회종료),1,0)</f>
        <v/>
      </c>
    </row>
    <row r="532">
      <c r="A532" s="2">
        <f>ROW()-1</f>
        <v/>
      </c>
      <c r="B532" s="5">
        <f>INDEX(상호범위,D532)</f>
        <v/>
      </c>
      <c r="C532" s="5">
        <f>INDEX(플랫폼명범위,E532)</f>
        <v/>
      </c>
      <c r="D532" s="2">
        <f>MOD(INT((A532-1)/4),8)+1</f>
        <v/>
      </c>
      <c r="E532" s="2">
        <f>MOD(A532-1,4)+1</f>
        <v/>
      </c>
      <c r="F532" s="20">
        <f>축시작+INT((A532-1)/32)</f>
        <v/>
      </c>
      <c r="G532" s="20">
        <f>F532+H532</f>
        <v/>
      </c>
      <c r="H532" s="5" t="n">
        <v>5</v>
      </c>
      <c r="I532" s="2">
        <f>ROUND(INDEX(가맹점!$P$2:$P$9,D532)*INDEX(가맹점!$J$2:$M$9,D532,E532),0)</f>
        <v/>
      </c>
      <c r="J532" s="2">
        <f>ROUND(I532*(1-할인율),0)</f>
        <v/>
      </c>
      <c r="K532" s="2">
        <f>ROUNDDOWN(I532*할인율,0)</f>
        <v/>
      </c>
      <c r="L532" s="2">
        <f>ROUND(I532*INDEX(미지급률범위,E532),0)</f>
        <v/>
      </c>
      <c r="M532" s="2">
        <f>ROUND(I532*INDEX(과지급률범위,E532),0)</f>
        <v/>
      </c>
      <c r="N532" s="2">
        <f>MAX(0,L532-M532)</f>
        <v/>
      </c>
      <c r="O532" s="2">
        <f>K532-N532</f>
        <v/>
      </c>
      <c r="P532" s="2">
        <f>I532-N532</f>
        <v/>
      </c>
      <c r="Q532" s="5">
        <f>IF(G532&gt;기준일,1,0)</f>
        <v/>
      </c>
      <c r="R532" s="5">
        <f>IF(G532&lt;=기준일,1,0)</f>
        <v/>
      </c>
      <c r="S532" s="2">
        <f>J532*H532</f>
        <v/>
      </c>
      <c r="T532" s="5">
        <f>IF(AND(F532&gt;=표본시작,F532&lt;=표본종료),1,0)</f>
        <v/>
      </c>
      <c r="U532" s="5">
        <f>IF(AND(G532&gt;=조회시작,G532&lt;=조회종료),1,0)</f>
        <v/>
      </c>
    </row>
    <row r="533">
      <c r="A533" s="2">
        <f>ROW()-1</f>
        <v/>
      </c>
      <c r="B533" s="5">
        <f>INDEX(상호범위,D533)</f>
        <v/>
      </c>
      <c r="C533" s="5">
        <f>INDEX(플랫폼명범위,E533)</f>
        <v/>
      </c>
      <c r="D533" s="2">
        <f>MOD(INT((A533-1)/4),8)+1</f>
        <v/>
      </c>
      <c r="E533" s="2">
        <f>MOD(A533-1,4)+1</f>
        <v/>
      </c>
      <c r="F533" s="20">
        <f>축시작+INT((A533-1)/32)</f>
        <v/>
      </c>
      <c r="G533" s="20">
        <f>F533+H533</f>
        <v/>
      </c>
      <c r="H533" s="5" t="n">
        <v>6</v>
      </c>
      <c r="I533" s="2">
        <f>ROUND(INDEX(가맹점!$P$2:$P$9,D533)*INDEX(가맹점!$J$2:$M$9,D533,E533),0)</f>
        <v/>
      </c>
      <c r="J533" s="2">
        <f>ROUND(I533*(1-할인율),0)</f>
        <v/>
      </c>
      <c r="K533" s="2">
        <f>ROUNDDOWN(I533*할인율,0)</f>
        <v/>
      </c>
      <c r="L533" s="2">
        <f>ROUND(I533*INDEX(미지급률범위,E533),0)</f>
        <v/>
      </c>
      <c r="M533" s="2">
        <f>ROUND(I533*INDEX(과지급률범위,E533),0)</f>
        <v/>
      </c>
      <c r="N533" s="2">
        <f>MAX(0,L533-M533)</f>
        <v/>
      </c>
      <c r="O533" s="2">
        <f>K533-N533</f>
        <v/>
      </c>
      <c r="P533" s="2">
        <f>I533-N533</f>
        <v/>
      </c>
      <c r="Q533" s="5">
        <f>IF(G533&gt;기준일,1,0)</f>
        <v/>
      </c>
      <c r="R533" s="5">
        <f>IF(G533&lt;=기준일,1,0)</f>
        <v/>
      </c>
      <c r="S533" s="2">
        <f>J533*H533</f>
        <v/>
      </c>
      <c r="T533" s="5">
        <f>IF(AND(F533&gt;=표본시작,F533&lt;=표본종료),1,0)</f>
        <v/>
      </c>
      <c r="U533" s="5">
        <f>IF(AND(G533&gt;=조회시작,G533&lt;=조회종료),1,0)</f>
        <v/>
      </c>
    </row>
    <row r="534">
      <c r="A534" s="2">
        <f>ROW()-1</f>
        <v/>
      </c>
      <c r="B534" s="5">
        <f>INDEX(상호범위,D534)</f>
        <v/>
      </c>
      <c r="C534" s="5">
        <f>INDEX(플랫폼명범위,E534)</f>
        <v/>
      </c>
      <c r="D534" s="2">
        <f>MOD(INT((A534-1)/4),8)+1</f>
        <v/>
      </c>
      <c r="E534" s="2">
        <f>MOD(A534-1,4)+1</f>
        <v/>
      </c>
      <c r="F534" s="20">
        <f>축시작+INT((A534-1)/32)</f>
        <v/>
      </c>
      <c r="G534" s="20">
        <f>F534+H534</f>
        <v/>
      </c>
      <c r="H534" s="5" t="n">
        <v>1</v>
      </c>
      <c r="I534" s="2">
        <f>ROUND(INDEX(가맹점!$P$2:$P$9,D534)*INDEX(가맹점!$J$2:$M$9,D534,E534),0)</f>
        <v/>
      </c>
      <c r="J534" s="2">
        <f>ROUND(I534*(1-할인율),0)</f>
        <v/>
      </c>
      <c r="K534" s="2">
        <f>ROUNDDOWN(I534*할인율,0)</f>
        <v/>
      </c>
      <c r="L534" s="2">
        <f>ROUND(I534*INDEX(미지급률범위,E534),0)</f>
        <v/>
      </c>
      <c r="M534" s="2">
        <f>ROUND(I534*INDEX(과지급률범위,E534),0)</f>
        <v/>
      </c>
      <c r="N534" s="2">
        <f>MAX(0,L534-M534)</f>
        <v/>
      </c>
      <c r="O534" s="2">
        <f>K534-N534</f>
        <v/>
      </c>
      <c r="P534" s="2">
        <f>I534-N534</f>
        <v/>
      </c>
      <c r="Q534" s="5">
        <f>IF(G534&gt;기준일,1,0)</f>
        <v/>
      </c>
      <c r="R534" s="5">
        <f>IF(G534&lt;=기준일,1,0)</f>
        <v/>
      </c>
      <c r="S534" s="2">
        <f>J534*H534</f>
        <v/>
      </c>
      <c r="T534" s="5">
        <f>IF(AND(F534&gt;=표본시작,F534&lt;=표본종료),1,0)</f>
        <v/>
      </c>
      <c r="U534" s="5">
        <f>IF(AND(G534&gt;=조회시작,G534&lt;=조회종료),1,0)</f>
        <v/>
      </c>
    </row>
    <row r="535">
      <c r="A535" s="2">
        <f>ROW()-1</f>
        <v/>
      </c>
      <c r="B535" s="5">
        <f>INDEX(상호범위,D535)</f>
        <v/>
      </c>
      <c r="C535" s="5">
        <f>INDEX(플랫폼명범위,E535)</f>
        <v/>
      </c>
      <c r="D535" s="2">
        <f>MOD(INT((A535-1)/4),8)+1</f>
        <v/>
      </c>
      <c r="E535" s="2">
        <f>MOD(A535-1,4)+1</f>
        <v/>
      </c>
      <c r="F535" s="20">
        <f>축시작+INT((A535-1)/32)</f>
        <v/>
      </c>
      <c r="G535" s="20">
        <f>F535+H535</f>
        <v/>
      </c>
      <c r="H535" s="5" t="n">
        <v>2</v>
      </c>
      <c r="I535" s="2">
        <f>ROUND(INDEX(가맹점!$P$2:$P$9,D535)*INDEX(가맹점!$J$2:$M$9,D535,E535),0)</f>
        <v/>
      </c>
      <c r="J535" s="2">
        <f>ROUND(I535*(1-할인율),0)</f>
        <v/>
      </c>
      <c r="K535" s="2">
        <f>ROUNDDOWN(I535*할인율,0)</f>
        <v/>
      </c>
      <c r="L535" s="2">
        <f>ROUND(I535*INDEX(미지급률범위,E535),0)</f>
        <v/>
      </c>
      <c r="M535" s="2">
        <f>ROUND(I535*INDEX(과지급률범위,E535),0)</f>
        <v/>
      </c>
      <c r="N535" s="2">
        <f>MAX(0,L535-M535)</f>
        <v/>
      </c>
      <c r="O535" s="2">
        <f>K535-N535</f>
        <v/>
      </c>
      <c r="P535" s="2">
        <f>I535-N535</f>
        <v/>
      </c>
      <c r="Q535" s="5">
        <f>IF(G535&gt;기준일,1,0)</f>
        <v/>
      </c>
      <c r="R535" s="5">
        <f>IF(G535&lt;=기준일,1,0)</f>
        <v/>
      </c>
      <c r="S535" s="2">
        <f>J535*H535</f>
        <v/>
      </c>
      <c r="T535" s="5">
        <f>IF(AND(F535&gt;=표본시작,F535&lt;=표본종료),1,0)</f>
        <v/>
      </c>
      <c r="U535" s="5">
        <f>IF(AND(G535&gt;=조회시작,G535&lt;=조회종료),1,0)</f>
        <v/>
      </c>
    </row>
    <row r="536">
      <c r="A536" s="2">
        <f>ROW()-1</f>
        <v/>
      </c>
      <c r="B536" s="5">
        <f>INDEX(상호범위,D536)</f>
        <v/>
      </c>
      <c r="C536" s="5">
        <f>INDEX(플랫폼명범위,E536)</f>
        <v/>
      </c>
      <c r="D536" s="2">
        <f>MOD(INT((A536-1)/4),8)+1</f>
        <v/>
      </c>
      <c r="E536" s="2">
        <f>MOD(A536-1,4)+1</f>
        <v/>
      </c>
      <c r="F536" s="20">
        <f>축시작+INT((A536-1)/32)</f>
        <v/>
      </c>
      <c r="G536" s="20">
        <f>F536+H536</f>
        <v/>
      </c>
      <c r="H536" s="5" t="n">
        <v>5</v>
      </c>
      <c r="I536" s="2">
        <f>ROUND(INDEX(가맹점!$P$2:$P$9,D536)*INDEX(가맹점!$J$2:$M$9,D536,E536),0)</f>
        <v/>
      </c>
      <c r="J536" s="2">
        <f>ROUND(I536*(1-할인율),0)</f>
        <v/>
      </c>
      <c r="K536" s="2">
        <f>ROUNDDOWN(I536*할인율,0)</f>
        <v/>
      </c>
      <c r="L536" s="2">
        <f>ROUND(I536*INDEX(미지급률범위,E536),0)</f>
        <v/>
      </c>
      <c r="M536" s="2">
        <f>ROUND(I536*INDEX(과지급률범위,E536),0)</f>
        <v/>
      </c>
      <c r="N536" s="2">
        <f>MAX(0,L536-M536)</f>
        <v/>
      </c>
      <c r="O536" s="2">
        <f>K536-N536</f>
        <v/>
      </c>
      <c r="P536" s="2">
        <f>I536-N536</f>
        <v/>
      </c>
      <c r="Q536" s="5">
        <f>IF(G536&gt;기준일,1,0)</f>
        <v/>
      </c>
      <c r="R536" s="5">
        <f>IF(G536&lt;=기준일,1,0)</f>
        <v/>
      </c>
      <c r="S536" s="2">
        <f>J536*H536</f>
        <v/>
      </c>
      <c r="T536" s="5">
        <f>IF(AND(F536&gt;=표본시작,F536&lt;=표본종료),1,0)</f>
        <v/>
      </c>
      <c r="U536" s="5">
        <f>IF(AND(G536&gt;=조회시작,G536&lt;=조회종료),1,0)</f>
        <v/>
      </c>
    </row>
    <row r="537">
      <c r="A537" s="2">
        <f>ROW()-1</f>
        <v/>
      </c>
      <c r="B537" s="5">
        <f>INDEX(상호범위,D537)</f>
        <v/>
      </c>
      <c r="C537" s="5">
        <f>INDEX(플랫폼명범위,E537)</f>
        <v/>
      </c>
      <c r="D537" s="2">
        <f>MOD(INT((A537-1)/4),8)+1</f>
        <v/>
      </c>
      <c r="E537" s="2">
        <f>MOD(A537-1,4)+1</f>
        <v/>
      </c>
      <c r="F537" s="20">
        <f>축시작+INT((A537-1)/32)</f>
        <v/>
      </c>
      <c r="G537" s="20">
        <f>F537+H537</f>
        <v/>
      </c>
      <c r="H537" s="5" t="n">
        <v>4</v>
      </c>
      <c r="I537" s="2">
        <f>ROUND(INDEX(가맹점!$P$2:$P$9,D537)*INDEX(가맹점!$J$2:$M$9,D537,E537),0)</f>
        <v/>
      </c>
      <c r="J537" s="2">
        <f>ROUND(I537*(1-할인율),0)</f>
        <v/>
      </c>
      <c r="K537" s="2">
        <f>ROUNDDOWN(I537*할인율,0)</f>
        <v/>
      </c>
      <c r="L537" s="2">
        <f>ROUND(I537*INDEX(미지급률범위,E537),0)</f>
        <v/>
      </c>
      <c r="M537" s="2">
        <f>ROUND(I537*INDEX(과지급률범위,E537),0)</f>
        <v/>
      </c>
      <c r="N537" s="2">
        <f>MAX(0,L537-M537)</f>
        <v/>
      </c>
      <c r="O537" s="2">
        <f>K537-N537</f>
        <v/>
      </c>
      <c r="P537" s="2">
        <f>I537-N537</f>
        <v/>
      </c>
      <c r="Q537" s="5">
        <f>IF(G537&gt;기준일,1,0)</f>
        <v/>
      </c>
      <c r="R537" s="5">
        <f>IF(G537&lt;=기준일,1,0)</f>
        <v/>
      </c>
      <c r="S537" s="2">
        <f>J537*H537</f>
        <v/>
      </c>
      <c r="T537" s="5">
        <f>IF(AND(F537&gt;=표본시작,F537&lt;=표본종료),1,0)</f>
        <v/>
      </c>
      <c r="U537" s="5">
        <f>IF(AND(G537&gt;=조회시작,G537&lt;=조회종료),1,0)</f>
        <v/>
      </c>
    </row>
    <row r="538">
      <c r="A538" s="2">
        <f>ROW()-1</f>
        <v/>
      </c>
      <c r="B538" s="5">
        <f>INDEX(상호범위,D538)</f>
        <v/>
      </c>
      <c r="C538" s="5">
        <f>INDEX(플랫폼명범위,E538)</f>
        <v/>
      </c>
      <c r="D538" s="2">
        <f>MOD(INT((A538-1)/4),8)+1</f>
        <v/>
      </c>
      <c r="E538" s="2">
        <f>MOD(A538-1,4)+1</f>
        <v/>
      </c>
      <c r="F538" s="20">
        <f>축시작+INT((A538-1)/32)</f>
        <v/>
      </c>
      <c r="G538" s="20">
        <f>F538+H538</f>
        <v/>
      </c>
      <c r="H538" s="5" t="n">
        <v>1</v>
      </c>
      <c r="I538" s="2">
        <f>ROUND(INDEX(가맹점!$P$2:$P$9,D538)*INDEX(가맹점!$J$2:$M$9,D538,E538),0)</f>
        <v/>
      </c>
      <c r="J538" s="2">
        <f>ROUND(I538*(1-할인율),0)</f>
        <v/>
      </c>
      <c r="K538" s="2">
        <f>ROUNDDOWN(I538*할인율,0)</f>
        <v/>
      </c>
      <c r="L538" s="2">
        <f>ROUND(I538*INDEX(미지급률범위,E538),0)</f>
        <v/>
      </c>
      <c r="M538" s="2">
        <f>ROUND(I538*INDEX(과지급률범위,E538),0)</f>
        <v/>
      </c>
      <c r="N538" s="2">
        <f>MAX(0,L538-M538)</f>
        <v/>
      </c>
      <c r="O538" s="2">
        <f>K538-N538</f>
        <v/>
      </c>
      <c r="P538" s="2">
        <f>I538-N538</f>
        <v/>
      </c>
      <c r="Q538" s="5">
        <f>IF(G538&gt;기준일,1,0)</f>
        <v/>
      </c>
      <c r="R538" s="5">
        <f>IF(G538&lt;=기준일,1,0)</f>
        <v/>
      </c>
      <c r="S538" s="2">
        <f>J538*H538</f>
        <v/>
      </c>
      <c r="T538" s="5">
        <f>IF(AND(F538&gt;=표본시작,F538&lt;=표본종료),1,0)</f>
        <v/>
      </c>
      <c r="U538" s="5">
        <f>IF(AND(G538&gt;=조회시작,G538&lt;=조회종료),1,0)</f>
        <v/>
      </c>
    </row>
    <row r="539">
      <c r="A539" s="2">
        <f>ROW()-1</f>
        <v/>
      </c>
      <c r="B539" s="5">
        <f>INDEX(상호범위,D539)</f>
        <v/>
      </c>
      <c r="C539" s="5">
        <f>INDEX(플랫폼명범위,E539)</f>
        <v/>
      </c>
      <c r="D539" s="2">
        <f>MOD(INT((A539-1)/4),8)+1</f>
        <v/>
      </c>
      <c r="E539" s="2">
        <f>MOD(A539-1,4)+1</f>
        <v/>
      </c>
      <c r="F539" s="20">
        <f>축시작+INT((A539-1)/32)</f>
        <v/>
      </c>
      <c r="G539" s="20">
        <f>F539+H539</f>
        <v/>
      </c>
      <c r="H539" s="5" t="n">
        <v>2</v>
      </c>
      <c r="I539" s="2">
        <f>ROUND(INDEX(가맹점!$P$2:$P$9,D539)*INDEX(가맹점!$J$2:$M$9,D539,E539),0)</f>
        <v/>
      </c>
      <c r="J539" s="2">
        <f>ROUND(I539*(1-할인율),0)</f>
        <v/>
      </c>
      <c r="K539" s="2">
        <f>ROUNDDOWN(I539*할인율,0)</f>
        <v/>
      </c>
      <c r="L539" s="2">
        <f>ROUND(I539*INDEX(미지급률범위,E539),0)</f>
        <v/>
      </c>
      <c r="M539" s="2">
        <f>ROUND(I539*INDEX(과지급률범위,E539),0)</f>
        <v/>
      </c>
      <c r="N539" s="2">
        <f>MAX(0,L539-M539)</f>
        <v/>
      </c>
      <c r="O539" s="2">
        <f>K539-N539</f>
        <v/>
      </c>
      <c r="P539" s="2">
        <f>I539-N539</f>
        <v/>
      </c>
      <c r="Q539" s="5">
        <f>IF(G539&gt;기준일,1,0)</f>
        <v/>
      </c>
      <c r="R539" s="5">
        <f>IF(G539&lt;=기준일,1,0)</f>
        <v/>
      </c>
      <c r="S539" s="2">
        <f>J539*H539</f>
        <v/>
      </c>
      <c r="T539" s="5">
        <f>IF(AND(F539&gt;=표본시작,F539&lt;=표본종료),1,0)</f>
        <v/>
      </c>
      <c r="U539" s="5">
        <f>IF(AND(G539&gt;=조회시작,G539&lt;=조회종료),1,0)</f>
        <v/>
      </c>
    </row>
    <row r="540">
      <c r="A540" s="2">
        <f>ROW()-1</f>
        <v/>
      </c>
      <c r="B540" s="5">
        <f>INDEX(상호범위,D540)</f>
        <v/>
      </c>
      <c r="C540" s="5">
        <f>INDEX(플랫폼명범위,E540)</f>
        <v/>
      </c>
      <c r="D540" s="2">
        <f>MOD(INT((A540-1)/4),8)+1</f>
        <v/>
      </c>
      <c r="E540" s="2">
        <f>MOD(A540-1,4)+1</f>
        <v/>
      </c>
      <c r="F540" s="20">
        <f>축시작+INT((A540-1)/32)</f>
        <v/>
      </c>
      <c r="G540" s="20">
        <f>F540+H540</f>
        <v/>
      </c>
      <c r="H540" s="5" t="n">
        <v>8</v>
      </c>
      <c r="I540" s="2">
        <f>ROUND(INDEX(가맹점!$P$2:$P$9,D540)*INDEX(가맹점!$J$2:$M$9,D540,E540),0)</f>
        <v/>
      </c>
      <c r="J540" s="2">
        <f>ROUND(I540*(1-할인율),0)</f>
        <v/>
      </c>
      <c r="K540" s="2">
        <f>ROUNDDOWN(I540*할인율,0)</f>
        <v/>
      </c>
      <c r="L540" s="2">
        <f>ROUND(I540*INDEX(미지급률범위,E540),0)</f>
        <v/>
      </c>
      <c r="M540" s="2">
        <f>ROUND(I540*INDEX(과지급률범위,E540),0)</f>
        <v/>
      </c>
      <c r="N540" s="2">
        <f>MAX(0,L540-M540)</f>
        <v/>
      </c>
      <c r="O540" s="2">
        <f>K540-N540</f>
        <v/>
      </c>
      <c r="P540" s="2">
        <f>I540-N540</f>
        <v/>
      </c>
      <c r="Q540" s="5">
        <f>IF(G540&gt;기준일,1,0)</f>
        <v/>
      </c>
      <c r="R540" s="5">
        <f>IF(G540&lt;=기준일,1,0)</f>
        <v/>
      </c>
      <c r="S540" s="2">
        <f>J540*H540</f>
        <v/>
      </c>
      <c r="T540" s="5">
        <f>IF(AND(F540&gt;=표본시작,F540&lt;=표본종료),1,0)</f>
        <v/>
      </c>
      <c r="U540" s="5">
        <f>IF(AND(G540&gt;=조회시작,G540&lt;=조회종료),1,0)</f>
        <v/>
      </c>
    </row>
    <row r="541">
      <c r="A541" s="2">
        <f>ROW()-1</f>
        <v/>
      </c>
      <c r="B541" s="5">
        <f>INDEX(상호범위,D541)</f>
        <v/>
      </c>
      <c r="C541" s="5">
        <f>INDEX(플랫폼명범위,E541)</f>
        <v/>
      </c>
      <c r="D541" s="2">
        <f>MOD(INT((A541-1)/4),8)+1</f>
        <v/>
      </c>
      <c r="E541" s="2">
        <f>MOD(A541-1,4)+1</f>
        <v/>
      </c>
      <c r="F541" s="20">
        <f>축시작+INT((A541-1)/32)</f>
        <v/>
      </c>
      <c r="G541" s="20">
        <f>F541+H541</f>
        <v/>
      </c>
      <c r="H541" s="5" t="n">
        <v>6</v>
      </c>
      <c r="I541" s="2">
        <f>ROUND(INDEX(가맹점!$P$2:$P$9,D541)*INDEX(가맹점!$J$2:$M$9,D541,E541),0)</f>
        <v/>
      </c>
      <c r="J541" s="2">
        <f>ROUND(I541*(1-할인율),0)</f>
        <v/>
      </c>
      <c r="K541" s="2">
        <f>ROUNDDOWN(I541*할인율,0)</f>
        <v/>
      </c>
      <c r="L541" s="2">
        <f>ROUND(I541*INDEX(미지급률범위,E541),0)</f>
        <v/>
      </c>
      <c r="M541" s="2">
        <f>ROUND(I541*INDEX(과지급률범위,E541),0)</f>
        <v/>
      </c>
      <c r="N541" s="2">
        <f>MAX(0,L541-M541)</f>
        <v/>
      </c>
      <c r="O541" s="2">
        <f>K541-N541</f>
        <v/>
      </c>
      <c r="P541" s="2">
        <f>I541-N541</f>
        <v/>
      </c>
      <c r="Q541" s="5">
        <f>IF(G541&gt;기준일,1,0)</f>
        <v/>
      </c>
      <c r="R541" s="5">
        <f>IF(G541&lt;=기준일,1,0)</f>
        <v/>
      </c>
      <c r="S541" s="2">
        <f>J541*H541</f>
        <v/>
      </c>
      <c r="T541" s="5">
        <f>IF(AND(F541&gt;=표본시작,F541&lt;=표본종료),1,0)</f>
        <v/>
      </c>
      <c r="U541" s="5">
        <f>IF(AND(G541&gt;=조회시작,G541&lt;=조회종료),1,0)</f>
        <v/>
      </c>
    </row>
    <row r="542">
      <c r="A542" s="2">
        <f>ROW()-1</f>
        <v/>
      </c>
      <c r="B542" s="5">
        <f>INDEX(상호범위,D542)</f>
        <v/>
      </c>
      <c r="C542" s="5">
        <f>INDEX(플랫폼명범위,E542)</f>
        <v/>
      </c>
      <c r="D542" s="2">
        <f>MOD(INT((A542-1)/4),8)+1</f>
        <v/>
      </c>
      <c r="E542" s="2">
        <f>MOD(A542-1,4)+1</f>
        <v/>
      </c>
      <c r="F542" s="20">
        <f>축시작+INT((A542-1)/32)</f>
        <v/>
      </c>
      <c r="G542" s="20">
        <f>F542+H542</f>
        <v/>
      </c>
      <c r="H542" s="5" t="n">
        <v>1</v>
      </c>
      <c r="I542" s="2">
        <f>ROUND(INDEX(가맹점!$P$2:$P$9,D542)*INDEX(가맹점!$J$2:$M$9,D542,E542),0)</f>
        <v/>
      </c>
      <c r="J542" s="2">
        <f>ROUND(I542*(1-할인율),0)</f>
        <v/>
      </c>
      <c r="K542" s="2">
        <f>ROUNDDOWN(I542*할인율,0)</f>
        <v/>
      </c>
      <c r="L542" s="2">
        <f>ROUND(I542*INDEX(미지급률범위,E542),0)</f>
        <v/>
      </c>
      <c r="M542" s="2">
        <f>ROUND(I542*INDEX(과지급률범위,E542),0)</f>
        <v/>
      </c>
      <c r="N542" s="2">
        <f>MAX(0,L542-M542)</f>
        <v/>
      </c>
      <c r="O542" s="2">
        <f>K542-N542</f>
        <v/>
      </c>
      <c r="P542" s="2">
        <f>I542-N542</f>
        <v/>
      </c>
      <c r="Q542" s="5">
        <f>IF(G542&gt;기준일,1,0)</f>
        <v/>
      </c>
      <c r="R542" s="5">
        <f>IF(G542&lt;=기준일,1,0)</f>
        <v/>
      </c>
      <c r="S542" s="2">
        <f>J542*H542</f>
        <v/>
      </c>
      <c r="T542" s="5">
        <f>IF(AND(F542&gt;=표본시작,F542&lt;=표본종료),1,0)</f>
        <v/>
      </c>
      <c r="U542" s="5">
        <f>IF(AND(G542&gt;=조회시작,G542&lt;=조회종료),1,0)</f>
        <v/>
      </c>
    </row>
    <row r="543">
      <c r="A543" s="2">
        <f>ROW()-1</f>
        <v/>
      </c>
      <c r="B543" s="5">
        <f>INDEX(상호범위,D543)</f>
        <v/>
      </c>
      <c r="C543" s="5">
        <f>INDEX(플랫폼명범위,E543)</f>
        <v/>
      </c>
      <c r="D543" s="2">
        <f>MOD(INT((A543-1)/4),8)+1</f>
        <v/>
      </c>
      <c r="E543" s="2">
        <f>MOD(A543-1,4)+1</f>
        <v/>
      </c>
      <c r="F543" s="20">
        <f>축시작+INT((A543-1)/32)</f>
        <v/>
      </c>
      <c r="G543" s="20">
        <f>F543+H543</f>
        <v/>
      </c>
      <c r="H543" s="5" t="n">
        <v>2</v>
      </c>
      <c r="I543" s="2">
        <f>ROUND(INDEX(가맹점!$P$2:$P$9,D543)*INDEX(가맹점!$J$2:$M$9,D543,E543),0)</f>
        <v/>
      </c>
      <c r="J543" s="2">
        <f>ROUND(I543*(1-할인율),0)</f>
        <v/>
      </c>
      <c r="K543" s="2">
        <f>ROUNDDOWN(I543*할인율,0)</f>
        <v/>
      </c>
      <c r="L543" s="2">
        <f>ROUND(I543*INDEX(미지급률범위,E543),0)</f>
        <v/>
      </c>
      <c r="M543" s="2">
        <f>ROUND(I543*INDEX(과지급률범위,E543),0)</f>
        <v/>
      </c>
      <c r="N543" s="2">
        <f>MAX(0,L543-M543)</f>
        <v/>
      </c>
      <c r="O543" s="2">
        <f>K543-N543</f>
        <v/>
      </c>
      <c r="P543" s="2">
        <f>I543-N543</f>
        <v/>
      </c>
      <c r="Q543" s="5">
        <f>IF(G543&gt;기준일,1,0)</f>
        <v/>
      </c>
      <c r="R543" s="5">
        <f>IF(G543&lt;=기준일,1,0)</f>
        <v/>
      </c>
      <c r="S543" s="2">
        <f>J543*H543</f>
        <v/>
      </c>
      <c r="T543" s="5">
        <f>IF(AND(F543&gt;=표본시작,F543&lt;=표본종료),1,0)</f>
        <v/>
      </c>
      <c r="U543" s="5">
        <f>IF(AND(G543&gt;=조회시작,G543&lt;=조회종료),1,0)</f>
        <v/>
      </c>
    </row>
    <row r="544">
      <c r="A544" s="2">
        <f>ROW()-1</f>
        <v/>
      </c>
      <c r="B544" s="5">
        <f>INDEX(상호범위,D544)</f>
        <v/>
      </c>
      <c r="C544" s="5">
        <f>INDEX(플랫폼명범위,E544)</f>
        <v/>
      </c>
      <c r="D544" s="2">
        <f>MOD(INT((A544-1)/4),8)+1</f>
        <v/>
      </c>
      <c r="E544" s="2">
        <f>MOD(A544-1,4)+1</f>
        <v/>
      </c>
      <c r="F544" s="20">
        <f>축시작+INT((A544-1)/32)</f>
        <v/>
      </c>
      <c r="G544" s="20">
        <f>F544+H544</f>
        <v/>
      </c>
      <c r="H544" s="5" t="n">
        <v>7</v>
      </c>
      <c r="I544" s="2">
        <f>ROUND(INDEX(가맹점!$P$2:$P$9,D544)*INDEX(가맹점!$J$2:$M$9,D544,E544),0)</f>
        <v/>
      </c>
      <c r="J544" s="2">
        <f>ROUND(I544*(1-할인율),0)</f>
        <v/>
      </c>
      <c r="K544" s="2">
        <f>ROUNDDOWN(I544*할인율,0)</f>
        <v/>
      </c>
      <c r="L544" s="2">
        <f>ROUND(I544*INDEX(미지급률범위,E544),0)</f>
        <v/>
      </c>
      <c r="M544" s="2">
        <f>ROUND(I544*INDEX(과지급률범위,E544),0)</f>
        <v/>
      </c>
      <c r="N544" s="2">
        <f>MAX(0,L544-M544)</f>
        <v/>
      </c>
      <c r="O544" s="2">
        <f>K544-N544</f>
        <v/>
      </c>
      <c r="P544" s="2">
        <f>I544-N544</f>
        <v/>
      </c>
      <c r="Q544" s="5">
        <f>IF(G544&gt;기준일,1,0)</f>
        <v/>
      </c>
      <c r="R544" s="5">
        <f>IF(G544&lt;=기준일,1,0)</f>
        <v/>
      </c>
      <c r="S544" s="2">
        <f>J544*H544</f>
        <v/>
      </c>
      <c r="T544" s="5">
        <f>IF(AND(F544&gt;=표본시작,F544&lt;=표본종료),1,0)</f>
        <v/>
      </c>
      <c r="U544" s="5">
        <f>IF(AND(G544&gt;=조회시작,G544&lt;=조회종료),1,0)</f>
        <v/>
      </c>
    </row>
    <row r="545">
      <c r="A545" s="2">
        <f>ROW()-1</f>
        <v/>
      </c>
      <c r="B545" s="5">
        <f>INDEX(상호범위,D545)</f>
        <v/>
      </c>
      <c r="C545" s="5">
        <f>INDEX(플랫폼명범위,E545)</f>
        <v/>
      </c>
      <c r="D545" s="2">
        <f>MOD(INT((A545-1)/4),8)+1</f>
        <v/>
      </c>
      <c r="E545" s="2">
        <f>MOD(A545-1,4)+1</f>
        <v/>
      </c>
      <c r="F545" s="20">
        <f>축시작+INT((A545-1)/32)</f>
        <v/>
      </c>
      <c r="G545" s="20">
        <f>F545+H545</f>
        <v/>
      </c>
      <c r="H545" s="5" t="n">
        <v>6</v>
      </c>
      <c r="I545" s="2">
        <f>ROUND(INDEX(가맹점!$P$2:$P$9,D545)*INDEX(가맹점!$J$2:$M$9,D545,E545),0)</f>
        <v/>
      </c>
      <c r="J545" s="2">
        <f>ROUND(I545*(1-할인율),0)</f>
        <v/>
      </c>
      <c r="K545" s="2">
        <f>ROUNDDOWN(I545*할인율,0)</f>
        <v/>
      </c>
      <c r="L545" s="2">
        <f>ROUND(I545*INDEX(미지급률범위,E545),0)</f>
        <v/>
      </c>
      <c r="M545" s="2">
        <f>ROUND(I545*INDEX(과지급률범위,E545),0)</f>
        <v/>
      </c>
      <c r="N545" s="2">
        <f>MAX(0,L545-M545)</f>
        <v/>
      </c>
      <c r="O545" s="2">
        <f>K545-N545</f>
        <v/>
      </c>
      <c r="P545" s="2">
        <f>I545-N545</f>
        <v/>
      </c>
      <c r="Q545" s="5">
        <f>IF(G545&gt;기준일,1,0)</f>
        <v/>
      </c>
      <c r="R545" s="5">
        <f>IF(G545&lt;=기준일,1,0)</f>
        <v/>
      </c>
      <c r="S545" s="2">
        <f>J545*H545</f>
        <v/>
      </c>
      <c r="T545" s="5">
        <f>IF(AND(F545&gt;=표본시작,F545&lt;=표본종료),1,0)</f>
        <v/>
      </c>
      <c r="U545" s="5">
        <f>IF(AND(G545&gt;=조회시작,G545&lt;=조회종료),1,0)</f>
        <v/>
      </c>
    </row>
    <row r="546">
      <c r="A546" s="2">
        <f>ROW()-1</f>
        <v/>
      </c>
      <c r="B546" s="5">
        <f>INDEX(상호범위,D546)</f>
        <v/>
      </c>
      <c r="C546" s="5">
        <f>INDEX(플랫폼명범위,E546)</f>
        <v/>
      </c>
      <c r="D546" s="2">
        <f>MOD(INT((A546-1)/4),8)+1</f>
        <v/>
      </c>
      <c r="E546" s="2">
        <f>MOD(A546-1,4)+1</f>
        <v/>
      </c>
      <c r="F546" s="20">
        <f>축시작+INT((A546-1)/32)</f>
        <v/>
      </c>
      <c r="G546" s="20">
        <f>F546+H546</f>
        <v/>
      </c>
      <c r="H546" s="5" t="n">
        <v>1</v>
      </c>
      <c r="I546" s="2">
        <f>ROUND(INDEX(가맹점!$P$2:$P$9,D546)*INDEX(가맹점!$J$2:$M$9,D546,E546),0)</f>
        <v/>
      </c>
      <c r="J546" s="2">
        <f>ROUND(I546*(1-할인율),0)</f>
        <v/>
      </c>
      <c r="K546" s="2">
        <f>ROUNDDOWN(I546*할인율,0)</f>
        <v/>
      </c>
      <c r="L546" s="2">
        <f>ROUND(I546*INDEX(미지급률범위,E546),0)</f>
        <v/>
      </c>
      <c r="M546" s="2">
        <f>ROUND(I546*INDEX(과지급률범위,E546),0)</f>
        <v/>
      </c>
      <c r="N546" s="2">
        <f>MAX(0,L546-M546)</f>
        <v/>
      </c>
      <c r="O546" s="2">
        <f>K546-N546</f>
        <v/>
      </c>
      <c r="P546" s="2">
        <f>I546-N546</f>
        <v/>
      </c>
      <c r="Q546" s="5">
        <f>IF(G546&gt;기준일,1,0)</f>
        <v/>
      </c>
      <c r="R546" s="5">
        <f>IF(G546&lt;=기준일,1,0)</f>
        <v/>
      </c>
      <c r="S546" s="2">
        <f>J546*H546</f>
        <v/>
      </c>
      <c r="T546" s="5">
        <f>IF(AND(F546&gt;=표본시작,F546&lt;=표본종료),1,0)</f>
        <v/>
      </c>
      <c r="U546" s="5">
        <f>IF(AND(G546&gt;=조회시작,G546&lt;=조회종료),1,0)</f>
        <v/>
      </c>
    </row>
    <row r="547">
      <c r="A547" s="2">
        <f>ROW()-1</f>
        <v/>
      </c>
      <c r="B547" s="5">
        <f>INDEX(상호범위,D547)</f>
        <v/>
      </c>
      <c r="C547" s="5">
        <f>INDEX(플랫폼명범위,E547)</f>
        <v/>
      </c>
      <c r="D547" s="2">
        <f>MOD(INT((A547-1)/4),8)+1</f>
        <v/>
      </c>
      <c r="E547" s="2">
        <f>MOD(A547-1,4)+1</f>
        <v/>
      </c>
      <c r="F547" s="20">
        <f>축시작+INT((A547-1)/32)</f>
        <v/>
      </c>
      <c r="G547" s="20">
        <f>F547+H547</f>
        <v/>
      </c>
      <c r="H547" s="5" t="n">
        <v>4</v>
      </c>
      <c r="I547" s="2">
        <f>ROUND(INDEX(가맹점!$P$2:$P$9,D547)*INDEX(가맹점!$J$2:$M$9,D547,E547),0)</f>
        <v/>
      </c>
      <c r="J547" s="2">
        <f>ROUND(I547*(1-할인율),0)</f>
        <v/>
      </c>
      <c r="K547" s="2">
        <f>ROUNDDOWN(I547*할인율,0)</f>
        <v/>
      </c>
      <c r="L547" s="2">
        <f>ROUND(I547*INDEX(미지급률범위,E547),0)</f>
        <v/>
      </c>
      <c r="M547" s="2">
        <f>ROUND(I547*INDEX(과지급률범위,E547),0)</f>
        <v/>
      </c>
      <c r="N547" s="2">
        <f>MAX(0,L547-M547)</f>
        <v/>
      </c>
      <c r="O547" s="2">
        <f>K547-N547</f>
        <v/>
      </c>
      <c r="P547" s="2">
        <f>I547-N547</f>
        <v/>
      </c>
      <c r="Q547" s="5">
        <f>IF(G547&gt;기준일,1,0)</f>
        <v/>
      </c>
      <c r="R547" s="5">
        <f>IF(G547&lt;=기준일,1,0)</f>
        <v/>
      </c>
      <c r="S547" s="2">
        <f>J547*H547</f>
        <v/>
      </c>
      <c r="T547" s="5">
        <f>IF(AND(F547&gt;=표본시작,F547&lt;=표본종료),1,0)</f>
        <v/>
      </c>
      <c r="U547" s="5">
        <f>IF(AND(G547&gt;=조회시작,G547&lt;=조회종료),1,0)</f>
        <v/>
      </c>
    </row>
    <row r="548">
      <c r="A548" s="2">
        <f>ROW()-1</f>
        <v/>
      </c>
      <c r="B548" s="5">
        <f>INDEX(상호범위,D548)</f>
        <v/>
      </c>
      <c r="C548" s="5">
        <f>INDEX(플랫폼명범위,E548)</f>
        <v/>
      </c>
      <c r="D548" s="2">
        <f>MOD(INT((A548-1)/4),8)+1</f>
        <v/>
      </c>
      <c r="E548" s="2">
        <f>MOD(A548-1,4)+1</f>
        <v/>
      </c>
      <c r="F548" s="20">
        <f>축시작+INT((A548-1)/32)</f>
        <v/>
      </c>
      <c r="G548" s="20">
        <f>F548+H548</f>
        <v/>
      </c>
      <c r="H548" s="5" t="n">
        <v>3</v>
      </c>
      <c r="I548" s="2">
        <f>ROUND(INDEX(가맹점!$P$2:$P$9,D548)*INDEX(가맹점!$J$2:$M$9,D548,E548),0)</f>
        <v/>
      </c>
      <c r="J548" s="2">
        <f>ROUND(I548*(1-할인율),0)</f>
        <v/>
      </c>
      <c r="K548" s="2">
        <f>ROUNDDOWN(I548*할인율,0)</f>
        <v/>
      </c>
      <c r="L548" s="2">
        <f>ROUND(I548*INDEX(미지급률범위,E548),0)</f>
        <v/>
      </c>
      <c r="M548" s="2">
        <f>ROUND(I548*INDEX(과지급률범위,E548),0)</f>
        <v/>
      </c>
      <c r="N548" s="2">
        <f>MAX(0,L548-M548)</f>
        <v/>
      </c>
      <c r="O548" s="2">
        <f>K548-N548</f>
        <v/>
      </c>
      <c r="P548" s="2">
        <f>I548-N548</f>
        <v/>
      </c>
      <c r="Q548" s="5">
        <f>IF(G548&gt;기준일,1,0)</f>
        <v/>
      </c>
      <c r="R548" s="5">
        <f>IF(G548&lt;=기준일,1,0)</f>
        <v/>
      </c>
      <c r="S548" s="2">
        <f>J548*H548</f>
        <v/>
      </c>
      <c r="T548" s="5">
        <f>IF(AND(F548&gt;=표본시작,F548&lt;=표본종료),1,0)</f>
        <v/>
      </c>
      <c r="U548" s="5">
        <f>IF(AND(G548&gt;=조회시작,G548&lt;=조회종료),1,0)</f>
        <v/>
      </c>
    </row>
    <row r="549">
      <c r="A549" s="2">
        <f>ROW()-1</f>
        <v/>
      </c>
      <c r="B549" s="5">
        <f>INDEX(상호범위,D549)</f>
        <v/>
      </c>
      <c r="C549" s="5">
        <f>INDEX(플랫폼명범위,E549)</f>
        <v/>
      </c>
      <c r="D549" s="2">
        <f>MOD(INT((A549-1)/4),8)+1</f>
        <v/>
      </c>
      <c r="E549" s="2">
        <f>MOD(A549-1,4)+1</f>
        <v/>
      </c>
      <c r="F549" s="20">
        <f>축시작+INT((A549-1)/32)</f>
        <v/>
      </c>
      <c r="G549" s="20">
        <f>F549+H549</f>
        <v/>
      </c>
      <c r="H549" s="5" t="n">
        <v>6</v>
      </c>
      <c r="I549" s="2">
        <f>ROUND(INDEX(가맹점!$P$2:$P$9,D549)*INDEX(가맹점!$J$2:$M$9,D549,E549),0)</f>
        <v/>
      </c>
      <c r="J549" s="2">
        <f>ROUND(I549*(1-할인율),0)</f>
        <v/>
      </c>
      <c r="K549" s="2">
        <f>ROUNDDOWN(I549*할인율,0)</f>
        <v/>
      </c>
      <c r="L549" s="2">
        <f>ROUND(I549*INDEX(미지급률범위,E549),0)</f>
        <v/>
      </c>
      <c r="M549" s="2">
        <f>ROUND(I549*INDEX(과지급률범위,E549),0)</f>
        <v/>
      </c>
      <c r="N549" s="2">
        <f>MAX(0,L549-M549)</f>
        <v/>
      </c>
      <c r="O549" s="2">
        <f>K549-N549</f>
        <v/>
      </c>
      <c r="P549" s="2">
        <f>I549-N549</f>
        <v/>
      </c>
      <c r="Q549" s="5">
        <f>IF(G549&gt;기준일,1,0)</f>
        <v/>
      </c>
      <c r="R549" s="5">
        <f>IF(G549&lt;=기준일,1,0)</f>
        <v/>
      </c>
      <c r="S549" s="2">
        <f>J549*H549</f>
        <v/>
      </c>
      <c r="T549" s="5">
        <f>IF(AND(F549&gt;=표본시작,F549&lt;=표본종료),1,0)</f>
        <v/>
      </c>
      <c r="U549" s="5">
        <f>IF(AND(G549&gt;=조회시작,G549&lt;=조회종료),1,0)</f>
        <v/>
      </c>
    </row>
    <row r="550">
      <c r="A550" s="2">
        <f>ROW()-1</f>
        <v/>
      </c>
      <c r="B550" s="5">
        <f>INDEX(상호범위,D550)</f>
        <v/>
      </c>
      <c r="C550" s="5">
        <f>INDEX(플랫폼명범위,E550)</f>
        <v/>
      </c>
      <c r="D550" s="2">
        <f>MOD(INT((A550-1)/4),8)+1</f>
        <v/>
      </c>
      <c r="E550" s="2">
        <f>MOD(A550-1,4)+1</f>
        <v/>
      </c>
      <c r="F550" s="20">
        <f>축시작+INT((A550-1)/32)</f>
        <v/>
      </c>
      <c r="G550" s="20">
        <f>F550+H550</f>
        <v/>
      </c>
      <c r="H550" s="5" t="n">
        <v>1</v>
      </c>
      <c r="I550" s="2">
        <f>ROUND(INDEX(가맹점!$P$2:$P$9,D550)*INDEX(가맹점!$J$2:$M$9,D550,E550),0)</f>
        <v/>
      </c>
      <c r="J550" s="2">
        <f>ROUND(I550*(1-할인율),0)</f>
        <v/>
      </c>
      <c r="K550" s="2">
        <f>ROUNDDOWN(I550*할인율,0)</f>
        <v/>
      </c>
      <c r="L550" s="2">
        <f>ROUND(I550*INDEX(미지급률범위,E550),0)</f>
        <v/>
      </c>
      <c r="M550" s="2">
        <f>ROUND(I550*INDEX(과지급률범위,E550),0)</f>
        <v/>
      </c>
      <c r="N550" s="2">
        <f>MAX(0,L550-M550)</f>
        <v/>
      </c>
      <c r="O550" s="2">
        <f>K550-N550</f>
        <v/>
      </c>
      <c r="P550" s="2">
        <f>I550-N550</f>
        <v/>
      </c>
      <c r="Q550" s="5">
        <f>IF(G550&gt;기준일,1,0)</f>
        <v/>
      </c>
      <c r="R550" s="5">
        <f>IF(G550&lt;=기준일,1,0)</f>
        <v/>
      </c>
      <c r="S550" s="2">
        <f>J550*H550</f>
        <v/>
      </c>
      <c r="T550" s="5">
        <f>IF(AND(F550&gt;=표본시작,F550&lt;=표본종료),1,0)</f>
        <v/>
      </c>
      <c r="U550" s="5">
        <f>IF(AND(G550&gt;=조회시작,G550&lt;=조회종료),1,0)</f>
        <v/>
      </c>
    </row>
    <row r="551">
      <c r="A551" s="2">
        <f>ROW()-1</f>
        <v/>
      </c>
      <c r="B551" s="5">
        <f>INDEX(상호범위,D551)</f>
        <v/>
      </c>
      <c r="C551" s="5">
        <f>INDEX(플랫폼명범위,E551)</f>
        <v/>
      </c>
      <c r="D551" s="2">
        <f>MOD(INT((A551-1)/4),8)+1</f>
        <v/>
      </c>
      <c r="E551" s="2">
        <f>MOD(A551-1,4)+1</f>
        <v/>
      </c>
      <c r="F551" s="20">
        <f>축시작+INT((A551-1)/32)</f>
        <v/>
      </c>
      <c r="G551" s="20">
        <f>F551+H551</f>
        <v/>
      </c>
      <c r="H551" s="5" t="n">
        <v>4</v>
      </c>
      <c r="I551" s="2">
        <f>ROUND(INDEX(가맹점!$P$2:$P$9,D551)*INDEX(가맹점!$J$2:$M$9,D551,E551),0)</f>
        <v/>
      </c>
      <c r="J551" s="2">
        <f>ROUND(I551*(1-할인율),0)</f>
        <v/>
      </c>
      <c r="K551" s="2">
        <f>ROUNDDOWN(I551*할인율,0)</f>
        <v/>
      </c>
      <c r="L551" s="2">
        <f>ROUND(I551*INDEX(미지급률범위,E551),0)</f>
        <v/>
      </c>
      <c r="M551" s="2">
        <f>ROUND(I551*INDEX(과지급률범위,E551),0)</f>
        <v/>
      </c>
      <c r="N551" s="2">
        <f>MAX(0,L551-M551)</f>
        <v/>
      </c>
      <c r="O551" s="2">
        <f>K551-N551</f>
        <v/>
      </c>
      <c r="P551" s="2">
        <f>I551-N551</f>
        <v/>
      </c>
      <c r="Q551" s="5">
        <f>IF(G551&gt;기준일,1,0)</f>
        <v/>
      </c>
      <c r="R551" s="5">
        <f>IF(G551&lt;=기준일,1,0)</f>
        <v/>
      </c>
      <c r="S551" s="2">
        <f>J551*H551</f>
        <v/>
      </c>
      <c r="T551" s="5">
        <f>IF(AND(F551&gt;=표본시작,F551&lt;=표본종료),1,0)</f>
        <v/>
      </c>
      <c r="U551" s="5">
        <f>IF(AND(G551&gt;=조회시작,G551&lt;=조회종료),1,0)</f>
        <v/>
      </c>
    </row>
    <row r="552">
      <c r="A552" s="2">
        <f>ROW()-1</f>
        <v/>
      </c>
      <c r="B552" s="5">
        <f>INDEX(상호범위,D552)</f>
        <v/>
      </c>
      <c r="C552" s="5">
        <f>INDEX(플랫폼명범위,E552)</f>
        <v/>
      </c>
      <c r="D552" s="2">
        <f>MOD(INT((A552-1)/4),8)+1</f>
        <v/>
      </c>
      <c r="E552" s="2">
        <f>MOD(A552-1,4)+1</f>
        <v/>
      </c>
      <c r="F552" s="20">
        <f>축시작+INT((A552-1)/32)</f>
        <v/>
      </c>
      <c r="G552" s="20">
        <f>F552+H552</f>
        <v/>
      </c>
      <c r="H552" s="5" t="n">
        <v>3</v>
      </c>
      <c r="I552" s="2">
        <f>ROUND(INDEX(가맹점!$P$2:$P$9,D552)*INDEX(가맹점!$J$2:$M$9,D552,E552),0)</f>
        <v/>
      </c>
      <c r="J552" s="2">
        <f>ROUND(I552*(1-할인율),0)</f>
        <v/>
      </c>
      <c r="K552" s="2">
        <f>ROUNDDOWN(I552*할인율,0)</f>
        <v/>
      </c>
      <c r="L552" s="2">
        <f>ROUND(I552*INDEX(미지급률범위,E552),0)</f>
        <v/>
      </c>
      <c r="M552" s="2">
        <f>ROUND(I552*INDEX(과지급률범위,E552),0)</f>
        <v/>
      </c>
      <c r="N552" s="2">
        <f>MAX(0,L552-M552)</f>
        <v/>
      </c>
      <c r="O552" s="2">
        <f>K552-N552</f>
        <v/>
      </c>
      <c r="P552" s="2">
        <f>I552-N552</f>
        <v/>
      </c>
      <c r="Q552" s="5">
        <f>IF(G552&gt;기준일,1,0)</f>
        <v/>
      </c>
      <c r="R552" s="5">
        <f>IF(G552&lt;=기준일,1,0)</f>
        <v/>
      </c>
      <c r="S552" s="2">
        <f>J552*H552</f>
        <v/>
      </c>
      <c r="T552" s="5">
        <f>IF(AND(F552&gt;=표본시작,F552&lt;=표본종료),1,0)</f>
        <v/>
      </c>
      <c r="U552" s="5">
        <f>IF(AND(G552&gt;=조회시작,G552&lt;=조회종료),1,0)</f>
        <v/>
      </c>
    </row>
    <row r="553">
      <c r="A553" s="2">
        <f>ROW()-1</f>
        <v/>
      </c>
      <c r="B553" s="5">
        <f>INDEX(상호범위,D553)</f>
        <v/>
      </c>
      <c r="C553" s="5">
        <f>INDEX(플랫폼명범위,E553)</f>
        <v/>
      </c>
      <c r="D553" s="2">
        <f>MOD(INT((A553-1)/4),8)+1</f>
        <v/>
      </c>
      <c r="E553" s="2">
        <f>MOD(A553-1,4)+1</f>
        <v/>
      </c>
      <c r="F553" s="20">
        <f>축시작+INT((A553-1)/32)</f>
        <v/>
      </c>
      <c r="G553" s="20">
        <f>F553+H553</f>
        <v/>
      </c>
      <c r="H553" s="5" t="n">
        <v>4</v>
      </c>
      <c r="I553" s="2">
        <f>ROUND(INDEX(가맹점!$P$2:$P$9,D553)*INDEX(가맹점!$J$2:$M$9,D553,E553),0)</f>
        <v/>
      </c>
      <c r="J553" s="2">
        <f>ROUND(I553*(1-할인율),0)</f>
        <v/>
      </c>
      <c r="K553" s="2">
        <f>ROUNDDOWN(I553*할인율,0)</f>
        <v/>
      </c>
      <c r="L553" s="2">
        <f>ROUND(I553*INDEX(미지급률범위,E553),0)</f>
        <v/>
      </c>
      <c r="M553" s="2">
        <f>ROUND(I553*INDEX(과지급률범위,E553),0)</f>
        <v/>
      </c>
      <c r="N553" s="2">
        <f>MAX(0,L553-M553)</f>
        <v/>
      </c>
      <c r="O553" s="2">
        <f>K553-N553</f>
        <v/>
      </c>
      <c r="P553" s="2">
        <f>I553-N553</f>
        <v/>
      </c>
      <c r="Q553" s="5">
        <f>IF(G553&gt;기준일,1,0)</f>
        <v/>
      </c>
      <c r="R553" s="5">
        <f>IF(G553&lt;=기준일,1,0)</f>
        <v/>
      </c>
      <c r="S553" s="2">
        <f>J553*H553</f>
        <v/>
      </c>
      <c r="T553" s="5">
        <f>IF(AND(F553&gt;=표본시작,F553&lt;=표본종료),1,0)</f>
        <v/>
      </c>
      <c r="U553" s="5">
        <f>IF(AND(G553&gt;=조회시작,G553&lt;=조회종료),1,0)</f>
        <v/>
      </c>
    </row>
    <row r="554">
      <c r="A554" s="2">
        <f>ROW()-1</f>
        <v/>
      </c>
      <c r="B554" s="5">
        <f>INDEX(상호범위,D554)</f>
        <v/>
      </c>
      <c r="C554" s="5">
        <f>INDEX(플랫폼명범위,E554)</f>
        <v/>
      </c>
      <c r="D554" s="2">
        <f>MOD(INT((A554-1)/4),8)+1</f>
        <v/>
      </c>
      <c r="E554" s="2">
        <f>MOD(A554-1,4)+1</f>
        <v/>
      </c>
      <c r="F554" s="20">
        <f>축시작+INT((A554-1)/32)</f>
        <v/>
      </c>
      <c r="G554" s="20">
        <f>F554+H554</f>
        <v/>
      </c>
      <c r="H554" s="5" t="n">
        <v>1</v>
      </c>
      <c r="I554" s="2">
        <f>ROUND(INDEX(가맹점!$P$2:$P$9,D554)*INDEX(가맹점!$J$2:$M$9,D554,E554),0)</f>
        <v/>
      </c>
      <c r="J554" s="2">
        <f>ROUND(I554*(1-할인율),0)</f>
        <v/>
      </c>
      <c r="K554" s="2">
        <f>ROUNDDOWN(I554*할인율,0)</f>
        <v/>
      </c>
      <c r="L554" s="2">
        <f>ROUND(I554*INDEX(미지급률범위,E554),0)</f>
        <v/>
      </c>
      <c r="M554" s="2">
        <f>ROUND(I554*INDEX(과지급률범위,E554),0)</f>
        <v/>
      </c>
      <c r="N554" s="2">
        <f>MAX(0,L554-M554)</f>
        <v/>
      </c>
      <c r="O554" s="2">
        <f>K554-N554</f>
        <v/>
      </c>
      <c r="P554" s="2">
        <f>I554-N554</f>
        <v/>
      </c>
      <c r="Q554" s="5">
        <f>IF(G554&gt;기준일,1,0)</f>
        <v/>
      </c>
      <c r="R554" s="5">
        <f>IF(G554&lt;=기준일,1,0)</f>
        <v/>
      </c>
      <c r="S554" s="2">
        <f>J554*H554</f>
        <v/>
      </c>
      <c r="T554" s="5">
        <f>IF(AND(F554&gt;=표본시작,F554&lt;=표본종료),1,0)</f>
        <v/>
      </c>
      <c r="U554" s="5">
        <f>IF(AND(G554&gt;=조회시작,G554&lt;=조회종료),1,0)</f>
        <v/>
      </c>
    </row>
    <row r="555">
      <c r="A555" s="2">
        <f>ROW()-1</f>
        <v/>
      </c>
      <c r="B555" s="5">
        <f>INDEX(상호범위,D555)</f>
        <v/>
      </c>
      <c r="C555" s="5">
        <f>INDEX(플랫폼명범위,E555)</f>
        <v/>
      </c>
      <c r="D555" s="2">
        <f>MOD(INT((A555-1)/4),8)+1</f>
        <v/>
      </c>
      <c r="E555" s="2">
        <f>MOD(A555-1,4)+1</f>
        <v/>
      </c>
      <c r="F555" s="20">
        <f>축시작+INT((A555-1)/32)</f>
        <v/>
      </c>
      <c r="G555" s="20">
        <f>F555+H555</f>
        <v/>
      </c>
      <c r="H555" s="5" t="n">
        <v>4</v>
      </c>
      <c r="I555" s="2">
        <f>ROUND(INDEX(가맹점!$P$2:$P$9,D555)*INDEX(가맹점!$J$2:$M$9,D555,E555),0)</f>
        <v/>
      </c>
      <c r="J555" s="2">
        <f>ROUND(I555*(1-할인율),0)</f>
        <v/>
      </c>
      <c r="K555" s="2">
        <f>ROUNDDOWN(I555*할인율,0)</f>
        <v/>
      </c>
      <c r="L555" s="2">
        <f>ROUND(I555*INDEX(미지급률범위,E555),0)</f>
        <v/>
      </c>
      <c r="M555" s="2">
        <f>ROUND(I555*INDEX(과지급률범위,E555),0)</f>
        <v/>
      </c>
      <c r="N555" s="2">
        <f>MAX(0,L555-M555)</f>
        <v/>
      </c>
      <c r="O555" s="2">
        <f>K555-N555</f>
        <v/>
      </c>
      <c r="P555" s="2">
        <f>I555-N555</f>
        <v/>
      </c>
      <c r="Q555" s="5">
        <f>IF(G555&gt;기준일,1,0)</f>
        <v/>
      </c>
      <c r="R555" s="5">
        <f>IF(G555&lt;=기준일,1,0)</f>
        <v/>
      </c>
      <c r="S555" s="2">
        <f>J555*H555</f>
        <v/>
      </c>
      <c r="T555" s="5">
        <f>IF(AND(F555&gt;=표본시작,F555&lt;=표본종료),1,0)</f>
        <v/>
      </c>
      <c r="U555" s="5">
        <f>IF(AND(G555&gt;=조회시작,G555&lt;=조회종료),1,0)</f>
        <v/>
      </c>
    </row>
    <row r="556">
      <c r="A556" s="2">
        <f>ROW()-1</f>
        <v/>
      </c>
      <c r="B556" s="5">
        <f>INDEX(상호범위,D556)</f>
        <v/>
      </c>
      <c r="C556" s="5">
        <f>INDEX(플랫폼명범위,E556)</f>
        <v/>
      </c>
      <c r="D556" s="2">
        <f>MOD(INT((A556-1)/4),8)+1</f>
        <v/>
      </c>
      <c r="E556" s="2">
        <f>MOD(A556-1,4)+1</f>
        <v/>
      </c>
      <c r="F556" s="20">
        <f>축시작+INT((A556-1)/32)</f>
        <v/>
      </c>
      <c r="G556" s="20">
        <f>F556+H556</f>
        <v/>
      </c>
      <c r="H556" s="5" t="n">
        <v>9</v>
      </c>
      <c r="I556" s="2">
        <f>ROUND(INDEX(가맹점!$P$2:$P$9,D556)*INDEX(가맹점!$J$2:$M$9,D556,E556),0)</f>
        <v/>
      </c>
      <c r="J556" s="2">
        <f>ROUND(I556*(1-할인율),0)</f>
        <v/>
      </c>
      <c r="K556" s="2">
        <f>ROUNDDOWN(I556*할인율,0)</f>
        <v/>
      </c>
      <c r="L556" s="2">
        <f>ROUND(I556*INDEX(미지급률범위,E556),0)</f>
        <v/>
      </c>
      <c r="M556" s="2">
        <f>ROUND(I556*INDEX(과지급률범위,E556),0)</f>
        <v/>
      </c>
      <c r="N556" s="2">
        <f>MAX(0,L556-M556)</f>
        <v/>
      </c>
      <c r="O556" s="2">
        <f>K556-N556</f>
        <v/>
      </c>
      <c r="P556" s="2">
        <f>I556-N556</f>
        <v/>
      </c>
      <c r="Q556" s="5">
        <f>IF(G556&gt;기준일,1,0)</f>
        <v/>
      </c>
      <c r="R556" s="5">
        <f>IF(G556&lt;=기준일,1,0)</f>
        <v/>
      </c>
      <c r="S556" s="2">
        <f>J556*H556</f>
        <v/>
      </c>
      <c r="T556" s="5">
        <f>IF(AND(F556&gt;=표본시작,F556&lt;=표본종료),1,0)</f>
        <v/>
      </c>
      <c r="U556" s="5">
        <f>IF(AND(G556&gt;=조회시작,G556&lt;=조회종료),1,0)</f>
        <v/>
      </c>
    </row>
    <row r="557">
      <c r="A557" s="2">
        <f>ROW()-1</f>
        <v/>
      </c>
      <c r="B557" s="5">
        <f>INDEX(상호범위,D557)</f>
        <v/>
      </c>
      <c r="C557" s="5">
        <f>INDEX(플랫폼명범위,E557)</f>
        <v/>
      </c>
      <c r="D557" s="2">
        <f>MOD(INT((A557-1)/4),8)+1</f>
        <v/>
      </c>
      <c r="E557" s="2">
        <f>MOD(A557-1,4)+1</f>
        <v/>
      </c>
      <c r="F557" s="20">
        <f>축시작+INT((A557-1)/32)</f>
        <v/>
      </c>
      <c r="G557" s="20">
        <f>F557+H557</f>
        <v/>
      </c>
      <c r="H557" s="5" t="n">
        <v>6</v>
      </c>
      <c r="I557" s="2">
        <f>ROUND(INDEX(가맹점!$P$2:$P$9,D557)*INDEX(가맹점!$J$2:$M$9,D557,E557),0)</f>
        <v/>
      </c>
      <c r="J557" s="2">
        <f>ROUND(I557*(1-할인율),0)</f>
        <v/>
      </c>
      <c r="K557" s="2">
        <f>ROUNDDOWN(I557*할인율,0)</f>
        <v/>
      </c>
      <c r="L557" s="2">
        <f>ROUND(I557*INDEX(미지급률범위,E557),0)</f>
        <v/>
      </c>
      <c r="M557" s="2">
        <f>ROUND(I557*INDEX(과지급률범위,E557),0)</f>
        <v/>
      </c>
      <c r="N557" s="2">
        <f>MAX(0,L557-M557)</f>
        <v/>
      </c>
      <c r="O557" s="2">
        <f>K557-N557</f>
        <v/>
      </c>
      <c r="P557" s="2">
        <f>I557-N557</f>
        <v/>
      </c>
      <c r="Q557" s="5">
        <f>IF(G557&gt;기준일,1,0)</f>
        <v/>
      </c>
      <c r="R557" s="5">
        <f>IF(G557&lt;=기준일,1,0)</f>
        <v/>
      </c>
      <c r="S557" s="2">
        <f>J557*H557</f>
        <v/>
      </c>
      <c r="T557" s="5">
        <f>IF(AND(F557&gt;=표본시작,F557&lt;=표본종료),1,0)</f>
        <v/>
      </c>
      <c r="U557" s="5">
        <f>IF(AND(G557&gt;=조회시작,G557&lt;=조회종료),1,0)</f>
        <v/>
      </c>
    </row>
    <row r="558">
      <c r="A558" s="2">
        <f>ROW()-1</f>
        <v/>
      </c>
      <c r="B558" s="5">
        <f>INDEX(상호범위,D558)</f>
        <v/>
      </c>
      <c r="C558" s="5">
        <f>INDEX(플랫폼명범위,E558)</f>
        <v/>
      </c>
      <c r="D558" s="2">
        <f>MOD(INT((A558-1)/4),8)+1</f>
        <v/>
      </c>
      <c r="E558" s="2">
        <f>MOD(A558-1,4)+1</f>
        <v/>
      </c>
      <c r="F558" s="20">
        <f>축시작+INT((A558-1)/32)</f>
        <v/>
      </c>
      <c r="G558" s="20">
        <f>F558+H558</f>
        <v/>
      </c>
      <c r="H558" s="5" t="n">
        <v>1</v>
      </c>
      <c r="I558" s="2">
        <f>ROUND(INDEX(가맹점!$P$2:$P$9,D558)*INDEX(가맹점!$J$2:$M$9,D558,E558),0)</f>
        <v/>
      </c>
      <c r="J558" s="2">
        <f>ROUND(I558*(1-할인율),0)</f>
        <v/>
      </c>
      <c r="K558" s="2">
        <f>ROUNDDOWN(I558*할인율,0)</f>
        <v/>
      </c>
      <c r="L558" s="2">
        <f>ROUND(I558*INDEX(미지급률범위,E558),0)</f>
        <v/>
      </c>
      <c r="M558" s="2">
        <f>ROUND(I558*INDEX(과지급률범위,E558),0)</f>
        <v/>
      </c>
      <c r="N558" s="2">
        <f>MAX(0,L558-M558)</f>
        <v/>
      </c>
      <c r="O558" s="2">
        <f>K558-N558</f>
        <v/>
      </c>
      <c r="P558" s="2">
        <f>I558-N558</f>
        <v/>
      </c>
      <c r="Q558" s="5">
        <f>IF(G558&gt;기준일,1,0)</f>
        <v/>
      </c>
      <c r="R558" s="5">
        <f>IF(G558&lt;=기준일,1,0)</f>
        <v/>
      </c>
      <c r="S558" s="2">
        <f>J558*H558</f>
        <v/>
      </c>
      <c r="T558" s="5">
        <f>IF(AND(F558&gt;=표본시작,F558&lt;=표본종료),1,0)</f>
        <v/>
      </c>
      <c r="U558" s="5">
        <f>IF(AND(G558&gt;=조회시작,G558&lt;=조회종료),1,0)</f>
        <v/>
      </c>
    </row>
    <row r="559">
      <c r="A559" s="2">
        <f>ROW()-1</f>
        <v/>
      </c>
      <c r="B559" s="5">
        <f>INDEX(상호범위,D559)</f>
        <v/>
      </c>
      <c r="C559" s="5">
        <f>INDEX(플랫폼명범위,E559)</f>
        <v/>
      </c>
      <c r="D559" s="2">
        <f>MOD(INT((A559-1)/4),8)+1</f>
        <v/>
      </c>
      <c r="E559" s="2">
        <f>MOD(A559-1,4)+1</f>
        <v/>
      </c>
      <c r="F559" s="20">
        <f>축시작+INT((A559-1)/32)</f>
        <v/>
      </c>
      <c r="G559" s="20">
        <f>F559+H559</f>
        <v/>
      </c>
      <c r="H559" s="5" t="n">
        <v>2</v>
      </c>
      <c r="I559" s="2">
        <f>ROUND(INDEX(가맹점!$P$2:$P$9,D559)*INDEX(가맹점!$J$2:$M$9,D559,E559),0)</f>
        <v/>
      </c>
      <c r="J559" s="2">
        <f>ROUND(I559*(1-할인율),0)</f>
        <v/>
      </c>
      <c r="K559" s="2">
        <f>ROUNDDOWN(I559*할인율,0)</f>
        <v/>
      </c>
      <c r="L559" s="2">
        <f>ROUND(I559*INDEX(미지급률범위,E559),0)</f>
        <v/>
      </c>
      <c r="M559" s="2">
        <f>ROUND(I559*INDEX(과지급률범위,E559),0)</f>
        <v/>
      </c>
      <c r="N559" s="2">
        <f>MAX(0,L559-M559)</f>
        <v/>
      </c>
      <c r="O559" s="2">
        <f>K559-N559</f>
        <v/>
      </c>
      <c r="P559" s="2">
        <f>I559-N559</f>
        <v/>
      </c>
      <c r="Q559" s="5">
        <f>IF(G559&gt;기준일,1,0)</f>
        <v/>
      </c>
      <c r="R559" s="5">
        <f>IF(G559&lt;=기준일,1,0)</f>
        <v/>
      </c>
      <c r="S559" s="2">
        <f>J559*H559</f>
        <v/>
      </c>
      <c r="T559" s="5">
        <f>IF(AND(F559&gt;=표본시작,F559&lt;=표본종료),1,0)</f>
        <v/>
      </c>
      <c r="U559" s="5">
        <f>IF(AND(G559&gt;=조회시작,G559&lt;=조회종료),1,0)</f>
        <v/>
      </c>
    </row>
    <row r="560">
      <c r="A560" s="2">
        <f>ROW()-1</f>
        <v/>
      </c>
      <c r="B560" s="5">
        <f>INDEX(상호범위,D560)</f>
        <v/>
      </c>
      <c r="C560" s="5">
        <f>INDEX(플랫폼명범위,E560)</f>
        <v/>
      </c>
      <c r="D560" s="2">
        <f>MOD(INT((A560-1)/4),8)+1</f>
        <v/>
      </c>
      <c r="E560" s="2">
        <f>MOD(A560-1,4)+1</f>
        <v/>
      </c>
      <c r="F560" s="20">
        <f>축시작+INT((A560-1)/32)</f>
        <v/>
      </c>
      <c r="G560" s="20">
        <f>F560+H560</f>
        <v/>
      </c>
      <c r="H560" s="5" t="n">
        <v>3</v>
      </c>
      <c r="I560" s="2">
        <f>ROUND(INDEX(가맹점!$P$2:$P$9,D560)*INDEX(가맹점!$J$2:$M$9,D560,E560),0)</f>
        <v/>
      </c>
      <c r="J560" s="2">
        <f>ROUND(I560*(1-할인율),0)</f>
        <v/>
      </c>
      <c r="K560" s="2">
        <f>ROUNDDOWN(I560*할인율,0)</f>
        <v/>
      </c>
      <c r="L560" s="2">
        <f>ROUND(I560*INDEX(미지급률범위,E560),0)</f>
        <v/>
      </c>
      <c r="M560" s="2">
        <f>ROUND(I560*INDEX(과지급률범위,E560),0)</f>
        <v/>
      </c>
      <c r="N560" s="2">
        <f>MAX(0,L560-M560)</f>
        <v/>
      </c>
      <c r="O560" s="2">
        <f>K560-N560</f>
        <v/>
      </c>
      <c r="P560" s="2">
        <f>I560-N560</f>
        <v/>
      </c>
      <c r="Q560" s="5">
        <f>IF(G560&gt;기준일,1,0)</f>
        <v/>
      </c>
      <c r="R560" s="5">
        <f>IF(G560&lt;=기준일,1,0)</f>
        <v/>
      </c>
      <c r="S560" s="2">
        <f>J560*H560</f>
        <v/>
      </c>
      <c r="T560" s="5">
        <f>IF(AND(F560&gt;=표본시작,F560&lt;=표본종료),1,0)</f>
        <v/>
      </c>
      <c r="U560" s="5">
        <f>IF(AND(G560&gt;=조회시작,G560&lt;=조회종료),1,0)</f>
        <v/>
      </c>
    </row>
    <row r="561">
      <c r="A561" s="2">
        <f>ROW()-1</f>
        <v/>
      </c>
      <c r="B561" s="5">
        <f>INDEX(상호범위,D561)</f>
        <v/>
      </c>
      <c r="C561" s="5">
        <f>INDEX(플랫폼명범위,E561)</f>
        <v/>
      </c>
      <c r="D561" s="2">
        <f>MOD(INT((A561-1)/4),8)+1</f>
        <v/>
      </c>
      <c r="E561" s="2">
        <f>MOD(A561-1,4)+1</f>
        <v/>
      </c>
      <c r="F561" s="20">
        <f>축시작+INT((A561-1)/32)</f>
        <v/>
      </c>
      <c r="G561" s="20">
        <f>F561+H561</f>
        <v/>
      </c>
      <c r="H561" s="5" t="n">
        <v>4</v>
      </c>
      <c r="I561" s="2">
        <f>ROUND(INDEX(가맹점!$P$2:$P$9,D561)*INDEX(가맹점!$J$2:$M$9,D561,E561),0)</f>
        <v/>
      </c>
      <c r="J561" s="2">
        <f>ROUND(I561*(1-할인율),0)</f>
        <v/>
      </c>
      <c r="K561" s="2">
        <f>ROUNDDOWN(I561*할인율,0)</f>
        <v/>
      </c>
      <c r="L561" s="2">
        <f>ROUND(I561*INDEX(미지급률범위,E561),0)</f>
        <v/>
      </c>
      <c r="M561" s="2">
        <f>ROUND(I561*INDEX(과지급률범위,E561),0)</f>
        <v/>
      </c>
      <c r="N561" s="2">
        <f>MAX(0,L561-M561)</f>
        <v/>
      </c>
      <c r="O561" s="2">
        <f>K561-N561</f>
        <v/>
      </c>
      <c r="P561" s="2">
        <f>I561-N561</f>
        <v/>
      </c>
      <c r="Q561" s="5">
        <f>IF(G561&gt;기준일,1,0)</f>
        <v/>
      </c>
      <c r="R561" s="5">
        <f>IF(G561&lt;=기준일,1,0)</f>
        <v/>
      </c>
      <c r="S561" s="2">
        <f>J561*H561</f>
        <v/>
      </c>
      <c r="T561" s="5">
        <f>IF(AND(F561&gt;=표본시작,F561&lt;=표본종료),1,0)</f>
        <v/>
      </c>
      <c r="U561" s="5">
        <f>IF(AND(G561&gt;=조회시작,G561&lt;=조회종료),1,0)</f>
        <v/>
      </c>
    </row>
    <row r="562">
      <c r="A562" s="2">
        <f>ROW()-1</f>
        <v/>
      </c>
      <c r="B562" s="5">
        <f>INDEX(상호범위,D562)</f>
        <v/>
      </c>
      <c r="C562" s="5">
        <f>INDEX(플랫폼명범위,E562)</f>
        <v/>
      </c>
      <c r="D562" s="2">
        <f>MOD(INT((A562-1)/4),8)+1</f>
        <v/>
      </c>
      <c r="E562" s="2">
        <f>MOD(A562-1,4)+1</f>
        <v/>
      </c>
      <c r="F562" s="20">
        <f>축시작+INT((A562-1)/32)</f>
        <v/>
      </c>
      <c r="G562" s="20">
        <f>F562+H562</f>
        <v/>
      </c>
      <c r="H562" s="5" t="n">
        <v>2</v>
      </c>
      <c r="I562" s="2">
        <f>ROUND(INDEX(가맹점!$P$2:$P$9,D562)*INDEX(가맹점!$J$2:$M$9,D562,E562),0)</f>
        <v/>
      </c>
      <c r="J562" s="2">
        <f>ROUND(I562*(1-할인율),0)</f>
        <v/>
      </c>
      <c r="K562" s="2">
        <f>ROUNDDOWN(I562*할인율,0)</f>
        <v/>
      </c>
      <c r="L562" s="2">
        <f>ROUND(I562*INDEX(미지급률범위,E562),0)</f>
        <v/>
      </c>
      <c r="M562" s="2">
        <f>ROUND(I562*INDEX(과지급률범위,E562),0)</f>
        <v/>
      </c>
      <c r="N562" s="2">
        <f>MAX(0,L562-M562)</f>
        <v/>
      </c>
      <c r="O562" s="2">
        <f>K562-N562</f>
        <v/>
      </c>
      <c r="P562" s="2">
        <f>I562-N562</f>
        <v/>
      </c>
      <c r="Q562" s="5">
        <f>IF(G562&gt;기준일,1,0)</f>
        <v/>
      </c>
      <c r="R562" s="5">
        <f>IF(G562&lt;=기준일,1,0)</f>
        <v/>
      </c>
      <c r="S562" s="2">
        <f>J562*H562</f>
        <v/>
      </c>
      <c r="T562" s="5">
        <f>IF(AND(F562&gt;=표본시작,F562&lt;=표본종료),1,0)</f>
        <v/>
      </c>
      <c r="U562" s="5">
        <f>IF(AND(G562&gt;=조회시작,G562&lt;=조회종료),1,0)</f>
        <v/>
      </c>
    </row>
    <row r="563">
      <c r="A563" s="2">
        <f>ROW()-1</f>
        <v/>
      </c>
      <c r="B563" s="5">
        <f>INDEX(상호범위,D563)</f>
        <v/>
      </c>
      <c r="C563" s="5">
        <f>INDEX(플랫폼명범위,E563)</f>
        <v/>
      </c>
      <c r="D563" s="2">
        <f>MOD(INT((A563-1)/4),8)+1</f>
        <v/>
      </c>
      <c r="E563" s="2">
        <f>MOD(A563-1,4)+1</f>
        <v/>
      </c>
      <c r="F563" s="20">
        <f>축시작+INT((A563-1)/32)</f>
        <v/>
      </c>
      <c r="G563" s="20">
        <f>F563+H563</f>
        <v/>
      </c>
      <c r="H563" s="5" t="n">
        <v>4</v>
      </c>
      <c r="I563" s="2">
        <f>ROUND(INDEX(가맹점!$P$2:$P$9,D563)*INDEX(가맹점!$J$2:$M$9,D563,E563),0)</f>
        <v/>
      </c>
      <c r="J563" s="2">
        <f>ROUND(I563*(1-할인율),0)</f>
        <v/>
      </c>
      <c r="K563" s="2">
        <f>ROUNDDOWN(I563*할인율,0)</f>
        <v/>
      </c>
      <c r="L563" s="2">
        <f>ROUND(I563*INDEX(미지급률범위,E563),0)</f>
        <v/>
      </c>
      <c r="M563" s="2">
        <f>ROUND(I563*INDEX(과지급률범위,E563),0)</f>
        <v/>
      </c>
      <c r="N563" s="2">
        <f>MAX(0,L563-M563)</f>
        <v/>
      </c>
      <c r="O563" s="2">
        <f>K563-N563</f>
        <v/>
      </c>
      <c r="P563" s="2">
        <f>I563-N563</f>
        <v/>
      </c>
      <c r="Q563" s="5">
        <f>IF(G563&gt;기준일,1,0)</f>
        <v/>
      </c>
      <c r="R563" s="5">
        <f>IF(G563&lt;=기준일,1,0)</f>
        <v/>
      </c>
      <c r="S563" s="2">
        <f>J563*H563</f>
        <v/>
      </c>
      <c r="T563" s="5">
        <f>IF(AND(F563&gt;=표본시작,F563&lt;=표본종료),1,0)</f>
        <v/>
      </c>
      <c r="U563" s="5">
        <f>IF(AND(G563&gt;=조회시작,G563&lt;=조회종료),1,0)</f>
        <v/>
      </c>
    </row>
    <row r="564">
      <c r="A564" s="2">
        <f>ROW()-1</f>
        <v/>
      </c>
      <c r="B564" s="5">
        <f>INDEX(상호범위,D564)</f>
        <v/>
      </c>
      <c r="C564" s="5">
        <f>INDEX(플랫폼명범위,E564)</f>
        <v/>
      </c>
      <c r="D564" s="2">
        <f>MOD(INT((A564-1)/4),8)+1</f>
        <v/>
      </c>
      <c r="E564" s="2">
        <f>MOD(A564-1,4)+1</f>
        <v/>
      </c>
      <c r="F564" s="20">
        <f>축시작+INT((A564-1)/32)</f>
        <v/>
      </c>
      <c r="G564" s="20">
        <f>F564+H564</f>
        <v/>
      </c>
      <c r="H564" s="5" t="n">
        <v>3</v>
      </c>
      <c r="I564" s="2">
        <f>ROUND(INDEX(가맹점!$P$2:$P$9,D564)*INDEX(가맹점!$J$2:$M$9,D564,E564),0)</f>
        <v/>
      </c>
      <c r="J564" s="2">
        <f>ROUND(I564*(1-할인율),0)</f>
        <v/>
      </c>
      <c r="K564" s="2">
        <f>ROUNDDOWN(I564*할인율,0)</f>
        <v/>
      </c>
      <c r="L564" s="2">
        <f>ROUND(I564*INDEX(미지급률범위,E564),0)</f>
        <v/>
      </c>
      <c r="M564" s="2">
        <f>ROUND(I564*INDEX(과지급률범위,E564),0)</f>
        <v/>
      </c>
      <c r="N564" s="2">
        <f>MAX(0,L564-M564)</f>
        <v/>
      </c>
      <c r="O564" s="2">
        <f>K564-N564</f>
        <v/>
      </c>
      <c r="P564" s="2">
        <f>I564-N564</f>
        <v/>
      </c>
      <c r="Q564" s="5">
        <f>IF(G564&gt;기준일,1,0)</f>
        <v/>
      </c>
      <c r="R564" s="5">
        <f>IF(G564&lt;=기준일,1,0)</f>
        <v/>
      </c>
      <c r="S564" s="2">
        <f>J564*H564</f>
        <v/>
      </c>
      <c r="T564" s="5">
        <f>IF(AND(F564&gt;=표본시작,F564&lt;=표본종료),1,0)</f>
        <v/>
      </c>
      <c r="U564" s="5">
        <f>IF(AND(G564&gt;=조회시작,G564&lt;=조회종료),1,0)</f>
        <v/>
      </c>
    </row>
    <row r="565">
      <c r="A565" s="2">
        <f>ROW()-1</f>
        <v/>
      </c>
      <c r="B565" s="5">
        <f>INDEX(상호범위,D565)</f>
        <v/>
      </c>
      <c r="C565" s="5">
        <f>INDEX(플랫폼명범위,E565)</f>
        <v/>
      </c>
      <c r="D565" s="2">
        <f>MOD(INT((A565-1)/4),8)+1</f>
        <v/>
      </c>
      <c r="E565" s="2">
        <f>MOD(A565-1,4)+1</f>
        <v/>
      </c>
      <c r="F565" s="20">
        <f>축시작+INT((A565-1)/32)</f>
        <v/>
      </c>
      <c r="G565" s="20">
        <f>F565+H565</f>
        <v/>
      </c>
      <c r="H565" s="5" t="n">
        <v>8</v>
      </c>
      <c r="I565" s="2">
        <f>ROUND(INDEX(가맹점!$P$2:$P$9,D565)*INDEX(가맹점!$J$2:$M$9,D565,E565),0)</f>
        <v/>
      </c>
      <c r="J565" s="2">
        <f>ROUND(I565*(1-할인율),0)</f>
        <v/>
      </c>
      <c r="K565" s="2">
        <f>ROUNDDOWN(I565*할인율,0)</f>
        <v/>
      </c>
      <c r="L565" s="2">
        <f>ROUND(I565*INDEX(미지급률범위,E565),0)</f>
        <v/>
      </c>
      <c r="M565" s="2">
        <f>ROUND(I565*INDEX(과지급률범위,E565),0)</f>
        <v/>
      </c>
      <c r="N565" s="2">
        <f>MAX(0,L565-M565)</f>
        <v/>
      </c>
      <c r="O565" s="2">
        <f>K565-N565</f>
        <v/>
      </c>
      <c r="P565" s="2">
        <f>I565-N565</f>
        <v/>
      </c>
      <c r="Q565" s="5">
        <f>IF(G565&gt;기준일,1,0)</f>
        <v/>
      </c>
      <c r="R565" s="5">
        <f>IF(G565&lt;=기준일,1,0)</f>
        <v/>
      </c>
      <c r="S565" s="2">
        <f>J565*H565</f>
        <v/>
      </c>
      <c r="T565" s="5">
        <f>IF(AND(F565&gt;=표본시작,F565&lt;=표본종료),1,0)</f>
        <v/>
      </c>
      <c r="U565" s="5">
        <f>IF(AND(G565&gt;=조회시작,G565&lt;=조회종료),1,0)</f>
        <v/>
      </c>
    </row>
    <row r="566">
      <c r="A566" s="2">
        <f>ROW()-1</f>
        <v/>
      </c>
      <c r="B566" s="5">
        <f>INDEX(상호범위,D566)</f>
        <v/>
      </c>
      <c r="C566" s="5">
        <f>INDEX(플랫폼명범위,E566)</f>
        <v/>
      </c>
      <c r="D566" s="2">
        <f>MOD(INT((A566-1)/4),8)+1</f>
        <v/>
      </c>
      <c r="E566" s="2">
        <f>MOD(A566-1,4)+1</f>
        <v/>
      </c>
      <c r="F566" s="20">
        <f>축시작+INT((A566-1)/32)</f>
        <v/>
      </c>
      <c r="G566" s="20">
        <f>F566+H566</f>
        <v/>
      </c>
      <c r="H566" s="5" t="n">
        <v>1</v>
      </c>
      <c r="I566" s="2">
        <f>ROUND(INDEX(가맹점!$P$2:$P$9,D566)*INDEX(가맹점!$J$2:$M$9,D566,E566),0)</f>
        <v/>
      </c>
      <c r="J566" s="2">
        <f>ROUND(I566*(1-할인율),0)</f>
        <v/>
      </c>
      <c r="K566" s="2">
        <f>ROUNDDOWN(I566*할인율,0)</f>
        <v/>
      </c>
      <c r="L566" s="2">
        <f>ROUND(I566*INDEX(미지급률범위,E566),0)</f>
        <v/>
      </c>
      <c r="M566" s="2">
        <f>ROUND(I566*INDEX(과지급률범위,E566),0)</f>
        <v/>
      </c>
      <c r="N566" s="2">
        <f>MAX(0,L566-M566)</f>
        <v/>
      </c>
      <c r="O566" s="2">
        <f>K566-N566</f>
        <v/>
      </c>
      <c r="P566" s="2">
        <f>I566-N566</f>
        <v/>
      </c>
      <c r="Q566" s="5">
        <f>IF(G566&gt;기준일,1,0)</f>
        <v/>
      </c>
      <c r="R566" s="5">
        <f>IF(G566&lt;=기준일,1,0)</f>
        <v/>
      </c>
      <c r="S566" s="2">
        <f>J566*H566</f>
        <v/>
      </c>
      <c r="T566" s="5">
        <f>IF(AND(F566&gt;=표본시작,F566&lt;=표본종료),1,0)</f>
        <v/>
      </c>
      <c r="U566" s="5">
        <f>IF(AND(G566&gt;=조회시작,G566&lt;=조회종료),1,0)</f>
        <v/>
      </c>
    </row>
    <row r="567">
      <c r="A567" s="2">
        <f>ROW()-1</f>
        <v/>
      </c>
      <c r="B567" s="5">
        <f>INDEX(상호범위,D567)</f>
        <v/>
      </c>
      <c r="C567" s="5">
        <f>INDEX(플랫폼명범위,E567)</f>
        <v/>
      </c>
      <c r="D567" s="2">
        <f>MOD(INT((A567-1)/4),8)+1</f>
        <v/>
      </c>
      <c r="E567" s="2">
        <f>MOD(A567-1,4)+1</f>
        <v/>
      </c>
      <c r="F567" s="20">
        <f>축시작+INT((A567-1)/32)</f>
        <v/>
      </c>
      <c r="G567" s="20">
        <f>F567+H567</f>
        <v/>
      </c>
      <c r="H567" s="5" t="n">
        <v>2</v>
      </c>
      <c r="I567" s="2">
        <f>ROUND(INDEX(가맹점!$P$2:$P$9,D567)*INDEX(가맹점!$J$2:$M$9,D567,E567),0)</f>
        <v/>
      </c>
      <c r="J567" s="2">
        <f>ROUND(I567*(1-할인율),0)</f>
        <v/>
      </c>
      <c r="K567" s="2">
        <f>ROUNDDOWN(I567*할인율,0)</f>
        <v/>
      </c>
      <c r="L567" s="2">
        <f>ROUND(I567*INDEX(미지급률범위,E567),0)</f>
        <v/>
      </c>
      <c r="M567" s="2">
        <f>ROUND(I567*INDEX(과지급률범위,E567),0)</f>
        <v/>
      </c>
      <c r="N567" s="2">
        <f>MAX(0,L567-M567)</f>
        <v/>
      </c>
      <c r="O567" s="2">
        <f>K567-N567</f>
        <v/>
      </c>
      <c r="P567" s="2">
        <f>I567-N567</f>
        <v/>
      </c>
      <c r="Q567" s="5">
        <f>IF(G567&gt;기준일,1,0)</f>
        <v/>
      </c>
      <c r="R567" s="5">
        <f>IF(G567&lt;=기준일,1,0)</f>
        <v/>
      </c>
      <c r="S567" s="2">
        <f>J567*H567</f>
        <v/>
      </c>
      <c r="T567" s="5">
        <f>IF(AND(F567&gt;=표본시작,F567&lt;=표본종료),1,0)</f>
        <v/>
      </c>
      <c r="U567" s="5">
        <f>IF(AND(G567&gt;=조회시작,G567&lt;=조회종료),1,0)</f>
        <v/>
      </c>
    </row>
    <row r="568">
      <c r="A568" s="2">
        <f>ROW()-1</f>
        <v/>
      </c>
      <c r="B568" s="5">
        <f>INDEX(상호범위,D568)</f>
        <v/>
      </c>
      <c r="C568" s="5">
        <f>INDEX(플랫폼명범위,E568)</f>
        <v/>
      </c>
      <c r="D568" s="2">
        <f>MOD(INT((A568-1)/4),8)+1</f>
        <v/>
      </c>
      <c r="E568" s="2">
        <f>MOD(A568-1,4)+1</f>
        <v/>
      </c>
      <c r="F568" s="20">
        <f>축시작+INT((A568-1)/32)</f>
        <v/>
      </c>
      <c r="G568" s="20">
        <f>F568+H568</f>
        <v/>
      </c>
      <c r="H568" s="5" t="n">
        <v>3</v>
      </c>
      <c r="I568" s="2">
        <f>ROUND(INDEX(가맹점!$P$2:$P$9,D568)*INDEX(가맹점!$J$2:$M$9,D568,E568),0)</f>
        <v/>
      </c>
      <c r="J568" s="2">
        <f>ROUND(I568*(1-할인율),0)</f>
        <v/>
      </c>
      <c r="K568" s="2">
        <f>ROUNDDOWN(I568*할인율,0)</f>
        <v/>
      </c>
      <c r="L568" s="2">
        <f>ROUND(I568*INDEX(미지급률범위,E568),0)</f>
        <v/>
      </c>
      <c r="M568" s="2">
        <f>ROUND(I568*INDEX(과지급률범위,E568),0)</f>
        <v/>
      </c>
      <c r="N568" s="2">
        <f>MAX(0,L568-M568)</f>
        <v/>
      </c>
      <c r="O568" s="2">
        <f>K568-N568</f>
        <v/>
      </c>
      <c r="P568" s="2">
        <f>I568-N568</f>
        <v/>
      </c>
      <c r="Q568" s="5">
        <f>IF(G568&gt;기준일,1,0)</f>
        <v/>
      </c>
      <c r="R568" s="5">
        <f>IF(G568&lt;=기준일,1,0)</f>
        <v/>
      </c>
      <c r="S568" s="2">
        <f>J568*H568</f>
        <v/>
      </c>
      <c r="T568" s="5">
        <f>IF(AND(F568&gt;=표본시작,F568&lt;=표본종료),1,0)</f>
        <v/>
      </c>
      <c r="U568" s="5">
        <f>IF(AND(G568&gt;=조회시작,G568&lt;=조회종료),1,0)</f>
        <v/>
      </c>
    </row>
    <row r="569">
      <c r="A569" s="2">
        <f>ROW()-1</f>
        <v/>
      </c>
      <c r="B569" s="5">
        <f>INDEX(상호범위,D569)</f>
        <v/>
      </c>
      <c r="C569" s="5">
        <f>INDEX(플랫폼명범위,E569)</f>
        <v/>
      </c>
      <c r="D569" s="2">
        <f>MOD(INT((A569-1)/4),8)+1</f>
        <v/>
      </c>
      <c r="E569" s="2">
        <f>MOD(A569-1,4)+1</f>
        <v/>
      </c>
      <c r="F569" s="20">
        <f>축시작+INT((A569-1)/32)</f>
        <v/>
      </c>
      <c r="G569" s="20">
        <f>F569+H569</f>
        <v/>
      </c>
      <c r="H569" s="5" t="n">
        <v>9</v>
      </c>
      <c r="I569" s="2">
        <f>ROUND(INDEX(가맹점!$P$2:$P$9,D569)*INDEX(가맹점!$J$2:$M$9,D569,E569),0)</f>
        <v/>
      </c>
      <c r="J569" s="2">
        <f>ROUND(I569*(1-할인율),0)</f>
        <v/>
      </c>
      <c r="K569" s="2">
        <f>ROUNDDOWN(I569*할인율,0)</f>
        <v/>
      </c>
      <c r="L569" s="2">
        <f>ROUND(I569*INDEX(미지급률범위,E569),0)</f>
        <v/>
      </c>
      <c r="M569" s="2">
        <f>ROUND(I569*INDEX(과지급률범위,E569),0)</f>
        <v/>
      </c>
      <c r="N569" s="2">
        <f>MAX(0,L569-M569)</f>
        <v/>
      </c>
      <c r="O569" s="2">
        <f>K569-N569</f>
        <v/>
      </c>
      <c r="P569" s="2">
        <f>I569-N569</f>
        <v/>
      </c>
      <c r="Q569" s="5">
        <f>IF(G569&gt;기준일,1,0)</f>
        <v/>
      </c>
      <c r="R569" s="5">
        <f>IF(G569&lt;=기준일,1,0)</f>
        <v/>
      </c>
      <c r="S569" s="2">
        <f>J569*H569</f>
        <v/>
      </c>
      <c r="T569" s="5">
        <f>IF(AND(F569&gt;=표본시작,F569&lt;=표본종료),1,0)</f>
        <v/>
      </c>
      <c r="U569" s="5">
        <f>IF(AND(G569&gt;=조회시작,G569&lt;=조회종료),1,0)</f>
        <v/>
      </c>
    </row>
    <row r="570">
      <c r="A570" s="2">
        <f>ROW()-1</f>
        <v/>
      </c>
      <c r="B570" s="5">
        <f>INDEX(상호범위,D570)</f>
        <v/>
      </c>
      <c r="C570" s="5">
        <f>INDEX(플랫폼명범위,E570)</f>
        <v/>
      </c>
      <c r="D570" s="2">
        <f>MOD(INT((A570-1)/4),8)+1</f>
        <v/>
      </c>
      <c r="E570" s="2">
        <f>MOD(A570-1,4)+1</f>
        <v/>
      </c>
      <c r="F570" s="20">
        <f>축시작+INT((A570-1)/32)</f>
        <v/>
      </c>
      <c r="G570" s="20">
        <f>F570+H570</f>
        <v/>
      </c>
      <c r="H570" s="5" t="n">
        <v>1</v>
      </c>
      <c r="I570" s="2">
        <f>ROUND(INDEX(가맹점!$P$2:$P$9,D570)*INDEX(가맹점!$J$2:$M$9,D570,E570),0)</f>
        <v/>
      </c>
      <c r="J570" s="2">
        <f>ROUND(I570*(1-할인율),0)</f>
        <v/>
      </c>
      <c r="K570" s="2">
        <f>ROUNDDOWN(I570*할인율,0)</f>
        <v/>
      </c>
      <c r="L570" s="2">
        <f>ROUND(I570*INDEX(미지급률범위,E570),0)</f>
        <v/>
      </c>
      <c r="M570" s="2">
        <f>ROUND(I570*INDEX(과지급률범위,E570),0)</f>
        <v/>
      </c>
      <c r="N570" s="2">
        <f>MAX(0,L570-M570)</f>
        <v/>
      </c>
      <c r="O570" s="2">
        <f>K570-N570</f>
        <v/>
      </c>
      <c r="P570" s="2">
        <f>I570-N570</f>
        <v/>
      </c>
      <c r="Q570" s="5">
        <f>IF(G570&gt;기준일,1,0)</f>
        <v/>
      </c>
      <c r="R570" s="5">
        <f>IF(G570&lt;=기준일,1,0)</f>
        <v/>
      </c>
      <c r="S570" s="2">
        <f>J570*H570</f>
        <v/>
      </c>
      <c r="T570" s="5">
        <f>IF(AND(F570&gt;=표본시작,F570&lt;=표본종료),1,0)</f>
        <v/>
      </c>
      <c r="U570" s="5">
        <f>IF(AND(G570&gt;=조회시작,G570&lt;=조회종료),1,0)</f>
        <v/>
      </c>
    </row>
    <row r="571">
      <c r="A571" s="2">
        <f>ROW()-1</f>
        <v/>
      </c>
      <c r="B571" s="5">
        <f>INDEX(상호범위,D571)</f>
        <v/>
      </c>
      <c r="C571" s="5">
        <f>INDEX(플랫폼명범위,E571)</f>
        <v/>
      </c>
      <c r="D571" s="2">
        <f>MOD(INT((A571-1)/4),8)+1</f>
        <v/>
      </c>
      <c r="E571" s="2">
        <f>MOD(A571-1,4)+1</f>
        <v/>
      </c>
      <c r="F571" s="20">
        <f>축시작+INT((A571-1)/32)</f>
        <v/>
      </c>
      <c r="G571" s="20">
        <f>F571+H571</f>
        <v/>
      </c>
      <c r="H571" s="5" t="n">
        <v>2</v>
      </c>
      <c r="I571" s="2">
        <f>ROUND(INDEX(가맹점!$P$2:$P$9,D571)*INDEX(가맹점!$J$2:$M$9,D571,E571),0)</f>
        <v/>
      </c>
      <c r="J571" s="2">
        <f>ROUND(I571*(1-할인율),0)</f>
        <v/>
      </c>
      <c r="K571" s="2">
        <f>ROUNDDOWN(I571*할인율,0)</f>
        <v/>
      </c>
      <c r="L571" s="2">
        <f>ROUND(I571*INDEX(미지급률범위,E571),0)</f>
        <v/>
      </c>
      <c r="M571" s="2">
        <f>ROUND(I571*INDEX(과지급률범위,E571),0)</f>
        <v/>
      </c>
      <c r="N571" s="2">
        <f>MAX(0,L571-M571)</f>
        <v/>
      </c>
      <c r="O571" s="2">
        <f>K571-N571</f>
        <v/>
      </c>
      <c r="P571" s="2">
        <f>I571-N571</f>
        <v/>
      </c>
      <c r="Q571" s="5">
        <f>IF(G571&gt;기준일,1,0)</f>
        <v/>
      </c>
      <c r="R571" s="5">
        <f>IF(G571&lt;=기준일,1,0)</f>
        <v/>
      </c>
      <c r="S571" s="2">
        <f>J571*H571</f>
        <v/>
      </c>
      <c r="T571" s="5">
        <f>IF(AND(F571&gt;=표본시작,F571&lt;=표본종료),1,0)</f>
        <v/>
      </c>
      <c r="U571" s="5">
        <f>IF(AND(G571&gt;=조회시작,G571&lt;=조회종료),1,0)</f>
        <v/>
      </c>
    </row>
    <row r="572">
      <c r="A572" s="2">
        <f>ROW()-1</f>
        <v/>
      </c>
      <c r="B572" s="5">
        <f>INDEX(상호범위,D572)</f>
        <v/>
      </c>
      <c r="C572" s="5">
        <f>INDEX(플랫폼명범위,E572)</f>
        <v/>
      </c>
      <c r="D572" s="2">
        <f>MOD(INT((A572-1)/4),8)+1</f>
        <v/>
      </c>
      <c r="E572" s="2">
        <f>MOD(A572-1,4)+1</f>
        <v/>
      </c>
      <c r="F572" s="20">
        <f>축시작+INT((A572-1)/32)</f>
        <v/>
      </c>
      <c r="G572" s="20">
        <f>F572+H572</f>
        <v/>
      </c>
      <c r="H572" s="5" t="n">
        <v>4</v>
      </c>
      <c r="I572" s="2">
        <f>ROUND(INDEX(가맹점!$P$2:$P$9,D572)*INDEX(가맹점!$J$2:$M$9,D572,E572),0)</f>
        <v/>
      </c>
      <c r="J572" s="2">
        <f>ROUND(I572*(1-할인율),0)</f>
        <v/>
      </c>
      <c r="K572" s="2">
        <f>ROUNDDOWN(I572*할인율,0)</f>
        <v/>
      </c>
      <c r="L572" s="2">
        <f>ROUND(I572*INDEX(미지급률범위,E572),0)</f>
        <v/>
      </c>
      <c r="M572" s="2">
        <f>ROUND(I572*INDEX(과지급률범위,E572),0)</f>
        <v/>
      </c>
      <c r="N572" s="2">
        <f>MAX(0,L572-M572)</f>
        <v/>
      </c>
      <c r="O572" s="2">
        <f>K572-N572</f>
        <v/>
      </c>
      <c r="P572" s="2">
        <f>I572-N572</f>
        <v/>
      </c>
      <c r="Q572" s="5">
        <f>IF(G572&gt;기준일,1,0)</f>
        <v/>
      </c>
      <c r="R572" s="5">
        <f>IF(G572&lt;=기준일,1,0)</f>
        <v/>
      </c>
      <c r="S572" s="2">
        <f>J572*H572</f>
        <v/>
      </c>
      <c r="T572" s="5">
        <f>IF(AND(F572&gt;=표본시작,F572&lt;=표본종료),1,0)</f>
        <v/>
      </c>
      <c r="U572" s="5">
        <f>IF(AND(G572&gt;=조회시작,G572&lt;=조회종료),1,0)</f>
        <v/>
      </c>
    </row>
    <row r="573">
      <c r="A573" s="2">
        <f>ROW()-1</f>
        <v/>
      </c>
      <c r="B573" s="5">
        <f>INDEX(상호범위,D573)</f>
        <v/>
      </c>
      <c r="C573" s="5">
        <f>INDEX(플랫폼명범위,E573)</f>
        <v/>
      </c>
      <c r="D573" s="2">
        <f>MOD(INT((A573-1)/4),8)+1</f>
        <v/>
      </c>
      <c r="E573" s="2">
        <f>MOD(A573-1,4)+1</f>
        <v/>
      </c>
      <c r="F573" s="20">
        <f>축시작+INT((A573-1)/32)</f>
        <v/>
      </c>
      <c r="G573" s="20">
        <f>F573+H573</f>
        <v/>
      </c>
      <c r="H573" s="5" t="n">
        <v>6</v>
      </c>
      <c r="I573" s="2">
        <f>ROUND(INDEX(가맹점!$P$2:$P$9,D573)*INDEX(가맹점!$J$2:$M$9,D573,E573),0)</f>
        <v/>
      </c>
      <c r="J573" s="2">
        <f>ROUND(I573*(1-할인율),0)</f>
        <v/>
      </c>
      <c r="K573" s="2">
        <f>ROUNDDOWN(I573*할인율,0)</f>
        <v/>
      </c>
      <c r="L573" s="2">
        <f>ROUND(I573*INDEX(미지급률범위,E573),0)</f>
        <v/>
      </c>
      <c r="M573" s="2">
        <f>ROUND(I573*INDEX(과지급률범위,E573),0)</f>
        <v/>
      </c>
      <c r="N573" s="2">
        <f>MAX(0,L573-M573)</f>
        <v/>
      </c>
      <c r="O573" s="2">
        <f>K573-N573</f>
        <v/>
      </c>
      <c r="P573" s="2">
        <f>I573-N573</f>
        <v/>
      </c>
      <c r="Q573" s="5">
        <f>IF(G573&gt;기준일,1,0)</f>
        <v/>
      </c>
      <c r="R573" s="5">
        <f>IF(G573&lt;=기준일,1,0)</f>
        <v/>
      </c>
      <c r="S573" s="2">
        <f>J573*H573</f>
        <v/>
      </c>
      <c r="T573" s="5">
        <f>IF(AND(F573&gt;=표본시작,F573&lt;=표본종료),1,0)</f>
        <v/>
      </c>
      <c r="U573" s="5">
        <f>IF(AND(G573&gt;=조회시작,G573&lt;=조회종료),1,0)</f>
        <v/>
      </c>
    </row>
    <row r="574">
      <c r="A574" s="2">
        <f>ROW()-1</f>
        <v/>
      </c>
      <c r="B574" s="5">
        <f>INDEX(상호범위,D574)</f>
        <v/>
      </c>
      <c r="C574" s="5">
        <f>INDEX(플랫폼명범위,E574)</f>
        <v/>
      </c>
      <c r="D574" s="2">
        <f>MOD(INT((A574-1)/4),8)+1</f>
        <v/>
      </c>
      <c r="E574" s="2">
        <f>MOD(A574-1,4)+1</f>
        <v/>
      </c>
      <c r="F574" s="20">
        <f>축시작+INT((A574-1)/32)</f>
        <v/>
      </c>
      <c r="G574" s="20">
        <f>F574+H574</f>
        <v/>
      </c>
      <c r="H574" s="5" t="n">
        <v>1</v>
      </c>
      <c r="I574" s="2">
        <f>ROUND(INDEX(가맹점!$P$2:$P$9,D574)*INDEX(가맹점!$J$2:$M$9,D574,E574),0)</f>
        <v/>
      </c>
      <c r="J574" s="2">
        <f>ROUND(I574*(1-할인율),0)</f>
        <v/>
      </c>
      <c r="K574" s="2">
        <f>ROUNDDOWN(I574*할인율,0)</f>
        <v/>
      </c>
      <c r="L574" s="2">
        <f>ROUND(I574*INDEX(미지급률범위,E574),0)</f>
        <v/>
      </c>
      <c r="M574" s="2">
        <f>ROUND(I574*INDEX(과지급률범위,E574),0)</f>
        <v/>
      </c>
      <c r="N574" s="2">
        <f>MAX(0,L574-M574)</f>
        <v/>
      </c>
      <c r="O574" s="2">
        <f>K574-N574</f>
        <v/>
      </c>
      <c r="P574" s="2">
        <f>I574-N574</f>
        <v/>
      </c>
      <c r="Q574" s="5">
        <f>IF(G574&gt;기준일,1,0)</f>
        <v/>
      </c>
      <c r="R574" s="5">
        <f>IF(G574&lt;=기준일,1,0)</f>
        <v/>
      </c>
      <c r="S574" s="2">
        <f>J574*H574</f>
        <v/>
      </c>
      <c r="T574" s="5">
        <f>IF(AND(F574&gt;=표본시작,F574&lt;=표본종료),1,0)</f>
        <v/>
      </c>
      <c r="U574" s="5">
        <f>IF(AND(G574&gt;=조회시작,G574&lt;=조회종료),1,0)</f>
        <v/>
      </c>
    </row>
    <row r="575">
      <c r="A575" s="2">
        <f>ROW()-1</f>
        <v/>
      </c>
      <c r="B575" s="5">
        <f>INDEX(상호범위,D575)</f>
        <v/>
      </c>
      <c r="C575" s="5">
        <f>INDEX(플랫폼명범위,E575)</f>
        <v/>
      </c>
      <c r="D575" s="2">
        <f>MOD(INT((A575-1)/4),8)+1</f>
        <v/>
      </c>
      <c r="E575" s="2">
        <f>MOD(A575-1,4)+1</f>
        <v/>
      </c>
      <c r="F575" s="20">
        <f>축시작+INT((A575-1)/32)</f>
        <v/>
      </c>
      <c r="G575" s="20">
        <f>F575+H575</f>
        <v/>
      </c>
      <c r="H575" s="5" t="n">
        <v>2</v>
      </c>
      <c r="I575" s="2">
        <f>ROUND(INDEX(가맹점!$P$2:$P$9,D575)*INDEX(가맹점!$J$2:$M$9,D575,E575),0)</f>
        <v/>
      </c>
      <c r="J575" s="2">
        <f>ROUND(I575*(1-할인율),0)</f>
        <v/>
      </c>
      <c r="K575" s="2">
        <f>ROUNDDOWN(I575*할인율,0)</f>
        <v/>
      </c>
      <c r="L575" s="2">
        <f>ROUND(I575*INDEX(미지급률범위,E575),0)</f>
        <v/>
      </c>
      <c r="M575" s="2">
        <f>ROUND(I575*INDEX(과지급률범위,E575),0)</f>
        <v/>
      </c>
      <c r="N575" s="2">
        <f>MAX(0,L575-M575)</f>
        <v/>
      </c>
      <c r="O575" s="2">
        <f>K575-N575</f>
        <v/>
      </c>
      <c r="P575" s="2">
        <f>I575-N575</f>
        <v/>
      </c>
      <c r="Q575" s="5">
        <f>IF(G575&gt;기준일,1,0)</f>
        <v/>
      </c>
      <c r="R575" s="5">
        <f>IF(G575&lt;=기준일,1,0)</f>
        <v/>
      </c>
      <c r="S575" s="2">
        <f>J575*H575</f>
        <v/>
      </c>
      <c r="T575" s="5">
        <f>IF(AND(F575&gt;=표본시작,F575&lt;=표본종료),1,0)</f>
        <v/>
      </c>
      <c r="U575" s="5">
        <f>IF(AND(G575&gt;=조회시작,G575&lt;=조회종료),1,0)</f>
        <v/>
      </c>
    </row>
    <row r="576">
      <c r="A576" s="2">
        <f>ROW()-1</f>
        <v/>
      </c>
      <c r="B576" s="5">
        <f>INDEX(상호범위,D576)</f>
        <v/>
      </c>
      <c r="C576" s="5">
        <f>INDEX(플랫폼명범위,E576)</f>
        <v/>
      </c>
      <c r="D576" s="2">
        <f>MOD(INT((A576-1)/4),8)+1</f>
        <v/>
      </c>
      <c r="E576" s="2">
        <f>MOD(A576-1,4)+1</f>
        <v/>
      </c>
      <c r="F576" s="20">
        <f>축시작+INT((A576-1)/32)</f>
        <v/>
      </c>
      <c r="G576" s="20">
        <f>F576+H576</f>
        <v/>
      </c>
      <c r="H576" s="5" t="n">
        <v>5</v>
      </c>
      <c r="I576" s="2">
        <f>ROUND(INDEX(가맹점!$P$2:$P$9,D576)*INDEX(가맹점!$J$2:$M$9,D576,E576),0)</f>
        <v/>
      </c>
      <c r="J576" s="2">
        <f>ROUND(I576*(1-할인율),0)</f>
        <v/>
      </c>
      <c r="K576" s="2">
        <f>ROUNDDOWN(I576*할인율,0)</f>
        <v/>
      </c>
      <c r="L576" s="2">
        <f>ROUND(I576*INDEX(미지급률범위,E576),0)</f>
        <v/>
      </c>
      <c r="M576" s="2">
        <f>ROUND(I576*INDEX(과지급률범위,E576),0)</f>
        <v/>
      </c>
      <c r="N576" s="2">
        <f>MAX(0,L576-M576)</f>
        <v/>
      </c>
      <c r="O576" s="2">
        <f>K576-N576</f>
        <v/>
      </c>
      <c r="P576" s="2">
        <f>I576-N576</f>
        <v/>
      </c>
      <c r="Q576" s="5">
        <f>IF(G576&gt;기준일,1,0)</f>
        <v/>
      </c>
      <c r="R576" s="5">
        <f>IF(G576&lt;=기준일,1,0)</f>
        <v/>
      </c>
      <c r="S576" s="2">
        <f>J576*H576</f>
        <v/>
      </c>
      <c r="T576" s="5">
        <f>IF(AND(F576&gt;=표본시작,F576&lt;=표본종료),1,0)</f>
        <v/>
      </c>
      <c r="U576" s="5">
        <f>IF(AND(G576&gt;=조회시작,G576&lt;=조회종료),1,0)</f>
        <v/>
      </c>
    </row>
    <row r="577">
      <c r="A577" s="2">
        <f>ROW()-1</f>
        <v/>
      </c>
      <c r="B577" s="5">
        <f>INDEX(상호범위,D577)</f>
        <v/>
      </c>
      <c r="C577" s="5">
        <f>INDEX(플랫폼명범위,E577)</f>
        <v/>
      </c>
      <c r="D577" s="2">
        <f>MOD(INT((A577-1)/4),8)+1</f>
        <v/>
      </c>
      <c r="E577" s="2">
        <f>MOD(A577-1,4)+1</f>
        <v/>
      </c>
      <c r="F577" s="20">
        <f>축시작+INT((A577-1)/32)</f>
        <v/>
      </c>
      <c r="G577" s="20">
        <f>F577+H577</f>
        <v/>
      </c>
      <c r="H577" s="5" t="n">
        <v>6</v>
      </c>
      <c r="I577" s="2">
        <f>ROUND(INDEX(가맹점!$P$2:$P$9,D577)*INDEX(가맹점!$J$2:$M$9,D577,E577),0)</f>
        <v/>
      </c>
      <c r="J577" s="2">
        <f>ROUND(I577*(1-할인율),0)</f>
        <v/>
      </c>
      <c r="K577" s="2">
        <f>ROUNDDOWN(I577*할인율,0)</f>
        <v/>
      </c>
      <c r="L577" s="2">
        <f>ROUND(I577*INDEX(미지급률범위,E577),0)</f>
        <v/>
      </c>
      <c r="M577" s="2">
        <f>ROUND(I577*INDEX(과지급률범위,E577),0)</f>
        <v/>
      </c>
      <c r="N577" s="2">
        <f>MAX(0,L577-M577)</f>
        <v/>
      </c>
      <c r="O577" s="2">
        <f>K577-N577</f>
        <v/>
      </c>
      <c r="P577" s="2">
        <f>I577-N577</f>
        <v/>
      </c>
      <c r="Q577" s="5">
        <f>IF(G577&gt;기준일,1,0)</f>
        <v/>
      </c>
      <c r="R577" s="5">
        <f>IF(G577&lt;=기준일,1,0)</f>
        <v/>
      </c>
      <c r="S577" s="2">
        <f>J577*H577</f>
        <v/>
      </c>
      <c r="T577" s="5">
        <f>IF(AND(F577&gt;=표본시작,F577&lt;=표본종료),1,0)</f>
        <v/>
      </c>
      <c r="U577" s="5">
        <f>IF(AND(G577&gt;=조회시작,G577&lt;=조회종료),1,0)</f>
        <v/>
      </c>
    </row>
    <row r="578">
      <c r="A578" s="2">
        <f>ROW()-1</f>
        <v/>
      </c>
      <c r="B578" s="5">
        <f>INDEX(상호범위,D578)</f>
        <v/>
      </c>
      <c r="C578" s="5">
        <f>INDEX(플랫폼명범위,E578)</f>
        <v/>
      </c>
      <c r="D578" s="2">
        <f>MOD(INT((A578-1)/4),8)+1</f>
        <v/>
      </c>
      <c r="E578" s="2">
        <f>MOD(A578-1,4)+1</f>
        <v/>
      </c>
      <c r="F578" s="20">
        <f>축시작+INT((A578-1)/32)</f>
        <v/>
      </c>
      <c r="G578" s="20">
        <f>F578+H578</f>
        <v/>
      </c>
      <c r="H578" s="5" t="n">
        <v>1</v>
      </c>
      <c r="I578" s="2">
        <f>ROUND(INDEX(가맹점!$P$2:$P$9,D578)*INDEX(가맹점!$J$2:$M$9,D578,E578),0)</f>
        <v/>
      </c>
      <c r="J578" s="2">
        <f>ROUND(I578*(1-할인율),0)</f>
        <v/>
      </c>
      <c r="K578" s="2">
        <f>ROUNDDOWN(I578*할인율,0)</f>
        <v/>
      </c>
      <c r="L578" s="2">
        <f>ROUND(I578*INDEX(미지급률범위,E578),0)</f>
        <v/>
      </c>
      <c r="M578" s="2">
        <f>ROUND(I578*INDEX(과지급률범위,E578),0)</f>
        <v/>
      </c>
      <c r="N578" s="2">
        <f>MAX(0,L578-M578)</f>
        <v/>
      </c>
      <c r="O578" s="2">
        <f>K578-N578</f>
        <v/>
      </c>
      <c r="P578" s="2">
        <f>I578-N578</f>
        <v/>
      </c>
      <c r="Q578" s="5">
        <f>IF(G578&gt;기준일,1,0)</f>
        <v/>
      </c>
      <c r="R578" s="5">
        <f>IF(G578&lt;=기준일,1,0)</f>
        <v/>
      </c>
      <c r="S578" s="2">
        <f>J578*H578</f>
        <v/>
      </c>
      <c r="T578" s="5">
        <f>IF(AND(F578&gt;=표본시작,F578&lt;=표본종료),1,0)</f>
        <v/>
      </c>
      <c r="U578" s="5">
        <f>IF(AND(G578&gt;=조회시작,G578&lt;=조회종료),1,0)</f>
        <v/>
      </c>
    </row>
    <row r="579">
      <c r="A579" s="2">
        <f>ROW()-1</f>
        <v/>
      </c>
      <c r="B579" s="5">
        <f>INDEX(상호범위,D579)</f>
        <v/>
      </c>
      <c r="C579" s="5">
        <f>INDEX(플랫폼명범위,E579)</f>
        <v/>
      </c>
      <c r="D579" s="2">
        <f>MOD(INT((A579-1)/4),8)+1</f>
        <v/>
      </c>
      <c r="E579" s="2">
        <f>MOD(A579-1,4)+1</f>
        <v/>
      </c>
      <c r="F579" s="20">
        <f>축시작+INT((A579-1)/32)</f>
        <v/>
      </c>
      <c r="G579" s="20">
        <f>F579+H579</f>
        <v/>
      </c>
      <c r="H579" s="5" t="n">
        <v>2</v>
      </c>
      <c r="I579" s="2">
        <f>ROUND(INDEX(가맹점!$P$2:$P$9,D579)*INDEX(가맹점!$J$2:$M$9,D579,E579),0)</f>
        <v/>
      </c>
      <c r="J579" s="2">
        <f>ROUND(I579*(1-할인율),0)</f>
        <v/>
      </c>
      <c r="K579" s="2">
        <f>ROUNDDOWN(I579*할인율,0)</f>
        <v/>
      </c>
      <c r="L579" s="2">
        <f>ROUND(I579*INDEX(미지급률범위,E579),0)</f>
        <v/>
      </c>
      <c r="M579" s="2">
        <f>ROUND(I579*INDEX(과지급률범위,E579),0)</f>
        <v/>
      </c>
      <c r="N579" s="2">
        <f>MAX(0,L579-M579)</f>
        <v/>
      </c>
      <c r="O579" s="2">
        <f>K579-N579</f>
        <v/>
      </c>
      <c r="P579" s="2">
        <f>I579-N579</f>
        <v/>
      </c>
      <c r="Q579" s="5">
        <f>IF(G579&gt;기준일,1,0)</f>
        <v/>
      </c>
      <c r="R579" s="5">
        <f>IF(G579&lt;=기준일,1,0)</f>
        <v/>
      </c>
      <c r="S579" s="2">
        <f>J579*H579</f>
        <v/>
      </c>
      <c r="T579" s="5">
        <f>IF(AND(F579&gt;=표본시작,F579&lt;=표본종료),1,0)</f>
        <v/>
      </c>
      <c r="U579" s="5">
        <f>IF(AND(G579&gt;=조회시작,G579&lt;=조회종료),1,0)</f>
        <v/>
      </c>
    </row>
    <row r="580">
      <c r="A580" s="2">
        <f>ROW()-1</f>
        <v/>
      </c>
      <c r="B580" s="5">
        <f>INDEX(상호범위,D580)</f>
        <v/>
      </c>
      <c r="C580" s="5">
        <f>INDEX(플랫폼명범위,E580)</f>
        <v/>
      </c>
      <c r="D580" s="2">
        <f>MOD(INT((A580-1)/4),8)+1</f>
        <v/>
      </c>
      <c r="E580" s="2">
        <f>MOD(A580-1,4)+1</f>
        <v/>
      </c>
      <c r="F580" s="20">
        <f>축시작+INT((A580-1)/32)</f>
        <v/>
      </c>
      <c r="G580" s="20">
        <f>F580+H580</f>
        <v/>
      </c>
      <c r="H580" s="5" t="n">
        <v>7</v>
      </c>
      <c r="I580" s="2">
        <f>ROUND(INDEX(가맹점!$P$2:$P$9,D580)*INDEX(가맹점!$J$2:$M$9,D580,E580),0)</f>
        <v/>
      </c>
      <c r="J580" s="2">
        <f>ROUND(I580*(1-할인율),0)</f>
        <v/>
      </c>
      <c r="K580" s="2">
        <f>ROUNDDOWN(I580*할인율,0)</f>
        <v/>
      </c>
      <c r="L580" s="2">
        <f>ROUND(I580*INDEX(미지급률범위,E580),0)</f>
        <v/>
      </c>
      <c r="M580" s="2">
        <f>ROUND(I580*INDEX(과지급률범위,E580),0)</f>
        <v/>
      </c>
      <c r="N580" s="2">
        <f>MAX(0,L580-M580)</f>
        <v/>
      </c>
      <c r="O580" s="2">
        <f>K580-N580</f>
        <v/>
      </c>
      <c r="P580" s="2">
        <f>I580-N580</f>
        <v/>
      </c>
      <c r="Q580" s="5">
        <f>IF(G580&gt;기준일,1,0)</f>
        <v/>
      </c>
      <c r="R580" s="5">
        <f>IF(G580&lt;=기준일,1,0)</f>
        <v/>
      </c>
      <c r="S580" s="2">
        <f>J580*H580</f>
        <v/>
      </c>
      <c r="T580" s="5">
        <f>IF(AND(F580&gt;=표본시작,F580&lt;=표본종료),1,0)</f>
        <v/>
      </c>
      <c r="U580" s="5">
        <f>IF(AND(G580&gt;=조회시작,G580&lt;=조회종료),1,0)</f>
        <v/>
      </c>
    </row>
    <row r="581">
      <c r="A581" s="2">
        <f>ROW()-1</f>
        <v/>
      </c>
      <c r="B581" s="5">
        <f>INDEX(상호범위,D581)</f>
        <v/>
      </c>
      <c r="C581" s="5">
        <f>INDEX(플랫폼명범위,E581)</f>
        <v/>
      </c>
      <c r="D581" s="2">
        <f>MOD(INT((A581-1)/4),8)+1</f>
        <v/>
      </c>
      <c r="E581" s="2">
        <f>MOD(A581-1,4)+1</f>
        <v/>
      </c>
      <c r="F581" s="20">
        <f>축시작+INT((A581-1)/32)</f>
        <v/>
      </c>
      <c r="G581" s="20">
        <f>F581+H581</f>
        <v/>
      </c>
      <c r="H581" s="5" t="n">
        <v>6</v>
      </c>
      <c r="I581" s="2">
        <f>ROUND(INDEX(가맹점!$P$2:$P$9,D581)*INDEX(가맹점!$J$2:$M$9,D581,E581),0)</f>
        <v/>
      </c>
      <c r="J581" s="2">
        <f>ROUND(I581*(1-할인율),0)</f>
        <v/>
      </c>
      <c r="K581" s="2">
        <f>ROUNDDOWN(I581*할인율,0)</f>
        <v/>
      </c>
      <c r="L581" s="2">
        <f>ROUND(I581*INDEX(미지급률범위,E581),0)</f>
        <v/>
      </c>
      <c r="M581" s="2">
        <f>ROUND(I581*INDEX(과지급률범위,E581),0)</f>
        <v/>
      </c>
      <c r="N581" s="2">
        <f>MAX(0,L581-M581)</f>
        <v/>
      </c>
      <c r="O581" s="2">
        <f>K581-N581</f>
        <v/>
      </c>
      <c r="P581" s="2">
        <f>I581-N581</f>
        <v/>
      </c>
      <c r="Q581" s="5">
        <f>IF(G581&gt;기준일,1,0)</f>
        <v/>
      </c>
      <c r="R581" s="5">
        <f>IF(G581&lt;=기준일,1,0)</f>
        <v/>
      </c>
      <c r="S581" s="2">
        <f>J581*H581</f>
        <v/>
      </c>
      <c r="T581" s="5">
        <f>IF(AND(F581&gt;=표본시작,F581&lt;=표본종료),1,0)</f>
        <v/>
      </c>
      <c r="U581" s="5">
        <f>IF(AND(G581&gt;=조회시작,G581&lt;=조회종료),1,0)</f>
        <v/>
      </c>
    </row>
    <row r="582">
      <c r="A582" s="2">
        <f>ROW()-1</f>
        <v/>
      </c>
      <c r="B582" s="5">
        <f>INDEX(상호범위,D582)</f>
        <v/>
      </c>
      <c r="C582" s="5">
        <f>INDEX(플랫폼명범위,E582)</f>
        <v/>
      </c>
      <c r="D582" s="2">
        <f>MOD(INT((A582-1)/4),8)+1</f>
        <v/>
      </c>
      <c r="E582" s="2">
        <f>MOD(A582-1,4)+1</f>
        <v/>
      </c>
      <c r="F582" s="20">
        <f>축시작+INT((A582-1)/32)</f>
        <v/>
      </c>
      <c r="G582" s="20">
        <f>F582+H582</f>
        <v/>
      </c>
      <c r="H582" s="5" t="n">
        <v>2</v>
      </c>
      <c r="I582" s="2">
        <f>ROUND(INDEX(가맹점!$P$2:$P$9,D582)*INDEX(가맹점!$J$2:$M$9,D582,E582),0)</f>
        <v/>
      </c>
      <c r="J582" s="2">
        <f>ROUND(I582*(1-할인율),0)</f>
        <v/>
      </c>
      <c r="K582" s="2">
        <f>ROUNDDOWN(I582*할인율,0)</f>
        <v/>
      </c>
      <c r="L582" s="2">
        <f>ROUND(I582*INDEX(미지급률범위,E582),0)</f>
        <v/>
      </c>
      <c r="M582" s="2">
        <f>ROUND(I582*INDEX(과지급률범위,E582),0)</f>
        <v/>
      </c>
      <c r="N582" s="2">
        <f>MAX(0,L582-M582)</f>
        <v/>
      </c>
      <c r="O582" s="2">
        <f>K582-N582</f>
        <v/>
      </c>
      <c r="P582" s="2">
        <f>I582-N582</f>
        <v/>
      </c>
      <c r="Q582" s="5">
        <f>IF(G582&gt;기준일,1,0)</f>
        <v/>
      </c>
      <c r="R582" s="5">
        <f>IF(G582&lt;=기준일,1,0)</f>
        <v/>
      </c>
      <c r="S582" s="2">
        <f>J582*H582</f>
        <v/>
      </c>
      <c r="T582" s="5">
        <f>IF(AND(F582&gt;=표본시작,F582&lt;=표본종료),1,0)</f>
        <v/>
      </c>
      <c r="U582" s="5">
        <f>IF(AND(G582&gt;=조회시작,G582&lt;=조회종료),1,0)</f>
        <v/>
      </c>
    </row>
    <row r="583">
      <c r="A583" s="2">
        <f>ROW()-1</f>
        <v/>
      </c>
      <c r="B583" s="5">
        <f>INDEX(상호범위,D583)</f>
        <v/>
      </c>
      <c r="C583" s="5">
        <f>INDEX(플랫폼명범위,E583)</f>
        <v/>
      </c>
      <c r="D583" s="2">
        <f>MOD(INT((A583-1)/4),8)+1</f>
        <v/>
      </c>
      <c r="E583" s="2">
        <f>MOD(A583-1,4)+1</f>
        <v/>
      </c>
      <c r="F583" s="20">
        <f>축시작+INT((A583-1)/32)</f>
        <v/>
      </c>
      <c r="G583" s="20">
        <f>F583+H583</f>
        <v/>
      </c>
      <c r="H583" s="5" t="n">
        <v>4</v>
      </c>
      <c r="I583" s="2">
        <f>ROUND(INDEX(가맹점!$P$2:$P$9,D583)*INDEX(가맹점!$J$2:$M$9,D583,E583),0)</f>
        <v/>
      </c>
      <c r="J583" s="2">
        <f>ROUND(I583*(1-할인율),0)</f>
        <v/>
      </c>
      <c r="K583" s="2">
        <f>ROUNDDOWN(I583*할인율,0)</f>
        <v/>
      </c>
      <c r="L583" s="2">
        <f>ROUND(I583*INDEX(미지급률범위,E583),0)</f>
        <v/>
      </c>
      <c r="M583" s="2">
        <f>ROUND(I583*INDEX(과지급률범위,E583),0)</f>
        <v/>
      </c>
      <c r="N583" s="2">
        <f>MAX(0,L583-M583)</f>
        <v/>
      </c>
      <c r="O583" s="2">
        <f>K583-N583</f>
        <v/>
      </c>
      <c r="P583" s="2">
        <f>I583-N583</f>
        <v/>
      </c>
      <c r="Q583" s="5">
        <f>IF(G583&gt;기준일,1,0)</f>
        <v/>
      </c>
      <c r="R583" s="5">
        <f>IF(G583&lt;=기준일,1,0)</f>
        <v/>
      </c>
      <c r="S583" s="2">
        <f>J583*H583</f>
        <v/>
      </c>
      <c r="T583" s="5">
        <f>IF(AND(F583&gt;=표본시작,F583&lt;=표본종료),1,0)</f>
        <v/>
      </c>
      <c r="U583" s="5">
        <f>IF(AND(G583&gt;=조회시작,G583&lt;=조회종료),1,0)</f>
        <v/>
      </c>
    </row>
    <row r="584">
      <c r="A584" s="2">
        <f>ROW()-1</f>
        <v/>
      </c>
      <c r="B584" s="5">
        <f>INDEX(상호범위,D584)</f>
        <v/>
      </c>
      <c r="C584" s="5">
        <f>INDEX(플랫폼명범위,E584)</f>
        <v/>
      </c>
      <c r="D584" s="2">
        <f>MOD(INT((A584-1)/4),8)+1</f>
        <v/>
      </c>
      <c r="E584" s="2">
        <f>MOD(A584-1,4)+1</f>
        <v/>
      </c>
      <c r="F584" s="20">
        <f>축시작+INT((A584-1)/32)</f>
        <v/>
      </c>
      <c r="G584" s="20">
        <f>F584+H584</f>
        <v/>
      </c>
      <c r="H584" s="5" t="n">
        <v>5</v>
      </c>
      <c r="I584" s="2">
        <f>ROUND(INDEX(가맹점!$P$2:$P$9,D584)*INDEX(가맹점!$J$2:$M$9,D584,E584),0)</f>
        <v/>
      </c>
      <c r="J584" s="2">
        <f>ROUND(I584*(1-할인율),0)</f>
        <v/>
      </c>
      <c r="K584" s="2">
        <f>ROUNDDOWN(I584*할인율,0)</f>
        <v/>
      </c>
      <c r="L584" s="2">
        <f>ROUND(I584*INDEX(미지급률범위,E584),0)</f>
        <v/>
      </c>
      <c r="M584" s="2">
        <f>ROUND(I584*INDEX(과지급률범위,E584),0)</f>
        <v/>
      </c>
      <c r="N584" s="2">
        <f>MAX(0,L584-M584)</f>
        <v/>
      </c>
      <c r="O584" s="2">
        <f>K584-N584</f>
        <v/>
      </c>
      <c r="P584" s="2">
        <f>I584-N584</f>
        <v/>
      </c>
      <c r="Q584" s="5">
        <f>IF(G584&gt;기준일,1,0)</f>
        <v/>
      </c>
      <c r="R584" s="5">
        <f>IF(G584&lt;=기준일,1,0)</f>
        <v/>
      </c>
      <c r="S584" s="2">
        <f>J584*H584</f>
        <v/>
      </c>
      <c r="T584" s="5">
        <f>IF(AND(F584&gt;=표본시작,F584&lt;=표본종료),1,0)</f>
        <v/>
      </c>
      <c r="U584" s="5">
        <f>IF(AND(G584&gt;=조회시작,G584&lt;=조회종료),1,0)</f>
        <v/>
      </c>
    </row>
    <row r="585">
      <c r="A585" s="2">
        <f>ROW()-1</f>
        <v/>
      </c>
      <c r="B585" s="5">
        <f>INDEX(상호범위,D585)</f>
        <v/>
      </c>
      <c r="C585" s="5">
        <f>INDEX(플랫폼명범위,E585)</f>
        <v/>
      </c>
      <c r="D585" s="2">
        <f>MOD(INT((A585-1)/4),8)+1</f>
        <v/>
      </c>
      <c r="E585" s="2">
        <f>MOD(A585-1,4)+1</f>
        <v/>
      </c>
      <c r="F585" s="20">
        <f>축시작+INT((A585-1)/32)</f>
        <v/>
      </c>
      <c r="G585" s="20">
        <f>F585+H585</f>
        <v/>
      </c>
      <c r="H585" s="5" t="n">
        <v>4</v>
      </c>
      <c r="I585" s="2">
        <f>ROUND(INDEX(가맹점!$P$2:$P$9,D585)*INDEX(가맹점!$J$2:$M$9,D585,E585),0)</f>
        <v/>
      </c>
      <c r="J585" s="2">
        <f>ROUND(I585*(1-할인율),0)</f>
        <v/>
      </c>
      <c r="K585" s="2">
        <f>ROUNDDOWN(I585*할인율,0)</f>
        <v/>
      </c>
      <c r="L585" s="2">
        <f>ROUND(I585*INDEX(미지급률범위,E585),0)</f>
        <v/>
      </c>
      <c r="M585" s="2">
        <f>ROUND(I585*INDEX(과지급률범위,E585),0)</f>
        <v/>
      </c>
      <c r="N585" s="2">
        <f>MAX(0,L585-M585)</f>
        <v/>
      </c>
      <c r="O585" s="2">
        <f>K585-N585</f>
        <v/>
      </c>
      <c r="P585" s="2">
        <f>I585-N585</f>
        <v/>
      </c>
      <c r="Q585" s="5">
        <f>IF(G585&gt;기준일,1,0)</f>
        <v/>
      </c>
      <c r="R585" s="5">
        <f>IF(G585&lt;=기준일,1,0)</f>
        <v/>
      </c>
      <c r="S585" s="2">
        <f>J585*H585</f>
        <v/>
      </c>
      <c r="T585" s="5">
        <f>IF(AND(F585&gt;=표본시작,F585&lt;=표본종료),1,0)</f>
        <v/>
      </c>
      <c r="U585" s="5">
        <f>IF(AND(G585&gt;=조회시작,G585&lt;=조회종료),1,0)</f>
        <v/>
      </c>
    </row>
    <row r="586">
      <c r="A586" s="2">
        <f>ROW()-1</f>
        <v/>
      </c>
      <c r="B586" s="5">
        <f>INDEX(상호범위,D586)</f>
        <v/>
      </c>
      <c r="C586" s="5">
        <f>INDEX(플랫폼명범위,E586)</f>
        <v/>
      </c>
      <c r="D586" s="2">
        <f>MOD(INT((A586-1)/4),8)+1</f>
        <v/>
      </c>
      <c r="E586" s="2">
        <f>MOD(A586-1,4)+1</f>
        <v/>
      </c>
      <c r="F586" s="20">
        <f>축시작+INT((A586-1)/32)</f>
        <v/>
      </c>
      <c r="G586" s="20">
        <f>F586+H586</f>
        <v/>
      </c>
      <c r="H586" s="5" t="n">
        <v>1</v>
      </c>
      <c r="I586" s="2">
        <f>ROUND(INDEX(가맹점!$P$2:$P$9,D586)*INDEX(가맹점!$J$2:$M$9,D586,E586),0)</f>
        <v/>
      </c>
      <c r="J586" s="2">
        <f>ROUND(I586*(1-할인율),0)</f>
        <v/>
      </c>
      <c r="K586" s="2">
        <f>ROUNDDOWN(I586*할인율,0)</f>
        <v/>
      </c>
      <c r="L586" s="2">
        <f>ROUND(I586*INDEX(미지급률범위,E586),0)</f>
        <v/>
      </c>
      <c r="M586" s="2">
        <f>ROUND(I586*INDEX(과지급률범위,E586),0)</f>
        <v/>
      </c>
      <c r="N586" s="2">
        <f>MAX(0,L586-M586)</f>
        <v/>
      </c>
      <c r="O586" s="2">
        <f>K586-N586</f>
        <v/>
      </c>
      <c r="P586" s="2">
        <f>I586-N586</f>
        <v/>
      </c>
      <c r="Q586" s="5">
        <f>IF(G586&gt;기준일,1,0)</f>
        <v/>
      </c>
      <c r="R586" s="5">
        <f>IF(G586&lt;=기준일,1,0)</f>
        <v/>
      </c>
      <c r="S586" s="2">
        <f>J586*H586</f>
        <v/>
      </c>
      <c r="T586" s="5">
        <f>IF(AND(F586&gt;=표본시작,F586&lt;=표본종료),1,0)</f>
        <v/>
      </c>
      <c r="U586" s="5">
        <f>IF(AND(G586&gt;=조회시작,G586&lt;=조회종료),1,0)</f>
        <v/>
      </c>
    </row>
    <row r="587">
      <c r="A587" s="2">
        <f>ROW()-1</f>
        <v/>
      </c>
      <c r="B587" s="5">
        <f>INDEX(상호범위,D587)</f>
        <v/>
      </c>
      <c r="C587" s="5">
        <f>INDEX(플랫폼명범위,E587)</f>
        <v/>
      </c>
      <c r="D587" s="2">
        <f>MOD(INT((A587-1)/4),8)+1</f>
        <v/>
      </c>
      <c r="E587" s="2">
        <f>MOD(A587-1,4)+1</f>
        <v/>
      </c>
      <c r="F587" s="20">
        <f>축시작+INT((A587-1)/32)</f>
        <v/>
      </c>
      <c r="G587" s="20">
        <f>F587+H587</f>
        <v/>
      </c>
      <c r="H587" s="5" t="n">
        <v>4</v>
      </c>
      <c r="I587" s="2">
        <f>ROUND(INDEX(가맹점!$P$2:$P$9,D587)*INDEX(가맹점!$J$2:$M$9,D587,E587),0)</f>
        <v/>
      </c>
      <c r="J587" s="2">
        <f>ROUND(I587*(1-할인율),0)</f>
        <v/>
      </c>
      <c r="K587" s="2">
        <f>ROUNDDOWN(I587*할인율,0)</f>
        <v/>
      </c>
      <c r="L587" s="2">
        <f>ROUND(I587*INDEX(미지급률범위,E587),0)</f>
        <v/>
      </c>
      <c r="M587" s="2">
        <f>ROUND(I587*INDEX(과지급률범위,E587),0)</f>
        <v/>
      </c>
      <c r="N587" s="2">
        <f>MAX(0,L587-M587)</f>
        <v/>
      </c>
      <c r="O587" s="2">
        <f>K587-N587</f>
        <v/>
      </c>
      <c r="P587" s="2">
        <f>I587-N587</f>
        <v/>
      </c>
      <c r="Q587" s="5">
        <f>IF(G587&gt;기준일,1,0)</f>
        <v/>
      </c>
      <c r="R587" s="5">
        <f>IF(G587&lt;=기준일,1,0)</f>
        <v/>
      </c>
      <c r="S587" s="2">
        <f>J587*H587</f>
        <v/>
      </c>
      <c r="T587" s="5">
        <f>IF(AND(F587&gt;=표본시작,F587&lt;=표본종료),1,0)</f>
        <v/>
      </c>
      <c r="U587" s="5">
        <f>IF(AND(G587&gt;=조회시작,G587&lt;=조회종료),1,0)</f>
        <v/>
      </c>
    </row>
    <row r="588">
      <c r="A588" s="2">
        <f>ROW()-1</f>
        <v/>
      </c>
      <c r="B588" s="5">
        <f>INDEX(상호범위,D588)</f>
        <v/>
      </c>
      <c r="C588" s="5">
        <f>INDEX(플랫폼명범위,E588)</f>
        <v/>
      </c>
      <c r="D588" s="2">
        <f>MOD(INT((A588-1)/4),8)+1</f>
        <v/>
      </c>
      <c r="E588" s="2">
        <f>MOD(A588-1,4)+1</f>
        <v/>
      </c>
      <c r="F588" s="20">
        <f>축시작+INT((A588-1)/32)</f>
        <v/>
      </c>
      <c r="G588" s="20">
        <f>F588+H588</f>
        <v/>
      </c>
      <c r="H588" s="5" t="n">
        <v>3</v>
      </c>
      <c r="I588" s="2">
        <f>ROUND(INDEX(가맹점!$P$2:$P$9,D588)*INDEX(가맹점!$J$2:$M$9,D588,E588),0)</f>
        <v/>
      </c>
      <c r="J588" s="2">
        <f>ROUND(I588*(1-할인율),0)</f>
        <v/>
      </c>
      <c r="K588" s="2">
        <f>ROUNDDOWN(I588*할인율,0)</f>
        <v/>
      </c>
      <c r="L588" s="2">
        <f>ROUND(I588*INDEX(미지급률범위,E588),0)</f>
        <v/>
      </c>
      <c r="M588" s="2">
        <f>ROUND(I588*INDEX(과지급률범위,E588),0)</f>
        <v/>
      </c>
      <c r="N588" s="2">
        <f>MAX(0,L588-M588)</f>
        <v/>
      </c>
      <c r="O588" s="2">
        <f>K588-N588</f>
        <v/>
      </c>
      <c r="P588" s="2">
        <f>I588-N588</f>
        <v/>
      </c>
      <c r="Q588" s="5">
        <f>IF(G588&gt;기준일,1,0)</f>
        <v/>
      </c>
      <c r="R588" s="5">
        <f>IF(G588&lt;=기준일,1,0)</f>
        <v/>
      </c>
      <c r="S588" s="2">
        <f>J588*H588</f>
        <v/>
      </c>
      <c r="T588" s="5">
        <f>IF(AND(F588&gt;=표본시작,F588&lt;=표본종료),1,0)</f>
        <v/>
      </c>
      <c r="U588" s="5">
        <f>IF(AND(G588&gt;=조회시작,G588&lt;=조회종료),1,0)</f>
        <v/>
      </c>
    </row>
    <row r="589">
      <c r="A589" s="2">
        <f>ROW()-1</f>
        <v/>
      </c>
      <c r="B589" s="5">
        <f>INDEX(상호범위,D589)</f>
        <v/>
      </c>
      <c r="C589" s="5">
        <f>INDEX(플랫폼명범위,E589)</f>
        <v/>
      </c>
      <c r="D589" s="2">
        <f>MOD(INT((A589-1)/4),8)+1</f>
        <v/>
      </c>
      <c r="E589" s="2">
        <f>MOD(A589-1,4)+1</f>
        <v/>
      </c>
      <c r="F589" s="20">
        <f>축시작+INT((A589-1)/32)</f>
        <v/>
      </c>
      <c r="G589" s="20">
        <f>F589+H589</f>
        <v/>
      </c>
      <c r="H589" s="5" t="n">
        <v>6</v>
      </c>
      <c r="I589" s="2">
        <f>ROUND(INDEX(가맹점!$P$2:$P$9,D589)*INDEX(가맹점!$J$2:$M$9,D589,E589),0)</f>
        <v/>
      </c>
      <c r="J589" s="2">
        <f>ROUND(I589*(1-할인율),0)</f>
        <v/>
      </c>
      <c r="K589" s="2">
        <f>ROUNDDOWN(I589*할인율,0)</f>
        <v/>
      </c>
      <c r="L589" s="2">
        <f>ROUND(I589*INDEX(미지급률범위,E589),0)</f>
        <v/>
      </c>
      <c r="M589" s="2">
        <f>ROUND(I589*INDEX(과지급률범위,E589),0)</f>
        <v/>
      </c>
      <c r="N589" s="2">
        <f>MAX(0,L589-M589)</f>
        <v/>
      </c>
      <c r="O589" s="2">
        <f>K589-N589</f>
        <v/>
      </c>
      <c r="P589" s="2">
        <f>I589-N589</f>
        <v/>
      </c>
      <c r="Q589" s="5">
        <f>IF(G589&gt;기준일,1,0)</f>
        <v/>
      </c>
      <c r="R589" s="5">
        <f>IF(G589&lt;=기준일,1,0)</f>
        <v/>
      </c>
      <c r="S589" s="2">
        <f>J589*H589</f>
        <v/>
      </c>
      <c r="T589" s="5">
        <f>IF(AND(F589&gt;=표본시작,F589&lt;=표본종료),1,0)</f>
        <v/>
      </c>
      <c r="U589" s="5">
        <f>IF(AND(G589&gt;=조회시작,G589&lt;=조회종료),1,0)</f>
        <v/>
      </c>
    </row>
    <row r="590">
      <c r="A590" s="2">
        <f>ROW()-1</f>
        <v/>
      </c>
      <c r="B590" s="5">
        <f>INDEX(상호범위,D590)</f>
        <v/>
      </c>
      <c r="C590" s="5">
        <f>INDEX(플랫폼명범위,E590)</f>
        <v/>
      </c>
      <c r="D590" s="2">
        <f>MOD(INT((A590-1)/4),8)+1</f>
        <v/>
      </c>
      <c r="E590" s="2">
        <f>MOD(A590-1,4)+1</f>
        <v/>
      </c>
      <c r="F590" s="20">
        <f>축시작+INT((A590-1)/32)</f>
        <v/>
      </c>
      <c r="G590" s="20">
        <f>F590+H590</f>
        <v/>
      </c>
      <c r="H590" s="5" t="n">
        <v>1</v>
      </c>
      <c r="I590" s="2">
        <f>ROUND(INDEX(가맹점!$P$2:$P$9,D590)*INDEX(가맹점!$J$2:$M$9,D590,E590),0)</f>
        <v/>
      </c>
      <c r="J590" s="2">
        <f>ROUND(I590*(1-할인율),0)</f>
        <v/>
      </c>
      <c r="K590" s="2">
        <f>ROUNDDOWN(I590*할인율,0)</f>
        <v/>
      </c>
      <c r="L590" s="2">
        <f>ROUND(I590*INDEX(미지급률범위,E590),0)</f>
        <v/>
      </c>
      <c r="M590" s="2">
        <f>ROUND(I590*INDEX(과지급률범위,E590),0)</f>
        <v/>
      </c>
      <c r="N590" s="2">
        <f>MAX(0,L590-M590)</f>
        <v/>
      </c>
      <c r="O590" s="2">
        <f>K590-N590</f>
        <v/>
      </c>
      <c r="P590" s="2">
        <f>I590-N590</f>
        <v/>
      </c>
      <c r="Q590" s="5">
        <f>IF(G590&gt;기준일,1,0)</f>
        <v/>
      </c>
      <c r="R590" s="5">
        <f>IF(G590&lt;=기준일,1,0)</f>
        <v/>
      </c>
      <c r="S590" s="2">
        <f>J590*H590</f>
        <v/>
      </c>
      <c r="T590" s="5">
        <f>IF(AND(F590&gt;=표본시작,F590&lt;=표본종료),1,0)</f>
        <v/>
      </c>
      <c r="U590" s="5">
        <f>IF(AND(G590&gt;=조회시작,G590&lt;=조회종료),1,0)</f>
        <v/>
      </c>
    </row>
    <row r="591">
      <c r="A591" s="2">
        <f>ROW()-1</f>
        <v/>
      </c>
      <c r="B591" s="5">
        <f>INDEX(상호범위,D591)</f>
        <v/>
      </c>
      <c r="C591" s="5">
        <f>INDEX(플랫폼명범위,E591)</f>
        <v/>
      </c>
      <c r="D591" s="2">
        <f>MOD(INT((A591-1)/4),8)+1</f>
        <v/>
      </c>
      <c r="E591" s="2">
        <f>MOD(A591-1,4)+1</f>
        <v/>
      </c>
      <c r="F591" s="20">
        <f>축시작+INT((A591-1)/32)</f>
        <v/>
      </c>
      <c r="G591" s="20">
        <f>F591+H591</f>
        <v/>
      </c>
      <c r="H591" s="5" t="n">
        <v>3</v>
      </c>
      <c r="I591" s="2">
        <f>ROUND(INDEX(가맹점!$P$2:$P$9,D591)*INDEX(가맹점!$J$2:$M$9,D591,E591),0)</f>
        <v/>
      </c>
      <c r="J591" s="2">
        <f>ROUND(I591*(1-할인율),0)</f>
        <v/>
      </c>
      <c r="K591" s="2">
        <f>ROUNDDOWN(I591*할인율,0)</f>
        <v/>
      </c>
      <c r="L591" s="2">
        <f>ROUND(I591*INDEX(미지급률범위,E591),0)</f>
        <v/>
      </c>
      <c r="M591" s="2">
        <f>ROUND(I591*INDEX(과지급률범위,E591),0)</f>
        <v/>
      </c>
      <c r="N591" s="2">
        <f>MAX(0,L591-M591)</f>
        <v/>
      </c>
      <c r="O591" s="2">
        <f>K591-N591</f>
        <v/>
      </c>
      <c r="P591" s="2">
        <f>I591-N591</f>
        <v/>
      </c>
      <c r="Q591" s="5">
        <f>IF(G591&gt;기준일,1,0)</f>
        <v/>
      </c>
      <c r="R591" s="5">
        <f>IF(G591&lt;=기준일,1,0)</f>
        <v/>
      </c>
      <c r="S591" s="2">
        <f>J591*H591</f>
        <v/>
      </c>
      <c r="T591" s="5">
        <f>IF(AND(F591&gt;=표본시작,F591&lt;=표본종료),1,0)</f>
        <v/>
      </c>
      <c r="U591" s="5">
        <f>IF(AND(G591&gt;=조회시작,G591&lt;=조회종료),1,0)</f>
        <v/>
      </c>
    </row>
    <row r="592">
      <c r="A592" s="2">
        <f>ROW()-1</f>
        <v/>
      </c>
      <c r="B592" s="5">
        <f>INDEX(상호범위,D592)</f>
        <v/>
      </c>
      <c r="C592" s="5">
        <f>INDEX(플랫폼명범위,E592)</f>
        <v/>
      </c>
      <c r="D592" s="2">
        <f>MOD(INT((A592-1)/4),8)+1</f>
        <v/>
      </c>
      <c r="E592" s="2">
        <f>MOD(A592-1,4)+1</f>
        <v/>
      </c>
      <c r="F592" s="20">
        <f>축시작+INT((A592-1)/32)</f>
        <v/>
      </c>
      <c r="G592" s="20">
        <f>F592+H592</f>
        <v/>
      </c>
      <c r="H592" s="5" t="n">
        <v>3</v>
      </c>
      <c r="I592" s="2">
        <f>ROUND(INDEX(가맹점!$P$2:$P$9,D592)*INDEX(가맹점!$J$2:$M$9,D592,E592),0)</f>
        <v/>
      </c>
      <c r="J592" s="2">
        <f>ROUND(I592*(1-할인율),0)</f>
        <v/>
      </c>
      <c r="K592" s="2">
        <f>ROUNDDOWN(I592*할인율,0)</f>
        <v/>
      </c>
      <c r="L592" s="2">
        <f>ROUND(I592*INDEX(미지급률범위,E592),0)</f>
        <v/>
      </c>
      <c r="M592" s="2">
        <f>ROUND(I592*INDEX(과지급률범위,E592),0)</f>
        <v/>
      </c>
      <c r="N592" s="2">
        <f>MAX(0,L592-M592)</f>
        <v/>
      </c>
      <c r="O592" s="2">
        <f>K592-N592</f>
        <v/>
      </c>
      <c r="P592" s="2">
        <f>I592-N592</f>
        <v/>
      </c>
      <c r="Q592" s="5">
        <f>IF(G592&gt;기준일,1,0)</f>
        <v/>
      </c>
      <c r="R592" s="5">
        <f>IF(G592&lt;=기준일,1,0)</f>
        <v/>
      </c>
      <c r="S592" s="2">
        <f>J592*H592</f>
        <v/>
      </c>
      <c r="T592" s="5">
        <f>IF(AND(F592&gt;=표본시작,F592&lt;=표본종료),1,0)</f>
        <v/>
      </c>
      <c r="U592" s="5">
        <f>IF(AND(G592&gt;=조회시작,G592&lt;=조회종료),1,0)</f>
        <v/>
      </c>
    </row>
    <row r="593">
      <c r="A593" s="2">
        <f>ROW()-1</f>
        <v/>
      </c>
      <c r="B593" s="5">
        <f>INDEX(상호범위,D593)</f>
        <v/>
      </c>
      <c r="C593" s="5">
        <f>INDEX(플랫폼명범위,E593)</f>
        <v/>
      </c>
      <c r="D593" s="2">
        <f>MOD(INT((A593-1)/4),8)+1</f>
        <v/>
      </c>
      <c r="E593" s="2">
        <f>MOD(A593-1,4)+1</f>
        <v/>
      </c>
      <c r="F593" s="20">
        <f>축시작+INT((A593-1)/32)</f>
        <v/>
      </c>
      <c r="G593" s="20">
        <f>F593+H593</f>
        <v/>
      </c>
      <c r="H593" s="5" t="n">
        <v>4</v>
      </c>
      <c r="I593" s="2">
        <f>ROUND(INDEX(가맹점!$P$2:$P$9,D593)*INDEX(가맹점!$J$2:$M$9,D593,E593),0)</f>
        <v/>
      </c>
      <c r="J593" s="2">
        <f>ROUND(I593*(1-할인율),0)</f>
        <v/>
      </c>
      <c r="K593" s="2">
        <f>ROUNDDOWN(I593*할인율,0)</f>
        <v/>
      </c>
      <c r="L593" s="2">
        <f>ROUND(I593*INDEX(미지급률범위,E593),0)</f>
        <v/>
      </c>
      <c r="M593" s="2">
        <f>ROUND(I593*INDEX(과지급률범위,E593),0)</f>
        <v/>
      </c>
      <c r="N593" s="2">
        <f>MAX(0,L593-M593)</f>
        <v/>
      </c>
      <c r="O593" s="2">
        <f>K593-N593</f>
        <v/>
      </c>
      <c r="P593" s="2">
        <f>I593-N593</f>
        <v/>
      </c>
      <c r="Q593" s="5">
        <f>IF(G593&gt;기준일,1,0)</f>
        <v/>
      </c>
      <c r="R593" s="5">
        <f>IF(G593&lt;=기준일,1,0)</f>
        <v/>
      </c>
      <c r="S593" s="2">
        <f>J593*H593</f>
        <v/>
      </c>
      <c r="T593" s="5">
        <f>IF(AND(F593&gt;=표본시작,F593&lt;=표본종료),1,0)</f>
        <v/>
      </c>
      <c r="U593" s="5">
        <f>IF(AND(G593&gt;=조회시작,G593&lt;=조회종료),1,0)</f>
        <v/>
      </c>
    </row>
    <row r="594">
      <c r="A594" s="2">
        <f>ROW()-1</f>
        <v/>
      </c>
      <c r="B594" s="5">
        <f>INDEX(상호범위,D594)</f>
        <v/>
      </c>
      <c r="C594" s="5">
        <f>INDEX(플랫폼명범위,E594)</f>
        <v/>
      </c>
      <c r="D594" s="2">
        <f>MOD(INT((A594-1)/4),8)+1</f>
        <v/>
      </c>
      <c r="E594" s="2">
        <f>MOD(A594-1,4)+1</f>
        <v/>
      </c>
      <c r="F594" s="20">
        <f>축시작+INT((A594-1)/32)</f>
        <v/>
      </c>
      <c r="G594" s="20">
        <f>F594+H594</f>
        <v/>
      </c>
      <c r="H594" s="5" t="n">
        <v>1</v>
      </c>
      <c r="I594" s="2">
        <f>ROUND(INDEX(가맹점!$P$2:$P$9,D594)*INDEX(가맹점!$J$2:$M$9,D594,E594),0)</f>
        <v/>
      </c>
      <c r="J594" s="2">
        <f>ROUND(I594*(1-할인율),0)</f>
        <v/>
      </c>
      <c r="K594" s="2">
        <f>ROUNDDOWN(I594*할인율,0)</f>
        <v/>
      </c>
      <c r="L594" s="2">
        <f>ROUND(I594*INDEX(미지급률범위,E594),0)</f>
        <v/>
      </c>
      <c r="M594" s="2">
        <f>ROUND(I594*INDEX(과지급률범위,E594),0)</f>
        <v/>
      </c>
      <c r="N594" s="2">
        <f>MAX(0,L594-M594)</f>
        <v/>
      </c>
      <c r="O594" s="2">
        <f>K594-N594</f>
        <v/>
      </c>
      <c r="P594" s="2">
        <f>I594-N594</f>
        <v/>
      </c>
      <c r="Q594" s="5">
        <f>IF(G594&gt;기준일,1,0)</f>
        <v/>
      </c>
      <c r="R594" s="5">
        <f>IF(G594&lt;=기준일,1,0)</f>
        <v/>
      </c>
      <c r="S594" s="2">
        <f>J594*H594</f>
        <v/>
      </c>
      <c r="T594" s="5">
        <f>IF(AND(F594&gt;=표본시작,F594&lt;=표본종료),1,0)</f>
        <v/>
      </c>
      <c r="U594" s="5">
        <f>IF(AND(G594&gt;=조회시작,G594&lt;=조회종료),1,0)</f>
        <v/>
      </c>
    </row>
    <row r="595">
      <c r="A595" s="2">
        <f>ROW()-1</f>
        <v/>
      </c>
      <c r="B595" s="5">
        <f>INDEX(상호범위,D595)</f>
        <v/>
      </c>
      <c r="C595" s="5">
        <f>INDEX(플랫폼명범위,E595)</f>
        <v/>
      </c>
      <c r="D595" s="2">
        <f>MOD(INT((A595-1)/4),8)+1</f>
        <v/>
      </c>
      <c r="E595" s="2">
        <f>MOD(A595-1,4)+1</f>
        <v/>
      </c>
      <c r="F595" s="20">
        <f>축시작+INT((A595-1)/32)</f>
        <v/>
      </c>
      <c r="G595" s="20">
        <f>F595+H595</f>
        <v/>
      </c>
      <c r="H595" s="5" t="n">
        <v>2</v>
      </c>
      <c r="I595" s="2">
        <f>ROUND(INDEX(가맹점!$P$2:$P$9,D595)*INDEX(가맹점!$J$2:$M$9,D595,E595),0)</f>
        <v/>
      </c>
      <c r="J595" s="2">
        <f>ROUND(I595*(1-할인율),0)</f>
        <v/>
      </c>
      <c r="K595" s="2">
        <f>ROUNDDOWN(I595*할인율,0)</f>
        <v/>
      </c>
      <c r="L595" s="2">
        <f>ROUND(I595*INDEX(미지급률범위,E595),0)</f>
        <v/>
      </c>
      <c r="M595" s="2">
        <f>ROUND(I595*INDEX(과지급률범위,E595),0)</f>
        <v/>
      </c>
      <c r="N595" s="2">
        <f>MAX(0,L595-M595)</f>
        <v/>
      </c>
      <c r="O595" s="2">
        <f>K595-N595</f>
        <v/>
      </c>
      <c r="P595" s="2">
        <f>I595-N595</f>
        <v/>
      </c>
      <c r="Q595" s="5">
        <f>IF(G595&gt;기준일,1,0)</f>
        <v/>
      </c>
      <c r="R595" s="5">
        <f>IF(G595&lt;=기준일,1,0)</f>
        <v/>
      </c>
      <c r="S595" s="2">
        <f>J595*H595</f>
        <v/>
      </c>
      <c r="T595" s="5">
        <f>IF(AND(F595&gt;=표본시작,F595&lt;=표본종료),1,0)</f>
        <v/>
      </c>
      <c r="U595" s="5">
        <f>IF(AND(G595&gt;=조회시작,G595&lt;=조회종료),1,0)</f>
        <v/>
      </c>
    </row>
    <row r="596">
      <c r="A596" s="2">
        <f>ROW()-1</f>
        <v/>
      </c>
      <c r="B596" s="5">
        <f>INDEX(상호범위,D596)</f>
        <v/>
      </c>
      <c r="C596" s="5">
        <f>INDEX(플랫폼명범위,E596)</f>
        <v/>
      </c>
      <c r="D596" s="2">
        <f>MOD(INT((A596-1)/4),8)+1</f>
        <v/>
      </c>
      <c r="E596" s="2">
        <f>MOD(A596-1,4)+1</f>
        <v/>
      </c>
      <c r="F596" s="20">
        <f>축시작+INT((A596-1)/32)</f>
        <v/>
      </c>
      <c r="G596" s="20">
        <f>F596+H596</f>
        <v/>
      </c>
      <c r="H596" s="5" t="n">
        <v>7</v>
      </c>
      <c r="I596" s="2">
        <f>ROUND(INDEX(가맹점!$P$2:$P$9,D596)*INDEX(가맹점!$J$2:$M$9,D596,E596),0)</f>
        <v/>
      </c>
      <c r="J596" s="2">
        <f>ROUND(I596*(1-할인율),0)</f>
        <v/>
      </c>
      <c r="K596" s="2">
        <f>ROUNDDOWN(I596*할인율,0)</f>
        <v/>
      </c>
      <c r="L596" s="2">
        <f>ROUND(I596*INDEX(미지급률범위,E596),0)</f>
        <v/>
      </c>
      <c r="M596" s="2">
        <f>ROUND(I596*INDEX(과지급률범위,E596),0)</f>
        <v/>
      </c>
      <c r="N596" s="2">
        <f>MAX(0,L596-M596)</f>
        <v/>
      </c>
      <c r="O596" s="2">
        <f>K596-N596</f>
        <v/>
      </c>
      <c r="P596" s="2">
        <f>I596-N596</f>
        <v/>
      </c>
      <c r="Q596" s="5">
        <f>IF(G596&gt;기준일,1,0)</f>
        <v/>
      </c>
      <c r="R596" s="5">
        <f>IF(G596&lt;=기준일,1,0)</f>
        <v/>
      </c>
      <c r="S596" s="2">
        <f>J596*H596</f>
        <v/>
      </c>
      <c r="T596" s="5">
        <f>IF(AND(F596&gt;=표본시작,F596&lt;=표본종료),1,0)</f>
        <v/>
      </c>
      <c r="U596" s="5">
        <f>IF(AND(G596&gt;=조회시작,G596&lt;=조회종료),1,0)</f>
        <v/>
      </c>
    </row>
    <row r="597">
      <c r="A597" s="2">
        <f>ROW()-1</f>
        <v/>
      </c>
      <c r="B597" s="5">
        <f>INDEX(상호범위,D597)</f>
        <v/>
      </c>
      <c r="C597" s="5">
        <f>INDEX(플랫폼명범위,E597)</f>
        <v/>
      </c>
      <c r="D597" s="2">
        <f>MOD(INT((A597-1)/4),8)+1</f>
        <v/>
      </c>
      <c r="E597" s="2">
        <f>MOD(A597-1,4)+1</f>
        <v/>
      </c>
      <c r="F597" s="20">
        <f>축시작+INT((A597-1)/32)</f>
        <v/>
      </c>
      <c r="G597" s="20">
        <f>F597+H597</f>
        <v/>
      </c>
      <c r="H597" s="5" t="n">
        <v>6</v>
      </c>
      <c r="I597" s="2">
        <f>ROUND(INDEX(가맹점!$P$2:$P$9,D597)*INDEX(가맹점!$J$2:$M$9,D597,E597),0)</f>
        <v/>
      </c>
      <c r="J597" s="2">
        <f>ROUND(I597*(1-할인율),0)</f>
        <v/>
      </c>
      <c r="K597" s="2">
        <f>ROUNDDOWN(I597*할인율,0)</f>
        <v/>
      </c>
      <c r="L597" s="2">
        <f>ROUND(I597*INDEX(미지급률범위,E597),0)</f>
        <v/>
      </c>
      <c r="M597" s="2">
        <f>ROUND(I597*INDEX(과지급률범위,E597),0)</f>
        <v/>
      </c>
      <c r="N597" s="2">
        <f>MAX(0,L597-M597)</f>
        <v/>
      </c>
      <c r="O597" s="2">
        <f>K597-N597</f>
        <v/>
      </c>
      <c r="P597" s="2">
        <f>I597-N597</f>
        <v/>
      </c>
      <c r="Q597" s="5">
        <f>IF(G597&gt;기준일,1,0)</f>
        <v/>
      </c>
      <c r="R597" s="5">
        <f>IF(G597&lt;=기준일,1,0)</f>
        <v/>
      </c>
      <c r="S597" s="2">
        <f>J597*H597</f>
        <v/>
      </c>
      <c r="T597" s="5">
        <f>IF(AND(F597&gt;=표본시작,F597&lt;=표본종료),1,0)</f>
        <v/>
      </c>
      <c r="U597" s="5">
        <f>IF(AND(G597&gt;=조회시작,G597&lt;=조회종료),1,0)</f>
        <v/>
      </c>
    </row>
    <row r="598">
      <c r="A598" s="2">
        <f>ROW()-1</f>
        <v/>
      </c>
      <c r="B598" s="5">
        <f>INDEX(상호범위,D598)</f>
        <v/>
      </c>
      <c r="C598" s="5">
        <f>INDEX(플랫폼명범위,E598)</f>
        <v/>
      </c>
      <c r="D598" s="2">
        <f>MOD(INT((A598-1)/4),8)+1</f>
        <v/>
      </c>
      <c r="E598" s="2">
        <f>MOD(A598-1,4)+1</f>
        <v/>
      </c>
      <c r="F598" s="20">
        <f>축시작+INT((A598-1)/32)</f>
        <v/>
      </c>
      <c r="G598" s="20">
        <f>F598+H598</f>
        <v/>
      </c>
      <c r="H598" s="5" t="n">
        <v>2</v>
      </c>
      <c r="I598" s="2">
        <f>ROUND(INDEX(가맹점!$P$2:$P$9,D598)*INDEX(가맹점!$J$2:$M$9,D598,E598),0)</f>
        <v/>
      </c>
      <c r="J598" s="2">
        <f>ROUND(I598*(1-할인율),0)</f>
        <v/>
      </c>
      <c r="K598" s="2">
        <f>ROUNDDOWN(I598*할인율,0)</f>
        <v/>
      </c>
      <c r="L598" s="2">
        <f>ROUND(I598*INDEX(미지급률범위,E598),0)</f>
        <v/>
      </c>
      <c r="M598" s="2">
        <f>ROUND(I598*INDEX(과지급률범위,E598),0)</f>
        <v/>
      </c>
      <c r="N598" s="2">
        <f>MAX(0,L598-M598)</f>
        <v/>
      </c>
      <c r="O598" s="2">
        <f>K598-N598</f>
        <v/>
      </c>
      <c r="P598" s="2">
        <f>I598-N598</f>
        <v/>
      </c>
      <c r="Q598" s="5">
        <f>IF(G598&gt;기준일,1,0)</f>
        <v/>
      </c>
      <c r="R598" s="5">
        <f>IF(G598&lt;=기준일,1,0)</f>
        <v/>
      </c>
      <c r="S598" s="2">
        <f>J598*H598</f>
        <v/>
      </c>
      <c r="T598" s="5">
        <f>IF(AND(F598&gt;=표본시작,F598&lt;=표본종료),1,0)</f>
        <v/>
      </c>
      <c r="U598" s="5">
        <f>IF(AND(G598&gt;=조회시작,G598&lt;=조회종료),1,0)</f>
        <v/>
      </c>
    </row>
    <row r="599">
      <c r="A599" s="2">
        <f>ROW()-1</f>
        <v/>
      </c>
      <c r="B599" s="5">
        <f>INDEX(상호범위,D599)</f>
        <v/>
      </c>
      <c r="C599" s="5">
        <f>INDEX(플랫폼명범위,E599)</f>
        <v/>
      </c>
      <c r="D599" s="2">
        <f>MOD(INT((A599-1)/4),8)+1</f>
        <v/>
      </c>
      <c r="E599" s="2">
        <f>MOD(A599-1,4)+1</f>
        <v/>
      </c>
      <c r="F599" s="20">
        <f>축시작+INT((A599-1)/32)</f>
        <v/>
      </c>
      <c r="G599" s="20">
        <f>F599+H599</f>
        <v/>
      </c>
      <c r="H599" s="5" t="n">
        <v>2</v>
      </c>
      <c r="I599" s="2">
        <f>ROUND(INDEX(가맹점!$P$2:$P$9,D599)*INDEX(가맹점!$J$2:$M$9,D599,E599),0)</f>
        <v/>
      </c>
      <c r="J599" s="2">
        <f>ROUND(I599*(1-할인율),0)</f>
        <v/>
      </c>
      <c r="K599" s="2">
        <f>ROUNDDOWN(I599*할인율,0)</f>
        <v/>
      </c>
      <c r="L599" s="2">
        <f>ROUND(I599*INDEX(미지급률범위,E599),0)</f>
        <v/>
      </c>
      <c r="M599" s="2">
        <f>ROUND(I599*INDEX(과지급률범위,E599),0)</f>
        <v/>
      </c>
      <c r="N599" s="2">
        <f>MAX(0,L599-M599)</f>
        <v/>
      </c>
      <c r="O599" s="2">
        <f>K599-N599</f>
        <v/>
      </c>
      <c r="P599" s="2">
        <f>I599-N599</f>
        <v/>
      </c>
      <c r="Q599" s="5">
        <f>IF(G599&gt;기준일,1,0)</f>
        <v/>
      </c>
      <c r="R599" s="5">
        <f>IF(G599&lt;=기준일,1,0)</f>
        <v/>
      </c>
      <c r="S599" s="2">
        <f>J599*H599</f>
        <v/>
      </c>
      <c r="T599" s="5">
        <f>IF(AND(F599&gt;=표본시작,F599&lt;=표본종료),1,0)</f>
        <v/>
      </c>
      <c r="U599" s="5">
        <f>IF(AND(G599&gt;=조회시작,G599&lt;=조회종료),1,0)</f>
        <v/>
      </c>
    </row>
    <row r="600">
      <c r="A600" s="2">
        <f>ROW()-1</f>
        <v/>
      </c>
      <c r="B600" s="5">
        <f>INDEX(상호범위,D600)</f>
        <v/>
      </c>
      <c r="C600" s="5">
        <f>INDEX(플랫폼명범위,E600)</f>
        <v/>
      </c>
      <c r="D600" s="2">
        <f>MOD(INT((A600-1)/4),8)+1</f>
        <v/>
      </c>
      <c r="E600" s="2">
        <f>MOD(A600-1,4)+1</f>
        <v/>
      </c>
      <c r="F600" s="20">
        <f>축시작+INT((A600-1)/32)</f>
        <v/>
      </c>
      <c r="G600" s="20">
        <f>F600+H600</f>
        <v/>
      </c>
      <c r="H600" s="5" t="n">
        <v>5</v>
      </c>
      <c r="I600" s="2">
        <f>ROUND(INDEX(가맹점!$P$2:$P$9,D600)*INDEX(가맹점!$J$2:$M$9,D600,E600),0)</f>
        <v/>
      </c>
      <c r="J600" s="2">
        <f>ROUND(I600*(1-할인율),0)</f>
        <v/>
      </c>
      <c r="K600" s="2">
        <f>ROUNDDOWN(I600*할인율,0)</f>
        <v/>
      </c>
      <c r="L600" s="2">
        <f>ROUND(I600*INDEX(미지급률범위,E600),0)</f>
        <v/>
      </c>
      <c r="M600" s="2">
        <f>ROUND(I600*INDEX(과지급률범위,E600),0)</f>
        <v/>
      </c>
      <c r="N600" s="2">
        <f>MAX(0,L600-M600)</f>
        <v/>
      </c>
      <c r="O600" s="2">
        <f>K600-N600</f>
        <v/>
      </c>
      <c r="P600" s="2">
        <f>I600-N600</f>
        <v/>
      </c>
      <c r="Q600" s="5">
        <f>IF(G600&gt;기준일,1,0)</f>
        <v/>
      </c>
      <c r="R600" s="5">
        <f>IF(G600&lt;=기준일,1,0)</f>
        <v/>
      </c>
      <c r="S600" s="2">
        <f>J600*H600</f>
        <v/>
      </c>
      <c r="T600" s="5">
        <f>IF(AND(F600&gt;=표본시작,F600&lt;=표본종료),1,0)</f>
        <v/>
      </c>
      <c r="U600" s="5">
        <f>IF(AND(G600&gt;=조회시작,G600&lt;=조회종료),1,0)</f>
        <v/>
      </c>
    </row>
    <row r="601">
      <c r="A601" s="2">
        <f>ROW()-1</f>
        <v/>
      </c>
      <c r="B601" s="5">
        <f>INDEX(상호범위,D601)</f>
        <v/>
      </c>
      <c r="C601" s="5">
        <f>INDEX(플랫폼명범위,E601)</f>
        <v/>
      </c>
      <c r="D601" s="2">
        <f>MOD(INT((A601-1)/4),8)+1</f>
        <v/>
      </c>
      <c r="E601" s="2">
        <f>MOD(A601-1,4)+1</f>
        <v/>
      </c>
      <c r="F601" s="20">
        <f>축시작+INT((A601-1)/32)</f>
        <v/>
      </c>
      <c r="G601" s="20">
        <f>F601+H601</f>
        <v/>
      </c>
      <c r="H601" s="5" t="n">
        <v>5</v>
      </c>
      <c r="I601" s="2">
        <f>ROUND(INDEX(가맹점!$P$2:$P$9,D601)*INDEX(가맹점!$J$2:$M$9,D601,E601),0)</f>
        <v/>
      </c>
      <c r="J601" s="2">
        <f>ROUND(I601*(1-할인율),0)</f>
        <v/>
      </c>
      <c r="K601" s="2">
        <f>ROUNDDOWN(I601*할인율,0)</f>
        <v/>
      </c>
      <c r="L601" s="2">
        <f>ROUND(I601*INDEX(미지급률범위,E601),0)</f>
        <v/>
      </c>
      <c r="M601" s="2">
        <f>ROUND(I601*INDEX(과지급률범위,E601),0)</f>
        <v/>
      </c>
      <c r="N601" s="2">
        <f>MAX(0,L601-M601)</f>
        <v/>
      </c>
      <c r="O601" s="2">
        <f>K601-N601</f>
        <v/>
      </c>
      <c r="P601" s="2">
        <f>I601-N601</f>
        <v/>
      </c>
      <c r="Q601" s="5">
        <f>IF(G601&gt;기준일,1,0)</f>
        <v/>
      </c>
      <c r="R601" s="5">
        <f>IF(G601&lt;=기준일,1,0)</f>
        <v/>
      </c>
      <c r="S601" s="2">
        <f>J601*H601</f>
        <v/>
      </c>
      <c r="T601" s="5">
        <f>IF(AND(F601&gt;=표본시작,F601&lt;=표본종료),1,0)</f>
        <v/>
      </c>
      <c r="U601" s="5">
        <f>IF(AND(G601&gt;=조회시작,G601&lt;=조회종료),1,0)</f>
        <v/>
      </c>
    </row>
    <row r="602">
      <c r="A602" s="2">
        <f>ROW()-1</f>
        <v/>
      </c>
      <c r="B602" s="5">
        <f>INDEX(상호범위,D602)</f>
        <v/>
      </c>
      <c r="C602" s="5">
        <f>INDEX(플랫폼명범위,E602)</f>
        <v/>
      </c>
      <c r="D602" s="2">
        <f>MOD(INT((A602-1)/4),8)+1</f>
        <v/>
      </c>
      <c r="E602" s="2">
        <f>MOD(A602-1,4)+1</f>
        <v/>
      </c>
      <c r="F602" s="20">
        <f>축시작+INT((A602-1)/32)</f>
        <v/>
      </c>
      <c r="G602" s="20">
        <f>F602+H602</f>
        <v/>
      </c>
      <c r="H602" s="5" t="n">
        <v>3</v>
      </c>
      <c r="I602" s="2">
        <f>ROUND(INDEX(가맹점!$P$2:$P$9,D602)*INDEX(가맹점!$J$2:$M$9,D602,E602),0)</f>
        <v/>
      </c>
      <c r="J602" s="2">
        <f>ROUND(I602*(1-할인율),0)</f>
        <v/>
      </c>
      <c r="K602" s="2">
        <f>ROUNDDOWN(I602*할인율,0)</f>
        <v/>
      </c>
      <c r="L602" s="2">
        <f>ROUND(I602*INDEX(미지급률범위,E602),0)</f>
        <v/>
      </c>
      <c r="M602" s="2">
        <f>ROUND(I602*INDEX(과지급률범위,E602),0)</f>
        <v/>
      </c>
      <c r="N602" s="2">
        <f>MAX(0,L602-M602)</f>
        <v/>
      </c>
      <c r="O602" s="2">
        <f>K602-N602</f>
        <v/>
      </c>
      <c r="P602" s="2">
        <f>I602-N602</f>
        <v/>
      </c>
      <c r="Q602" s="5">
        <f>IF(G602&gt;기준일,1,0)</f>
        <v/>
      </c>
      <c r="R602" s="5">
        <f>IF(G602&lt;=기준일,1,0)</f>
        <v/>
      </c>
      <c r="S602" s="2">
        <f>J602*H602</f>
        <v/>
      </c>
      <c r="T602" s="5">
        <f>IF(AND(F602&gt;=표본시작,F602&lt;=표본종료),1,0)</f>
        <v/>
      </c>
      <c r="U602" s="5">
        <f>IF(AND(G602&gt;=조회시작,G602&lt;=조회종료),1,0)</f>
        <v/>
      </c>
    </row>
    <row r="603">
      <c r="A603" s="2">
        <f>ROW()-1</f>
        <v/>
      </c>
      <c r="B603" s="5">
        <f>INDEX(상호범위,D603)</f>
        <v/>
      </c>
      <c r="C603" s="5">
        <f>INDEX(플랫폼명범위,E603)</f>
        <v/>
      </c>
      <c r="D603" s="2">
        <f>MOD(INT((A603-1)/4),8)+1</f>
        <v/>
      </c>
      <c r="E603" s="2">
        <f>MOD(A603-1,4)+1</f>
        <v/>
      </c>
      <c r="F603" s="20">
        <f>축시작+INT((A603-1)/32)</f>
        <v/>
      </c>
      <c r="G603" s="20">
        <f>F603+H603</f>
        <v/>
      </c>
      <c r="H603" s="5" t="n">
        <v>3</v>
      </c>
      <c r="I603" s="2">
        <f>ROUND(INDEX(가맹점!$P$2:$P$9,D603)*INDEX(가맹점!$J$2:$M$9,D603,E603),0)</f>
        <v/>
      </c>
      <c r="J603" s="2">
        <f>ROUND(I603*(1-할인율),0)</f>
        <v/>
      </c>
      <c r="K603" s="2">
        <f>ROUNDDOWN(I603*할인율,0)</f>
        <v/>
      </c>
      <c r="L603" s="2">
        <f>ROUND(I603*INDEX(미지급률범위,E603),0)</f>
        <v/>
      </c>
      <c r="M603" s="2">
        <f>ROUND(I603*INDEX(과지급률범위,E603),0)</f>
        <v/>
      </c>
      <c r="N603" s="2">
        <f>MAX(0,L603-M603)</f>
        <v/>
      </c>
      <c r="O603" s="2">
        <f>K603-N603</f>
        <v/>
      </c>
      <c r="P603" s="2">
        <f>I603-N603</f>
        <v/>
      </c>
      <c r="Q603" s="5">
        <f>IF(G603&gt;기준일,1,0)</f>
        <v/>
      </c>
      <c r="R603" s="5">
        <f>IF(G603&lt;=기준일,1,0)</f>
        <v/>
      </c>
      <c r="S603" s="2">
        <f>J603*H603</f>
        <v/>
      </c>
      <c r="T603" s="5">
        <f>IF(AND(F603&gt;=표본시작,F603&lt;=표본종료),1,0)</f>
        <v/>
      </c>
      <c r="U603" s="5">
        <f>IF(AND(G603&gt;=조회시작,G603&lt;=조회종료),1,0)</f>
        <v/>
      </c>
    </row>
    <row r="604">
      <c r="A604" s="2">
        <f>ROW()-1</f>
        <v/>
      </c>
      <c r="B604" s="5">
        <f>INDEX(상호범위,D604)</f>
        <v/>
      </c>
      <c r="C604" s="5">
        <f>INDEX(플랫폼명범위,E604)</f>
        <v/>
      </c>
      <c r="D604" s="2">
        <f>MOD(INT((A604-1)/4),8)+1</f>
        <v/>
      </c>
      <c r="E604" s="2">
        <f>MOD(A604-1,4)+1</f>
        <v/>
      </c>
      <c r="F604" s="20">
        <f>축시작+INT((A604-1)/32)</f>
        <v/>
      </c>
      <c r="G604" s="20">
        <f>F604+H604</f>
        <v/>
      </c>
      <c r="H604" s="5" t="n">
        <v>4</v>
      </c>
      <c r="I604" s="2">
        <f>ROUND(INDEX(가맹점!$P$2:$P$9,D604)*INDEX(가맹점!$J$2:$M$9,D604,E604),0)</f>
        <v/>
      </c>
      <c r="J604" s="2">
        <f>ROUND(I604*(1-할인율),0)</f>
        <v/>
      </c>
      <c r="K604" s="2">
        <f>ROUNDDOWN(I604*할인율,0)</f>
        <v/>
      </c>
      <c r="L604" s="2">
        <f>ROUND(I604*INDEX(미지급률범위,E604),0)</f>
        <v/>
      </c>
      <c r="M604" s="2">
        <f>ROUND(I604*INDEX(과지급률범위,E604),0)</f>
        <v/>
      </c>
      <c r="N604" s="2">
        <f>MAX(0,L604-M604)</f>
        <v/>
      </c>
      <c r="O604" s="2">
        <f>K604-N604</f>
        <v/>
      </c>
      <c r="P604" s="2">
        <f>I604-N604</f>
        <v/>
      </c>
      <c r="Q604" s="5">
        <f>IF(G604&gt;기준일,1,0)</f>
        <v/>
      </c>
      <c r="R604" s="5">
        <f>IF(G604&lt;=기준일,1,0)</f>
        <v/>
      </c>
      <c r="S604" s="2">
        <f>J604*H604</f>
        <v/>
      </c>
      <c r="T604" s="5">
        <f>IF(AND(F604&gt;=표본시작,F604&lt;=표본종료),1,0)</f>
        <v/>
      </c>
      <c r="U604" s="5">
        <f>IF(AND(G604&gt;=조회시작,G604&lt;=조회종료),1,0)</f>
        <v/>
      </c>
    </row>
    <row r="605">
      <c r="A605" s="2">
        <f>ROW()-1</f>
        <v/>
      </c>
      <c r="B605" s="5">
        <f>INDEX(상호범위,D605)</f>
        <v/>
      </c>
      <c r="C605" s="5">
        <f>INDEX(플랫폼명범위,E605)</f>
        <v/>
      </c>
      <c r="D605" s="2">
        <f>MOD(INT((A605-1)/4),8)+1</f>
        <v/>
      </c>
      <c r="E605" s="2">
        <f>MOD(A605-1,4)+1</f>
        <v/>
      </c>
      <c r="F605" s="20">
        <f>축시작+INT((A605-1)/32)</f>
        <v/>
      </c>
      <c r="G605" s="20">
        <f>F605+H605</f>
        <v/>
      </c>
      <c r="H605" s="5" t="n">
        <v>10</v>
      </c>
      <c r="I605" s="2">
        <f>ROUND(INDEX(가맹점!$P$2:$P$9,D605)*INDEX(가맹점!$J$2:$M$9,D605,E605),0)</f>
        <v/>
      </c>
      <c r="J605" s="2">
        <f>ROUND(I605*(1-할인율),0)</f>
        <v/>
      </c>
      <c r="K605" s="2">
        <f>ROUNDDOWN(I605*할인율,0)</f>
        <v/>
      </c>
      <c r="L605" s="2">
        <f>ROUND(I605*INDEX(미지급률범위,E605),0)</f>
        <v/>
      </c>
      <c r="M605" s="2">
        <f>ROUND(I605*INDEX(과지급률범위,E605),0)</f>
        <v/>
      </c>
      <c r="N605" s="2">
        <f>MAX(0,L605-M605)</f>
        <v/>
      </c>
      <c r="O605" s="2">
        <f>K605-N605</f>
        <v/>
      </c>
      <c r="P605" s="2">
        <f>I605-N605</f>
        <v/>
      </c>
      <c r="Q605" s="5">
        <f>IF(G605&gt;기준일,1,0)</f>
        <v/>
      </c>
      <c r="R605" s="5">
        <f>IF(G605&lt;=기준일,1,0)</f>
        <v/>
      </c>
      <c r="S605" s="2">
        <f>J605*H605</f>
        <v/>
      </c>
      <c r="T605" s="5">
        <f>IF(AND(F605&gt;=표본시작,F605&lt;=표본종료),1,0)</f>
        <v/>
      </c>
      <c r="U605" s="5">
        <f>IF(AND(G605&gt;=조회시작,G605&lt;=조회종료),1,0)</f>
        <v/>
      </c>
    </row>
    <row r="606">
      <c r="A606" s="2">
        <f>ROW()-1</f>
        <v/>
      </c>
      <c r="B606" s="5">
        <f>INDEX(상호범위,D606)</f>
        <v/>
      </c>
      <c r="C606" s="5">
        <f>INDEX(플랫폼명범위,E606)</f>
        <v/>
      </c>
      <c r="D606" s="2">
        <f>MOD(INT((A606-1)/4),8)+1</f>
        <v/>
      </c>
      <c r="E606" s="2">
        <f>MOD(A606-1,4)+1</f>
        <v/>
      </c>
      <c r="F606" s="20">
        <f>축시작+INT((A606-1)/32)</f>
        <v/>
      </c>
      <c r="G606" s="20">
        <f>F606+H606</f>
        <v/>
      </c>
      <c r="H606" s="5" t="n">
        <v>1</v>
      </c>
      <c r="I606" s="2">
        <f>ROUND(INDEX(가맹점!$P$2:$P$9,D606)*INDEX(가맹점!$J$2:$M$9,D606,E606),0)</f>
        <v/>
      </c>
      <c r="J606" s="2">
        <f>ROUND(I606*(1-할인율),0)</f>
        <v/>
      </c>
      <c r="K606" s="2">
        <f>ROUNDDOWN(I606*할인율,0)</f>
        <v/>
      </c>
      <c r="L606" s="2">
        <f>ROUND(I606*INDEX(미지급률범위,E606),0)</f>
        <v/>
      </c>
      <c r="M606" s="2">
        <f>ROUND(I606*INDEX(과지급률범위,E606),0)</f>
        <v/>
      </c>
      <c r="N606" s="2">
        <f>MAX(0,L606-M606)</f>
        <v/>
      </c>
      <c r="O606" s="2">
        <f>K606-N606</f>
        <v/>
      </c>
      <c r="P606" s="2">
        <f>I606-N606</f>
        <v/>
      </c>
      <c r="Q606" s="5">
        <f>IF(G606&gt;기준일,1,0)</f>
        <v/>
      </c>
      <c r="R606" s="5">
        <f>IF(G606&lt;=기준일,1,0)</f>
        <v/>
      </c>
      <c r="S606" s="2">
        <f>J606*H606</f>
        <v/>
      </c>
      <c r="T606" s="5">
        <f>IF(AND(F606&gt;=표본시작,F606&lt;=표본종료),1,0)</f>
        <v/>
      </c>
      <c r="U606" s="5">
        <f>IF(AND(G606&gt;=조회시작,G606&lt;=조회종료),1,0)</f>
        <v/>
      </c>
    </row>
    <row r="607">
      <c r="A607" s="2">
        <f>ROW()-1</f>
        <v/>
      </c>
      <c r="B607" s="5">
        <f>INDEX(상호범위,D607)</f>
        <v/>
      </c>
      <c r="C607" s="5">
        <f>INDEX(플랫폼명범위,E607)</f>
        <v/>
      </c>
      <c r="D607" s="2">
        <f>MOD(INT((A607-1)/4),8)+1</f>
        <v/>
      </c>
      <c r="E607" s="2">
        <f>MOD(A607-1,4)+1</f>
        <v/>
      </c>
      <c r="F607" s="20">
        <f>축시작+INT((A607-1)/32)</f>
        <v/>
      </c>
      <c r="G607" s="20">
        <f>F607+H607</f>
        <v/>
      </c>
      <c r="H607" s="5" t="n">
        <v>5</v>
      </c>
      <c r="I607" s="2">
        <f>ROUND(INDEX(가맹점!$P$2:$P$9,D607)*INDEX(가맹점!$J$2:$M$9,D607,E607),0)</f>
        <v/>
      </c>
      <c r="J607" s="2">
        <f>ROUND(I607*(1-할인율),0)</f>
        <v/>
      </c>
      <c r="K607" s="2">
        <f>ROUNDDOWN(I607*할인율,0)</f>
        <v/>
      </c>
      <c r="L607" s="2">
        <f>ROUND(I607*INDEX(미지급률범위,E607),0)</f>
        <v/>
      </c>
      <c r="M607" s="2">
        <f>ROUND(I607*INDEX(과지급률범위,E607),0)</f>
        <v/>
      </c>
      <c r="N607" s="2">
        <f>MAX(0,L607-M607)</f>
        <v/>
      </c>
      <c r="O607" s="2">
        <f>K607-N607</f>
        <v/>
      </c>
      <c r="P607" s="2">
        <f>I607-N607</f>
        <v/>
      </c>
      <c r="Q607" s="5">
        <f>IF(G607&gt;기준일,1,0)</f>
        <v/>
      </c>
      <c r="R607" s="5">
        <f>IF(G607&lt;=기준일,1,0)</f>
        <v/>
      </c>
      <c r="S607" s="2">
        <f>J607*H607</f>
        <v/>
      </c>
      <c r="T607" s="5">
        <f>IF(AND(F607&gt;=표본시작,F607&lt;=표본종료),1,0)</f>
        <v/>
      </c>
      <c r="U607" s="5">
        <f>IF(AND(G607&gt;=조회시작,G607&lt;=조회종료),1,0)</f>
        <v/>
      </c>
    </row>
    <row r="608">
      <c r="A608" s="2">
        <f>ROW()-1</f>
        <v/>
      </c>
      <c r="B608" s="5">
        <f>INDEX(상호범위,D608)</f>
        <v/>
      </c>
      <c r="C608" s="5">
        <f>INDEX(플랫폼명범위,E608)</f>
        <v/>
      </c>
      <c r="D608" s="2">
        <f>MOD(INT((A608-1)/4),8)+1</f>
        <v/>
      </c>
      <c r="E608" s="2">
        <f>MOD(A608-1,4)+1</f>
        <v/>
      </c>
      <c r="F608" s="20">
        <f>축시작+INT((A608-1)/32)</f>
        <v/>
      </c>
      <c r="G608" s="20">
        <f>F608+H608</f>
        <v/>
      </c>
      <c r="H608" s="5" t="n">
        <v>3</v>
      </c>
      <c r="I608" s="2">
        <f>ROUND(INDEX(가맹점!$P$2:$P$9,D608)*INDEX(가맹점!$J$2:$M$9,D608,E608),0)</f>
        <v/>
      </c>
      <c r="J608" s="2">
        <f>ROUND(I608*(1-할인율),0)</f>
        <v/>
      </c>
      <c r="K608" s="2">
        <f>ROUNDDOWN(I608*할인율,0)</f>
        <v/>
      </c>
      <c r="L608" s="2">
        <f>ROUND(I608*INDEX(미지급률범위,E608),0)</f>
        <v/>
      </c>
      <c r="M608" s="2">
        <f>ROUND(I608*INDEX(과지급률범위,E608),0)</f>
        <v/>
      </c>
      <c r="N608" s="2">
        <f>MAX(0,L608-M608)</f>
        <v/>
      </c>
      <c r="O608" s="2">
        <f>K608-N608</f>
        <v/>
      </c>
      <c r="P608" s="2">
        <f>I608-N608</f>
        <v/>
      </c>
      <c r="Q608" s="5">
        <f>IF(G608&gt;기준일,1,0)</f>
        <v/>
      </c>
      <c r="R608" s="5">
        <f>IF(G608&lt;=기준일,1,0)</f>
        <v/>
      </c>
      <c r="S608" s="2">
        <f>J608*H608</f>
        <v/>
      </c>
      <c r="T608" s="5">
        <f>IF(AND(F608&gt;=표본시작,F608&lt;=표본종료),1,0)</f>
        <v/>
      </c>
      <c r="U608" s="5">
        <f>IF(AND(G608&gt;=조회시작,G608&lt;=조회종료),1,0)</f>
        <v/>
      </c>
    </row>
    <row r="609">
      <c r="A609" s="2">
        <f>ROW()-1</f>
        <v/>
      </c>
      <c r="B609" s="5">
        <f>INDEX(상호범위,D609)</f>
        <v/>
      </c>
      <c r="C609" s="5">
        <f>INDEX(플랫폼명범위,E609)</f>
        <v/>
      </c>
      <c r="D609" s="2">
        <f>MOD(INT((A609-1)/4),8)+1</f>
        <v/>
      </c>
      <c r="E609" s="2">
        <f>MOD(A609-1,4)+1</f>
        <v/>
      </c>
      <c r="F609" s="20">
        <f>축시작+INT((A609-1)/32)</f>
        <v/>
      </c>
      <c r="G609" s="20">
        <f>F609+H609</f>
        <v/>
      </c>
      <c r="H609" s="5" t="n">
        <v>6</v>
      </c>
      <c r="I609" s="2">
        <f>ROUND(INDEX(가맹점!$P$2:$P$9,D609)*INDEX(가맹점!$J$2:$M$9,D609,E609),0)</f>
        <v/>
      </c>
      <c r="J609" s="2">
        <f>ROUND(I609*(1-할인율),0)</f>
        <v/>
      </c>
      <c r="K609" s="2">
        <f>ROUNDDOWN(I609*할인율,0)</f>
        <v/>
      </c>
      <c r="L609" s="2">
        <f>ROUND(I609*INDEX(미지급률범위,E609),0)</f>
        <v/>
      </c>
      <c r="M609" s="2">
        <f>ROUND(I609*INDEX(과지급률범위,E609),0)</f>
        <v/>
      </c>
      <c r="N609" s="2">
        <f>MAX(0,L609-M609)</f>
        <v/>
      </c>
      <c r="O609" s="2">
        <f>K609-N609</f>
        <v/>
      </c>
      <c r="P609" s="2">
        <f>I609-N609</f>
        <v/>
      </c>
      <c r="Q609" s="5">
        <f>IF(G609&gt;기준일,1,0)</f>
        <v/>
      </c>
      <c r="R609" s="5">
        <f>IF(G609&lt;=기준일,1,0)</f>
        <v/>
      </c>
      <c r="S609" s="2">
        <f>J609*H609</f>
        <v/>
      </c>
      <c r="T609" s="5">
        <f>IF(AND(F609&gt;=표본시작,F609&lt;=표본종료),1,0)</f>
        <v/>
      </c>
      <c r="U609" s="5">
        <f>IF(AND(G609&gt;=조회시작,G609&lt;=조회종료),1,0)</f>
        <v/>
      </c>
    </row>
    <row r="610">
      <c r="A610" s="2">
        <f>ROW()-1</f>
        <v/>
      </c>
      <c r="B610" s="5">
        <f>INDEX(상호범위,D610)</f>
        <v/>
      </c>
      <c r="C610" s="5">
        <f>INDEX(플랫폼명범위,E610)</f>
        <v/>
      </c>
      <c r="D610" s="2">
        <f>MOD(INT((A610-1)/4),8)+1</f>
        <v/>
      </c>
      <c r="E610" s="2">
        <f>MOD(A610-1,4)+1</f>
        <v/>
      </c>
      <c r="F610" s="20">
        <f>축시작+INT((A610-1)/32)</f>
        <v/>
      </c>
      <c r="G610" s="20">
        <f>F610+H610</f>
        <v/>
      </c>
      <c r="H610" s="5" t="n">
        <v>1</v>
      </c>
      <c r="I610" s="2">
        <f>ROUND(INDEX(가맹점!$P$2:$P$9,D610)*INDEX(가맹점!$J$2:$M$9,D610,E610),0)</f>
        <v/>
      </c>
      <c r="J610" s="2">
        <f>ROUND(I610*(1-할인율),0)</f>
        <v/>
      </c>
      <c r="K610" s="2">
        <f>ROUNDDOWN(I610*할인율,0)</f>
        <v/>
      </c>
      <c r="L610" s="2">
        <f>ROUND(I610*INDEX(미지급률범위,E610),0)</f>
        <v/>
      </c>
      <c r="M610" s="2">
        <f>ROUND(I610*INDEX(과지급률범위,E610),0)</f>
        <v/>
      </c>
      <c r="N610" s="2">
        <f>MAX(0,L610-M610)</f>
        <v/>
      </c>
      <c r="O610" s="2">
        <f>K610-N610</f>
        <v/>
      </c>
      <c r="P610" s="2">
        <f>I610-N610</f>
        <v/>
      </c>
      <c r="Q610" s="5">
        <f>IF(G610&gt;기준일,1,0)</f>
        <v/>
      </c>
      <c r="R610" s="5">
        <f>IF(G610&lt;=기준일,1,0)</f>
        <v/>
      </c>
      <c r="S610" s="2">
        <f>J610*H610</f>
        <v/>
      </c>
      <c r="T610" s="5">
        <f>IF(AND(F610&gt;=표본시작,F610&lt;=표본종료),1,0)</f>
        <v/>
      </c>
      <c r="U610" s="5">
        <f>IF(AND(G610&gt;=조회시작,G610&lt;=조회종료),1,0)</f>
        <v/>
      </c>
    </row>
    <row r="611">
      <c r="A611" s="2">
        <f>ROW()-1</f>
        <v/>
      </c>
      <c r="B611" s="5">
        <f>INDEX(상호범위,D611)</f>
        <v/>
      </c>
      <c r="C611" s="5">
        <f>INDEX(플랫폼명범위,E611)</f>
        <v/>
      </c>
      <c r="D611" s="2">
        <f>MOD(INT((A611-1)/4),8)+1</f>
        <v/>
      </c>
      <c r="E611" s="2">
        <f>MOD(A611-1,4)+1</f>
        <v/>
      </c>
      <c r="F611" s="20">
        <f>축시작+INT((A611-1)/32)</f>
        <v/>
      </c>
      <c r="G611" s="20">
        <f>F611+H611</f>
        <v/>
      </c>
      <c r="H611" s="5" t="n">
        <v>4</v>
      </c>
      <c r="I611" s="2">
        <f>ROUND(INDEX(가맹점!$P$2:$P$9,D611)*INDEX(가맹점!$J$2:$M$9,D611,E611),0)</f>
        <v/>
      </c>
      <c r="J611" s="2">
        <f>ROUND(I611*(1-할인율),0)</f>
        <v/>
      </c>
      <c r="K611" s="2">
        <f>ROUNDDOWN(I611*할인율,0)</f>
        <v/>
      </c>
      <c r="L611" s="2">
        <f>ROUND(I611*INDEX(미지급률범위,E611),0)</f>
        <v/>
      </c>
      <c r="M611" s="2">
        <f>ROUND(I611*INDEX(과지급률범위,E611),0)</f>
        <v/>
      </c>
      <c r="N611" s="2">
        <f>MAX(0,L611-M611)</f>
        <v/>
      </c>
      <c r="O611" s="2">
        <f>K611-N611</f>
        <v/>
      </c>
      <c r="P611" s="2">
        <f>I611-N611</f>
        <v/>
      </c>
      <c r="Q611" s="5">
        <f>IF(G611&gt;기준일,1,0)</f>
        <v/>
      </c>
      <c r="R611" s="5">
        <f>IF(G611&lt;=기준일,1,0)</f>
        <v/>
      </c>
      <c r="S611" s="2">
        <f>J611*H611</f>
        <v/>
      </c>
      <c r="T611" s="5">
        <f>IF(AND(F611&gt;=표본시작,F611&lt;=표본종료),1,0)</f>
        <v/>
      </c>
      <c r="U611" s="5">
        <f>IF(AND(G611&gt;=조회시작,G611&lt;=조회종료),1,0)</f>
        <v/>
      </c>
    </row>
    <row r="612">
      <c r="A612" s="2">
        <f>ROW()-1</f>
        <v/>
      </c>
      <c r="B612" s="5">
        <f>INDEX(상호범위,D612)</f>
        <v/>
      </c>
      <c r="C612" s="5">
        <f>INDEX(플랫폼명범위,E612)</f>
        <v/>
      </c>
      <c r="D612" s="2">
        <f>MOD(INT((A612-1)/4),8)+1</f>
        <v/>
      </c>
      <c r="E612" s="2">
        <f>MOD(A612-1,4)+1</f>
        <v/>
      </c>
      <c r="F612" s="20">
        <f>축시작+INT((A612-1)/32)</f>
        <v/>
      </c>
      <c r="G612" s="20">
        <f>F612+H612</f>
        <v/>
      </c>
      <c r="H612" s="5" t="n">
        <v>5</v>
      </c>
      <c r="I612" s="2">
        <f>ROUND(INDEX(가맹점!$P$2:$P$9,D612)*INDEX(가맹점!$J$2:$M$9,D612,E612),0)</f>
        <v/>
      </c>
      <c r="J612" s="2">
        <f>ROUND(I612*(1-할인율),0)</f>
        <v/>
      </c>
      <c r="K612" s="2">
        <f>ROUNDDOWN(I612*할인율,0)</f>
        <v/>
      </c>
      <c r="L612" s="2">
        <f>ROUND(I612*INDEX(미지급률범위,E612),0)</f>
        <v/>
      </c>
      <c r="M612" s="2">
        <f>ROUND(I612*INDEX(과지급률범위,E612),0)</f>
        <v/>
      </c>
      <c r="N612" s="2">
        <f>MAX(0,L612-M612)</f>
        <v/>
      </c>
      <c r="O612" s="2">
        <f>K612-N612</f>
        <v/>
      </c>
      <c r="P612" s="2">
        <f>I612-N612</f>
        <v/>
      </c>
      <c r="Q612" s="5">
        <f>IF(G612&gt;기준일,1,0)</f>
        <v/>
      </c>
      <c r="R612" s="5">
        <f>IF(G612&lt;=기준일,1,0)</f>
        <v/>
      </c>
      <c r="S612" s="2">
        <f>J612*H612</f>
        <v/>
      </c>
      <c r="T612" s="5">
        <f>IF(AND(F612&gt;=표본시작,F612&lt;=표본종료),1,0)</f>
        <v/>
      </c>
      <c r="U612" s="5">
        <f>IF(AND(G612&gt;=조회시작,G612&lt;=조회종료),1,0)</f>
        <v/>
      </c>
    </row>
    <row r="613">
      <c r="A613" s="2">
        <f>ROW()-1</f>
        <v/>
      </c>
      <c r="B613" s="5">
        <f>INDEX(상호범위,D613)</f>
        <v/>
      </c>
      <c r="C613" s="5">
        <f>INDEX(플랫폼명범위,E613)</f>
        <v/>
      </c>
      <c r="D613" s="2">
        <f>MOD(INT((A613-1)/4),8)+1</f>
        <v/>
      </c>
      <c r="E613" s="2">
        <f>MOD(A613-1,4)+1</f>
        <v/>
      </c>
      <c r="F613" s="20">
        <f>축시작+INT((A613-1)/32)</f>
        <v/>
      </c>
      <c r="G613" s="20">
        <f>F613+H613</f>
        <v/>
      </c>
      <c r="H613" s="5" t="n">
        <v>6</v>
      </c>
      <c r="I613" s="2">
        <f>ROUND(INDEX(가맹점!$P$2:$P$9,D613)*INDEX(가맹점!$J$2:$M$9,D613,E613),0)</f>
        <v/>
      </c>
      <c r="J613" s="2">
        <f>ROUND(I613*(1-할인율),0)</f>
        <v/>
      </c>
      <c r="K613" s="2">
        <f>ROUNDDOWN(I613*할인율,0)</f>
        <v/>
      </c>
      <c r="L613" s="2">
        <f>ROUND(I613*INDEX(미지급률범위,E613),0)</f>
        <v/>
      </c>
      <c r="M613" s="2">
        <f>ROUND(I613*INDEX(과지급률범위,E613),0)</f>
        <v/>
      </c>
      <c r="N613" s="2">
        <f>MAX(0,L613-M613)</f>
        <v/>
      </c>
      <c r="O613" s="2">
        <f>K613-N613</f>
        <v/>
      </c>
      <c r="P613" s="2">
        <f>I613-N613</f>
        <v/>
      </c>
      <c r="Q613" s="5">
        <f>IF(G613&gt;기준일,1,0)</f>
        <v/>
      </c>
      <c r="R613" s="5">
        <f>IF(G613&lt;=기준일,1,0)</f>
        <v/>
      </c>
      <c r="S613" s="2">
        <f>J613*H613</f>
        <v/>
      </c>
      <c r="T613" s="5">
        <f>IF(AND(F613&gt;=표본시작,F613&lt;=표본종료),1,0)</f>
        <v/>
      </c>
      <c r="U613" s="5">
        <f>IF(AND(G613&gt;=조회시작,G613&lt;=조회종료),1,0)</f>
        <v/>
      </c>
    </row>
    <row r="614">
      <c r="A614" s="2">
        <f>ROW()-1</f>
        <v/>
      </c>
      <c r="B614" s="5">
        <f>INDEX(상호범위,D614)</f>
        <v/>
      </c>
      <c r="C614" s="5">
        <f>INDEX(플랫폼명범위,E614)</f>
        <v/>
      </c>
      <c r="D614" s="2">
        <f>MOD(INT((A614-1)/4),8)+1</f>
        <v/>
      </c>
      <c r="E614" s="2">
        <f>MOD(A614-1,4)+1</f>
        <v/>
      </c>
      <c r="F614" s="20">
        <f>축시작+INT((A614-1)/32)</f>
        <v/>
      </c>
      <c r="G614" s="20">
        <f>F614+H614</f>
        <v/>
      </c>
      <c r="H614" s="5" t="n">
        <v>1</v>
      </c>
      <c r="I614" s="2">
        <f>ROUND(INDEX(가맹점!$P$2:$P$9,D614)*INDEX(가맹점!$J$2:$M$9,D614,E614),0)</f>
        <v/>
      </c>
      <c r="J614" s="2">
        <f>ROUND(I614*(1-할인율),0)</f>
        <v/>
      </c>
      <c r="K614" s="2">
        <f>ROUNDDOWN(I614*할인율,0)</f>
        <v/>
      </c>
      <c r="L614" s="2">
        <f>ROUND(I614*INDEX(미지급률범위,E614),0)</f>
        <v/>
      </c>
      <c r="M614" s="2">
        <f>ROUND(I614*INDEX(과지급률범위,E614),0)</f>
        <v/>
      </c>
      <c r="N614" s="2">
        <f>MAX(0,L614-M614)</f>
        <v/>
      </c>
      <c r="O614" s="2">
        <f>K614-N614</f>
        <v/>
      </c>
      <c r="P614" s="2">
        <f>I614-N614</f>
        <v/>
      </c>
      <c r="Q614" s="5">
        <f>IF(G614&gt;기준일,1,0)</f>
        <v/>
      </c>
      <c r="R614" s="5">
        <f>IF(G614&lt;=기준일,1,0)</f>
        <v/>
      </c>
      <c r="S614" s="2">
        <f>J614*H614</f>
        <v/>
      </c>
      <c r="T614" s="5">
        <f>IF(AND(F614&gt;=표본시작,F614&lt;=표본종료),1,0)</f>
        <v/>
      </c>
      <c r="U614" s="5">
        <f>IF(AND(G614&gt;=조회시작,G614&lt;=조회종료),1,0)</f>
        <v/>
      </c>
    </row>
    <row r="615">
      <c r="A615" s="2">
        <f>ROW()-1</f>
        <v/>
      </c>
      <c r="B615" s="5">
        <f>INDEX(상호범위,D615)</f>
        <v/>
      </c>
      <c r="C615" s="5">
        <f>INDEX(플랫폼명범위,E615)</f>
        <v/>
      </c>
      <c r="D615" s="2">
        <f>MOD(INT((A615-1)/4),8)+1</f>
        <v/>
      </c>
      <c r="E615" s="2">
        <f>MOD(A615-1,4)+1</f>
        <v/>
      </c>
      <c r="F615" s="20">
        <f>축시작+INT((A615-1)/32)</f>
        <v/>
      </c>
      <c r="G615" s="20">
        <f>F615+H615</f>
        <v/>
      </c>
      <c r="H615" s="5" t="n">
        <v>4</v>
      </c>
      <c r="I615" s="2">
        <f>ROUND(INDEX(가맹점!$P$2:$P$9,D615)*INDEX(가맹점!$J$2:$M$9,D615,E615),0)</f>
        <v/>
      </c>
      <c r="J615" s="2">
        <f>ROUND(I615*(1-할인율),0)</f>
        <v/>
      </c>
      <c r="K615" s="2">
        <f>ROUNDDOWN(I615*할인율,0)</f>
        <v/>
      </c>
      <c r="L615" s="2">
        <f>ROUND(I615*INDEX(미지급률범위,E615),0)</f>
        <v/>
      </c>
      <c r="M615" s="2">
        <f>ROUND(I615*INDEX(과지급률범위,E615),0)</f>
        <v/>
      </c>
      <c r="N615" s="2">
        <f>MAX(0,L615-M615)</f>
        <v/>
      </c>
      <c r="O615" s="2">
        <f>K615-N615</f>
        <v/>
      </c>
      <c r="P615" s="2">
        <f>I615-N615</f>
        <v/>
      </c>
      <c r="Q615" s="5">
        <f>IF(G615&gt;기준일,1,0)</f>
        <v/>
      </c>
      <c r="R615" s="5">
        <f>IF(G615&lt;=기준일,1,0)</f>
        <v/>
      </c>
      <c r="S615" s="2">
        <f>J615*H615</f>
        <v/>
      </c>
      <c r="T615" s="5">
        <f>IF(AND(F615&gt;=표본시작,F615&lt;=표본종료),1,0)</f>
        <v/>
      </c>
      <c r="U615" s="5">
        <f>IF(AND(G615&gt;=조회시작,G615&lt;=조회종료),1,0)</f>
        <v/>
      </c>
    </row>
    <row r="616">
      <c r="A616" s="2">
        <f>ROW()-1</f>
        <v/>
      </c>
      <c r="B616" s="5">
        <f>INDEX(상호범위,D616)</f>
        <v/>
      </c>
      <c r="C616" s="5">
        <f>INDEX(플랫폼명범위,E616)</f>
        <v/>
      </c>
      <c r="D616" s="2">
        <f>MOD(INT((A616-1)/4),8)+1</f>
        <v/>
      </c>
      <c r="E616" s="2">
        <f>MOD(A616-1,4)+1</f>
        <v/>
      </c>
      <c r="F616" s="20">
        <f>축시작+INT((A616-1)/32)</f>
        <v/>
      </c>
      <c r="G616" s="20">
        <f>F616+H616</f>
        <v/>
      </c>
      <c r="H616" s="5" t="n">
        <v>3</v>
      </c>
      <c r="I616" s="2">
        <f>ROUND(INDEX(가맹점!$P$2:$P$9,D616)*INDEX(가맹점!$J$2:$M$9,D616,E616),0)</f>
        <v/>
      </c>
      <c r="J616" s="2">
        <f>ROUND(I616*(1-할인율),0)</f>
        <v/>
      </c>
      <c r="K616" s="2">
        <f>ROUNDDOWN(I616*할인율,0)</f>
        <v/>
      </c>
      <c r="L616" s="2">
        <f>ROUND(I616*INDEX(미지급률범위,E616),0)</f>
        <v/>
      </c>
      <c r="M616" s="2">
        <f>ROUND(I616*INDEX(과지급률범위,E616),0)</f>
        <v/>
      </c>
      <c r="N616" s="2">
        <f>MAX(0,L616-M616)</f>
        <v/>
      </c>
      <c r="O616" s="2">
        <f>K616-N616</f>
        <v/>
      </c>
      <c r="P616" s="2">
        <f>I616-N616</f>
        <v/>
      </c>
      <c r="Q616" s="5">
        <f>IF(G616&gt;기준일,1,0)</f>
        <v/>
      </c>
      <c r="R616" s="5">
        <f>IF(G616&lt;=기준일,1,0)</f>
        <v/>
      </c>
      <c r="S616" s="2">
        <f>J616*H616</f>
        <v/>
      </c>
      <c r="T616" s="5">
        <f>IF(AND(F616&gt;=표본시작,F616&lt;=표본종료),1,0)</f>
        <v/>
      </c>
      <c r="U616" s="5">
        <f>IF(AND(G616&gt;=조회시작,G616&lt;=조회종료),1,0)</f>
        <v/>
      </c>
    </row>
    <row r="617">
      <c r="A617" s="2">
        <f>ROW()-1</f>
        <v/>
      </c>
      <c r="B617" s="5">
        <f>INDEX(상호범위,D617)</f>
        <v/>
      </c>
      <c r="C617" s="5">
        <f>INDEX(플랫폼명범위,E617)</f>
        <v/>
      </c>
      <c r="D617" s="2">
        <f>MOD(INT((A617-1)/4),8)+1</f>
        <v/>
      </c>
      <c r="E617" s="2">
        <f>MOD(A617-1,4)+1</f>
        <v/>
      </c>
      <c r="F617" s="20">
        <f>축시작+INT((A617-1)/32)</f>
        <v/>
      </c>
      <c r="G617" s="20">
        <f>F617+H617</f>
        <v/>
      </c>
      <c r="H617" s="5" t="n">
        <v>6</v>
      </c>
      <c r="I617" s="2">
        <f>ROUND(INDEX(가맹점!$P$2:$P$9,D617)*INDEX(가맹점!$J$2:$M$9,D617,E617),0)</f>
        <v/>
      </c>
      <c r="J617" s="2">
        <f>ROUND(I617*(1-할인율),0)</f>
        <v/>
      </c>
      <c r="K617" s="2">
        <f>ROUNDDOWN(I617*할인율,0)</f>
        <v/>
      </c>
      <c r="L617" s="2">
        <f>ROUND(I617*INDEX(미지급률범위,E617),0)</f>
        <v/>
      </c>
      <c r="M617" s="2">
        <f>ROUND(I617*INDEX(과지급률범위,E617),0)</f>
        <v/>
      </c>
      <c r="N617" s="2">
        <f>MAX(0,L617-M617)</f>
        <v/>
      </c>
      <c r="O617" s="2">
        <f>K617-N617</f>
        <v/>
      </c>
      <c r="P617" s="2">
        <f>I617-N617</f>
        <v/>
      </c>
      <c r="Q617" s="5">
        <f>IF(G617&gt;기준일,1,0)</f>
        <v/>
      </c>
      <c r="R617" s="5">
        <f>IF(G617&lt;=기준일,1,0)</f>
        <v/>
      </c>
      <c r="S617" s="2">
        <f>J617*H617</f>
        <v/>
      </c>
      <c r="T617" s="5">
        <f>IF(AND(F617&gt;=표본시작,F617&lt;=표본종료),1,0)</f>
        <v/>
      </c>
      <c r="U617" s="5">
        <f>IF(AND(G617&gt;=조회시작,G617&lt;=조회종료),1,0)</f>
        <v/>
      </c>
    </row>
    <row r="618">
      <c r="A618" s="2">
        <f>ROW()-1</f>
        <v/>
      </c>
      <c r="B618" s="5">
        <f>INDEX(상호범위,D618)</f>
        <v/>
      </c>
      <c r="C618" s="5">
        <f>INDEX(플랫폼명범위,E618)</f>
        <v/>
      </c>
      <c r="D618" s="2">
        <f>MOD(INT((A618-1)/4),8)+1</f>
        <v/>
      </c>
      <c r="E618" s="2">
        <f>MOD(A618-1,4)+1</f>
        <v/>
      </c>
      <c r="F618" s="20">
        <f>축시작+INT((A618-1)/32)</f>
        <v/>
      </c>
      <c r="G618" s="20">
        <f>F618+H618</f>
        <v/>
      </c>
      <c r="H618" s="5" t="n">
        <v>1</v>
      </c>
      <c r="I618" s="2">
        <f>ROUND(INDEX(가맹점!$P$2:$P$9,D618)*INDEX(가맹점!$J$2:$M$9,D618,E618),0)</f>
        <v/>
      </c>
      <c r="J618" s="2">
        <f>ROUND(I618*(1-할인율),0)</f>
        <v/>
      </c>
      <c r="K618" s="2">
        <f>ROUNDDOWN(I618*할인율,0)</f>
        <v/>
      </c>
      <c r="L618" s="2">
        <f>ROUND(I618*INDEX(미지급률범위,E618),0)</f>
        <v/>
      </c>
      <c r="M618" s="2">
        <f>ROUND(I618*INDEX(과지급률범위,E618),0)</f>
        <v/>
      </c>
      <c r="N618" s="2">
        <f>MAX(0,L618-M618)</f>
        <v/>
      </c>
      <c r="O618" s="2">
        <f>K618-N618</f>
        <v/>
      </c>
      <c r="P618" s="2">
        <f>I618-N618</f>
        <v/>
      </c>
      <c r="Q618" s="5">
        <f>IF(G618&gt;기준일,1,0)</f>
        <v/>
      </c>
      <c r="R618" s="5">
        <f>IF(G618&lt;=기준일,1,0)</f>
        <v/>
      </c>
      <c r="S618" s="2">
        <f>J618*H618</f>
        <v/>
      </c>
      <c r="T618" s="5">
        <f>IF(AND(F618&gt;=표본시작,F618&lt;=표본종료),1,0)</f>
        <v/>
      </c>
      <c r="U618" s="5">
        <f>IF(AND(G618&gt;=조회시작,G618&lt;=조회종료),1,0)</f>
        <v/>
      </c>
    </row>
    <row r="619">
      <c r="A619" s="2">
        <f>ROW()-1</f>
        <v/>
      </c>
      <c r="B619" s="5">
        <f>INDEX(상호범위,D619)</f>
        <v/>
      </c>
      <c r="C619" s="5">
        <f>INDEX(플랫폼명범위,E619)</f>
        <v/>
      </c>
      <c r="D619" s="2">
        <f>MOD(INT((A619-1)/4),8)+1</f>
        <v/>
      </c>
      <c r="E619" s="2">
        <f>MOD(A619-1,4)+1</f>
        <v/>
      </c>
      <c r="F619" s="20">
        <f>축시작+INT((A619-1)/32)</f>
        <v/>
      </c>
      <c r="G619" s="20">
        <f>F619+H619</f>
        <v/>
      </c>
      <c r="H619" s="5" t="n">
        <v>4</v>
      </c>
      <c r="I619" s="2">
        <f>ROUND(INDEX(가맹점!$P$2:$P$9,D619)*INDEX(가맹점!$J$2:$M$9,D619,E619),0)</f>
        <v/>
      </c>
      <c r="J619" s="2">
        <f>ROUND(I619*(1-할인율),0)</f>
        <v/>
      </c>
      <c r="K619" s="2">
        <f>ROUNDDOWN(I619*할인율,0)</f>
        <v/>
      </c>
      <c r="L619" s="2">
        <f>ROUND(I619*INDEX(미지급률범위,E619),0)</f>
        <v/>
      </c>
      <c r="M619" s="2">
        <f>ROUND(I619*INDEX(과지급률범위,E619),0)</f>
        <v/>
      </c>
      <c r="N619" s="2">
        <f>MAX(0,L619-M619)</f>
        <v/>
      </c>
      <c r="O619" s="2">
        <f>K619-N619</f>
        <v/>
      </c>
      <c r="P619" s="2">
        <f>I619-N619</f>
        <v/>
      </c>
      <c r="Q619" s="5">
        <f>IF(G619&gt;기준일,1,0)</f>
        <v/>
      </c>
      <c r="R619" s="5">
        <f>IF(G619&lt;=기준일,1,0)</f>
        <v/>
      </c>
      <c r="S619" s="2">
        <f>J619*H619</f>
        <v/>
      </c>
      <c r="T619" s="5">
        <f>IF(AND(F619&gt;=표본시작,F619&lt;=표본종료),1,0)</f>
        <v/>
      </c>
      <c r="U619" s="5">
        <f>IF(AND(G619&gt;=조회시작,G619&lt;=조회종료),1,0)</f>
        <v/>
      </c>
    </row>
    <row r="620">
      <c r="A620" s="2">
        <f>ROW()-1</f>
        <v/>
      </c>
      <c r="B620" s="5">
        <f>INDEX(상호범위,D620)</f>
        <v/>
      </c>
      <c r="C620" s="5">
        <f>INDEX(플랫폼명범위,E620)</f>
        <v/>
      </c>
      <c r="D620" s="2">
        <f>MOD(INT((A620-1)/4),8)+1</f>
        <v/>
      </c>
      <c r="E620" s="2">
        <f>MOD(A620-1,4)+1</f>
        <v/>
      </c>
      <c r="F620" s="20">
        <f>축시작+INT((A620-1)/32)</f>
        <v/>
      </c>
      <c r="G620" s="20">
        <f>F620+H620</f>
        <v/>
      </c>
      <c r="H620" s="5" t="n">
        <v>3</v>
      </c>
      <c r="I620" s="2">
        <f>ROUND(INDEX(가맹점!$P$2:$P$9,D620)*INDEX(가맹점!$J$2:$M$9,D620,E620),0)</f>
        <v/>
      </c>
      <c r="J620" s="2">
        <f>ROUND(I620*(1-할인율),0)</f>
        <v/>
      </c>
      <c r="K620" s="2">
        <f>ROUNDDOWN(I620*할인율,0)</f>
        <v/>
      </c>
      <c r="L620" s="2">
        <f>ROUND(I620*INDEX(미지급률범위,E620),0)</f>
        <v/>
      </c>
      <c r="M620" s="2">
        <f>ROUND(I620*INDEX(과지급률범위,E620),0)</f>
        <v/>
      </c>
      <c r="N620" s="2">
        <f>MAX(0,L620-M620)</f>
        <v/>
      </c>
      <c r="O620" s="2">
        <f>K620-N620</f>
        <v/>
      </c>
      <c r="P620" s="2">
        <f>I620-N620</f>
        <v/>
      </c>
      <c r="Q620" s="5">
        <f>IF(G620&gt;기준일,1,0)</f>
        <v/>
      </c>
      <c r="R620" s="5">
        <f>IF(G620&lt;=기준일,1,0)</f>
        <v/>
      </c>
      <c r="S620" s="2">
        <f>J620*H620</f>
        <v/>
      </c>
      <c r="T620" s="5">
        <f>IF(AND(F620&gt;=표본시작,F620&lt;=표본종료),1,0)</f>
        <v/>
      </c>
      <c r="U620" s="5">
        <f>IF(AND(G620&gt;=조회시작,G620&lt;=조회종료),1,0)</f>
        <v/>
      </c>
    </row>
    <row r="621">
      <c r="A621" s="2">
        <f>ROW()-1</f>
        <v/>
      </c>
      <c r="B621" s="5">
        <f>INDEX(상호범위,D621)</f>
        <v/>
      </c>
      <c r="C621" s="5">
        <f>INDEX(플랫폼명범위,E621)</f>
        <v/>
      </c>
      <c r="D621" s="2">
        <f>MOD(INT((A621-1)/4),8)+1</f>
        <v/>
      </c>
      <c r="E621" s="2">
        <f>MOD(A621-1,4)+1</f>
        <v/>
      </c>
      <c r="F621" s="20">
        <f>축시작+INT((A621-1)/32)</f>
        <v/>
      </c>
      <c r="G621" s="20">
        <f>F621+H621</f>
        <v/>
      </c>
      <c r="H621" s="5" t="n">
        <v>6</v>
      </c>
      <c r="I621" s="2">
        <f>ROUND(INDEX(가맹점!$P$2:$P$9,D621)*INDEX(가맹점!$J$2:$M$9,D621,E621),0)</f>
        <v/>
      </c>
      <c r="J621" s="2">
        <f>ROUND(I621*(1-할인율),0)</f>
        <v/>
      </c>
      <c r="K621" s="2">
        <f>ROUNDDOWN(I621*할인율,0)</f>
        <v/>
      </c>
      <c r="L621" s="2">
        <f>ROUND(I621*INDEX(미지급률범위,E621),0)</f>
        <v/>
      </c>
      <c r="M621" s="2">
        <f>ROUND(I621*INDEX(과지급률범위,E621),0)</f>
        <v/>
      </c>
      <c r="N621" s="2">
        <f>MAX(0,L621-M621)</f>
        <v/>
      </c>
      <c r="O621" s="2">
        <f>K621-N621</f>
        <v/>
      </c>
      <c r="P621" s="2">
        <f>I621-N621</f>
        <v/>
      </c>
      <c r="Q621" s="5">
        <f>IF(G621&gt;기준일,1,0)</f>
        <v/>
      </c>
      <c r="R621" s="5">
        <f>IF(G621&lt;=기준일,1,0)</f>
        <v/>
      </c>
      <c r="S621" s="2">
        <f>J621*H621</f>
        <v/>
      </c>
      <c r="T621" s="5">
        <f>IF(AND(F621&gt;=표본시작,F621&lt;=표본종료),1,0)</f>
        <v/>
      </c>
      <c r="U621" s="5">
        <f>IF(AND(G621&gt;=조회시작,G621&lt;=조회종료),1,0)</f>
        <v/>
      </c>
    </row>
    <row r="622">
      <c r="A622" s="2">
        <f>ROW()-1</f>
        <v/>
      </c>
      <c r="B622" s="5">
        <f>INDEX(상호범위,D622)</f>
        <v/>
      </c>
      <c r="C622" s="5">
        <f>INDEX(플랫폼명범위,E622)</f>
        <v/>
      </c>
      <c r="D622" s="2">
        <f>MOD(INT((A622-1)/4),8)+1</f>
        <v/>
      </c>
      <c r="E622" s="2">
        <f>MOD(A622-1,4)+1</f>
        <v/>
      </c>
      <c r="F622" s="20">
        <f>축시작+INT((A622-1)/32)</f>
        <v/>
      </c>
      <c r="G622" s="20">
        <f>F622+H622</f>
        <v/>
      </c>
      <c r="H622" s="5" t="n">
        <v>1</v>
      </c>
      <c r="I622" s="2">
        <f>ROUND(INDEX(가맹점!$P$2:$P$9,D622)*INDEX(가맹점!$J$2:$M$9,D622,E622),0)</f>
        <v/>
      </c>
      <c r="J622" s="2">
        <f>ROUND(I622*(1-할인율),0)</f>
        <v/>
      </c>
      <c r="K622" s="2">
        <f>ROUNDDOWN(I622*할인율,0)</f>
        <v/>
      </c>
      <c r="L622" s="2">
        <f>ROUND(I622*INDEX(미지급률범위,E622),0)</f>
        <v/>
      </c>
      <c r="M622" s="2">
        <f>ROUND(I622*INDEX(과지급률범위,E622),0)</f>
        <v/>
      </c>
      <c r="N622" s="2">
        <f>MAX(0,L622-M622)</f>
        <v/>
      </c>
      <c r="O622" s="2">
        <f>K622-N622</f>
        <v/>
      </c>
      <c r="P622" s="2">
        <f>I622-N622</f>
        <v/>
      </c>
      <c r="Q622" s="5">
        <f>IF(G622&gt;기준일,1,0)</f>
        <v/>
      </c>
      <c r="R622" s="5">
        <f>IF(G622&lt;=기준일,1,0)</f>
        <v/>
      </c>
      <c r="S622" s="2">
        <f>J622*H622</f>
        <v/>
      </c>
      <c r="T622" s="5">
        <f>IF(AND(F622&gt;=표본시작,F622&lt;=표본종료),1,0)</f>
        <v/>
      </c>
      <c r="U622" s="5">
        <f>IF(AND(G622&gt;=조회시작,G622&lt;=조회종료),1,0)</f>
        <v/>
      </c>
    </row>
    <row r="623">
      <c r="A623" s="2">
        <f>ROW()-1</f>
        <v/>
      </c>
      <c r="B623" s="5">
        <f>INDEX(상호범위,D623)</f>
        <v/>
      </c>
      <c r="C623" s="5">
        <f>INDEX(플랫폼명범위,E623)</f>
        <v/>
      </c>
      <c r="D623" s="2">
        <f>MOD(INT((A623-1)/4),8)+1</f>
        <v/>
      </c>
      <c r="E623" s="2">
        <f>MOD(A623-1,4)+1</f>
        <v/>
      </c>
      <c r="F623" s="20">
        <f>축시작+INT((A623-1)/32)</f>
        <v/>
      </c>
      <c r="G623" s="20">
        <f>F623+H623</f>
        <v/>
      </c>
      <c r="H623" s="5" t="n">
        <v>9</v>
      </c>
      <c r="I623" s="2">
        <f>ROUND(INDEX(가맹점!$P$2:$P$9,D623)*INDEX(가맹점!$J$2:$M$9,D623,E623),0)</f>
        <v/>
      </c>
      <c r="J623" s="2">
        <f>ROUND(I623*(1-할인율),0)</f>
        <v/>
      </c>
      <c r="K623" s="2">
        <f>ROUNDDOWN(I623*할인율,0)</f>
        <v/>
      </c>
      <c r="L623" s="2">
        <f>ROUND(I623*INDEX(미지급률범위,E623),0)</f>
        <v/>
      </c>
      <c r="M623" s="2">
        <f>ROUND(I623*INDEX(과지급률범위,E623),0)</f>
        <v/>
      </c>
      <c r="N623" s="2">
        <f>MAX(0,L623-M623)</f>
        <v/>
      </c>
      <c r="O623" s="2">
        <f>K623-N623</f>
        <v/>
      </c>
      <c r="P623" s="2">
        <f>I623-N623</f>
        <v/>
      </c>
      <c r="Q623" s="5">
        <f>IF(G623&gt;기준일,1,0)</f>
        <v/>
      </c>
      <c r="R623" s="5">
        <f>IF(G623&lt;=기준일,1,0)</f>
        <v/>
      </c>
      <c r="S623" s="2">
        <f>J623*H623</f>
        <v/>
      </c>
      <c r="T623" s="5">
        <f>IF(AND(F623&gt;=표본시작,F623&lt;=표본종료),1,0)</f>
        <v/>
      </c>
      <c r="U623" s="5">
        <f>IF(AND(G623&gt;=조회시작,G623&lt;=조회종료),1,0)</f>
        <v/>
      </c>
    </row>
    <row r="624">
      <c r="A624" s="2">
        <f>ROW()-1</f>
        <v/>
      </c>
      <c r="B624" s="5">
        <f>INDEX(상호범위,D624)</f>
        <v/>
      </c>
      <c r="C624" s="5">
        <f>INDEX(플랫폼명범위,E624)</f>
        <v/>
      </c>
      <c r="D624" s="2">
        <f>MOD(INT((A624-1)/4),8)+1</f>
        <v/>
      </c>
      <c r="E624" s="2">
        <f>MOD(A624-1,4)+1</f>
        <v/>
      </c>
      <c r="F624" s="20">
        <f>축시작+INT((A624-1)/32)</f>
        <v/>
      </c>
      <c r="G624" s="20">
        <f>F624+H624</f>
        <v/>
      </c>
      <c r="H624" s="5" t="n">
        <v>3</v>
      </c>
      <c r="I624" s="2">
        <f>ROUND(INDEX(가맹점!$P$2:$P$9,D624)*INDEX(가맹점!$J$2:$M$9,D624,E624),0)</f>
        <v/>
      </c>
      <c r="J624" s="2">
        <f>ROUND(I624*(1-할인율),0)</f>
        <v/>
      </c>
      <c r="K624" s="2">
        <f>ROUNDDOWN(I624*할인율,0)</f>
        <v/>
      </c>
      <c r="L624" s="2">
        <f>ROUND(I624*INDEX(미지급률범위,E624),0)</f>
        <v/>
      </c>
      <c r="M624" s="2">
        <f>ROUND(I624*INDEX(과지급률범위,E624),0)</f>
        <v/>
      </c>
      <c r="N624" s="2">
        <f>MAX(0,L624-M624)</f>
        <v/>
      </c>
      <c r="O624" s="2">
        <f>K624-N624</f>
        <v/>
      </c>
      <c r="P624" s="2">
        <f>I624-N624</f>
        <v/>
      </c>
      <c r="Q624" s="5">
        <f>IF(G624&gt;기준일,1,0)</f>
        <v/>
      </c>
      <c r="R624" s="5">
        <f>IF(G624&lt;=기준일,1,0)</f>
        <v/>
      </c>
      <c r="S624" s="2">
        <f>J624*H624</f>
        <v/>
      </c>
      <c r="T624" s="5">
        <f>IF(AND(F624&gt;=표본시작,F624&lt;=표본종료),1,0)</f>
        <v/>
      </c>
      <c r="U624" s="5">
        <f>IF(AND(G624&gt;=조회시작,G624&lt;=조회종료),1,0)</f>
        <v/>
      </c>
    </row>
    <row r="625">
      <c r="A625" s="2">
        <f>ROW()-1</f>
        <v/>
      </c>
      <c r="B625" s="5">
        <f>INDEX(상호범위,D625)</f>
        <v/>
      </c>
      <c r="C625" s="5">
        <f>INDEX(플랫폼명범위,E625)</f>
        <v/>
      </c>
      <c r="D625" s="2">
        <f>MOD(INT((A625-1)/4),8)+1</f>
        <v/>
      </c>
      <c r="E625" s="2">
        <f>MOD(A625-1,4)+1</f>
        <v/>
      </c>
      <c r="F625" s="20">
        <f>축시작+INT((A625-1)/32)</f>
        <v/>
      </c>
      <c r="G625" s="20">
        <f>F625+H625</f>
        <v/>
      </c>
      <c r="H625" s="5" t="n">
        <v>5</v>
      </c>
      <c r="I625" s="2">
        <f>ROUND(INDEX(가맹점!$P$2:$P$9,D625)*INDEX(가맹점!$J$2:$M$9,D625,E625),0)</f>
        <v/>
      </c>
      <c r="J625" s="2">
        <f>ROUND(I625*(1-할인율),0)</f>
        <v/>
      </c>
      <c r="K625" s="2">
        <f>ROUNDDOWN(I625*할인율,0)</f>
        <v/>
      </c>
      <c r="L625" s="2">
        <f>ROUND(I625*INDEX(미지급률범위,E625),0)</f>
        <v/>
      </c>
      <c r="M625" s="2">
        <f>ROUND(I625*INDEX(과지급률범위,E625),0)</f>
        <v/>
      </c>
      <c r="N625" s="2">
        <f>MAX(0,L625-M625)</f>
        <v/>
      </c>
      <c r="O625" s="2">
        <f>K625-N625</f>
        <v/>
      </c>
      <c r="P625" s="2">
        <f>I625-N625</f>
        <v/>
      </c>
      <c r="Q625" s="5">
        <f>IF(G625&gt;기준일,1,0)</f>
        <v/>
      </c>
      <c r="R625" s="5">
        <f>IF(G625&lt;=기준일,1,0)</f>
        <v/>
      </c>
      <c r="S625" s="2">
        <f>J625*H625</f>
        <v/>
      </c>
      <c r="T625" s="5">
        <f>IF(AND(F625&gt;=표본시작,F625&lt;=표본종료),1,0)</f>
        <v/>
      </c>
      <c r="U625" s="5">
        <f>IF(AND(G625&gt;=조회시작,G625&lt;=조회종료),1,0)</f>
        <v/>
      </c>
    </row>
    <row r="626">
      <c r="A626" s="2">
        <f>ROW()-1</f>
        <v/>
      </c>
      <c r="B626" s="5">
        <f>INDEX(상호범위,D626)</f>
        <v/>
      </c>
      <c r="C626" s="5">
        <f>INDEX(플랫폼명범위,E626)</f>
        <v/>
      </c>
      <c r="D626" s="2">
        <f>MOD(INT((A626-1)/4),8)+1</f>
        <v/>
      </c>
      <c r="E626" s="2">
        <f>MOD(A626-1,4)+1</f>
        <v/>
      </c>
      <c r="F626" s="20">
        <f>축시작+INT((A626-1)/32)</f>
        <v/>
      </c>
      <c r="G626" s="20">
        <f>F626+H626</f>
        <v/>
      </c>
      <c r="H626" s="5" t="n">
        <v>1</v>
      </c>
      <c r="I626" s="2">
        <f>ROUND(INDEX(가맹점!$P$2:$P$9,D626)*INDEX(가맹점!$J$2:$M$9,D626,E626),0)</f>
        <v/>
      </c>
      <c r="J626" s="2">
        <f>ROUND(I626*(1-할인율),0)</f>
        <v/>
      </c>
      <c r="K626" s="2">
        <f>ROUNDDOWN(I626*할인율,0)</f>
        <v/>
      </c>
      <c r="L626" s="2">
        <f>ROUND(I626*INDEX(미지급률범위,E626),0)</f>
        <v/>
      </c>
      <c r="M626" s="2">
        <f>ROUND(I626*INDEX(과지급률범위,E626),0)</f>
        <v/>
      </c>
      <c r="N626" s="2">
        <f>MAX(0,L626-M626)</f>
        <v/>
      </c>
      <c r="O626" s="2">
        <f>K626-N626</f>
        <v/>
      </c>
      <c r="P626" s="2">
        <f>I626-N626</f>
        <v/>
      </c>
      <c r="Q626" s="5">
        <f>IF(G626&gt;기준일,1,0)</f>
        <v/>
      </c>
      <c r="R626" s="5">
        <f>IF(G626&lt;=기준일,1,0)</f>
        <v/>
      </c>
      <c r="S626" s="2">
        <f>J626*H626</f>
        <v/>
      </c>
      <c r="T626" s="5">
        <f>IF(AND(F626&gt;=표본시작,F626&lt;=표본종료),1,0)</f>
        <v/>
      </c>
      <c r="U626" s="5">
        <f>IF(AND(G626&gt;=조회시작,G626&lt;=조회종료),1,0)</f>
        <v/>
      </c>
    </row>
    <row r="627">
      <c r="A627" s="2">
        <f>ROW()-1</f>
        <v/>
      </c>
      <c r="B627" s="5">
        <f>INDEX(상호범위,D627)</f>
        <v/>
      </c>
      <c r="C627" s="5">
        <f>INDEX(플랫폼명범위,E627)</f>
        <v/>
      </c>
      <c r="D627" s="2">
        <f>MOD(INT((A627-1)/4),8)+1</f>
        <v/>
      </c>
      <c r="E627" s="2">
        <f>MOD(A627-1,4)+1</f>
        <v/>
      </c>
      <c r="F627" s="20">
        <f>축시작+INT((A627-1)/32)</f>
        <v/>
      </c>
      <c r="G627" s="20">
        <f>F627+H627</f>
        <v/>
      </c>
      <c r="H627" s="5" t="n">
        <v>4</v>
      </c>
      <c r="I627" s="2">
        <f>ROUND(INDEX(가맹점!$P$2:$P$9,D627)*INDEX(가맹점!$J$2:$M$9,D627,E627),0)</f>
        <v/>
      </c>
      <c r="J627" s="2">
        <f>ROUND(I627*(1-할인율),0)</f>
        <v/>
      </c>
      <c r="K627" s="2">
        <f>ROUNDDOWN(I627*할인율,0)</f>
        <v/>
      </c>
      <c r="L627" s="2">
        <f>ROUND(I627*INDEX(미지급률범위,E627),0)</f>
        <v/>
      </c>
      <c r="M627" s="2">
        <f>ROUND(I627*INDEX(과지급률범위,E627),0)</f>
        <v/>
      </c>
      <c r="N627" s="2">
        <f>MAX(0,L627-M627)</f>
        <v/>
      </c>
      <c r="O627" s="2">
        <f>K627-N627</f>
        <v/>
      </c>
      <c r="P627" s="2">
        <f>I627-N627</f>
        <v/>
      </c>
      <c r="Q627" s="5">
        <f>IF(G627&gt;기준일,1,0)</f>
        <v/>
      </c>
      <c r="R627" s="5">
        <f>IF(G627&lt;=기준일,1,0)</f>
        <v/>
      </c>
      <c r="S627" s="2">
        <f>J627*H627</f>
        <v/>
      </c>
      <c r="T627" s="5">
        <f>IF(AND(F627&gt;=표본시작,F627&lt;=표본종료),1,0)</f>
        <v/>
      </c>
      <c r="U627" s="5">
        <f>IF(AND(G627&gt;=조회시작,G627&lt;=조회종료),1,0)</f>
        <v/>
      </c>
    </row>
    <row r="628">
      <c r="A628" s="2">
        <f>ROW()-1</f>
        <v/>
      </c>
      <c r="B628" s="5">
        <f>INDEX(상호범위,D628)</f>
        <v/>
      </c>
      <c r="C628" s="5">
        <f>INDEX(플랫폼명범위,E628)</f>
        <v/>
      </c>
      <c r="D628" s="2">
        <f>MOD(INT((A628-1)/4),8)+1</f>
        <v/>
      </c>
      <c r="E628" s="2">
        <f>MOD(A628-1,4)+1</f>
        <v/>
      </c>
      <c r="F628" s="20">
        <f>축시작+INT((A628-1)/32)</f>
        <v/>
      </c>
      <c r="G628" s="20">
        <f>F628+H628</f>
        <v/>
      </c>
      <c r="H628" s="5" t="n">
        <v>3</v>
      </c>
      <c r="I628" s="2">
        <f>ROUND(INDEX(가맹점!$P$2:$P$9,D628)*INDEX(가맹점!$J$2:$M$9,D628,E628),0)</f>
        <v/>
      </c>
      <c r="J628" s="2">
        <f>ROUND(I628*(1-할인율),0)</f>
        <v/>
      </c>
      <c r="K628" s="2">
        <f>ROUNDDOWN(I628*할인율,0)</f>
        <v/>
      </c>
      <c r="L628" s="2">
        <f>ROUND(I628*INDEX(미지급률범위,E628),0)</f>
        <v/>
      </c>
      <c r="M628" s="2">
        <f>ROUND(I628*INDEX(과지급률범위,E628),0)</f>
        <v/>
      </c>
      <c r="N628" s="2">
        <f>MAX(0,L628-M628)</f>
        <v/>
      </c>
      <c r="O628" s="2">
        <f>K628-N628</f>
        <v/>
      </c>
      <c r="P628" s="2">
        <f>I628-N628</f>
        <v/>
      </c>
      <c r="Q628" s="5">
        <f>IF(G628&gt;기준일,1,0)</f>
        <v/>
      </c>
      <c r="R628" s="5">
        <f>IF(G628&lt;=기준일,1,0)</f>
        <v/>
      </c>
      <c r="S628" s="2">
        <f>J628*H628</f>
        <v/>
      </c>
      <c r="T628" s="5">
        <f>IF(AND(F628&gt;=표본시작,F628&lt;=표본종료),1,0)</f>
        <v/>
      </c>
      <c r="U628" s="5">
        <f>IF(AND(G628&gt;=조회시작,G628&lt;=조회종료),1,0)</f>
        <v/>
      </c>
    </row>
    <row r="629">
      <c r="A629" s="2">
        <f>ROW()-1</f>
        <v/>
      </c>
      <c r="B629" s="5">
        <f>INDEX(상호범위,D629)</f>
        <v/>
      </c>
      <c r="C629" s="5">
        <f>INDEX(플랫폼명범위,E629)</f>
        <v/>
      </c>
      <c r="D629" s="2">
        <f>MOD(INT((A629-1)/4),8)+1</f>
        <v/>
      </c>
      <c r="E629" s="2">
        <f>MOD(A629-1,4)+1</f>
        <v/>
      </c>
      <c r="F629" s="20">
        <f>축시작+INT((A629-1)/32)</f>
        <v/>
      </c>
      <c r="G629" s="20">
        <f>F629+H629</f>
        <v/>
      </c>
      <c r="H629" s="5" t="n">
        <v>4</v>
      </c>
      <c r="I629" s="2">
        <f>ROUND(INDEX(가맹점!$P$2:$P$9,D629)*INDEX(가맹점!$J$2:$M$9,D629,E629),0)</f>
        <v/>
      </c>
      <c r="J629" s="2">
        <f>ROUND(I629*(1-할인율),0)</f>
        <v/>
      </c>
      <c r="K629" s="2">
        <f>ROUNDDOWN(I629*할인율,0)</f>
        <v/>
      </c>
      <c r="L629" s="2">
        <f>ROUND(I629*INDEX(미지급률범위,E629),0)</f>
        <v/>
      </c>
      <c r="M629" s="2">
        <f>ROUND(I629*INDEX(과지급률범위,E629),0)</f>
        <v/>
      </c>
      <c r="N629" s="2">
        <f>MAX(0,L629-M629)</f>
        <v/>
      </c>
      <c r="O629" s="2">
        <f>K629-N629</f>
        <v/>
      </c>
      <c r="P629" s="2">
        <f>I629-N629</f>
        <v/>
      </c>
      <c r="Q629" s="5">
        <f>IF(G629&gt;기준일,1,0)</f>
        <v/>
      </c>
      <c r="R629" s="5">
        <f>IF(G629&lt;=기준일,1,0)</f>
        <v/>
      </c>
      <c r="S629" s="2">
        <f>J629*H629</f>
        <v/>
      </c>
      <c r="T629" s="5">
        <f>IF(AND(F629&gt;=표본시작,F629&lt;=표본종료),1,0)</f>
        <v/>
      </c>
      <c r="U629" s="5">
        <f>IF(AND(G629&gt;=조회시작,G629&lt;=조회종료),1,0)</f>
        <v/>
      </c>
    </row>
    <row r="630">
      <c r="A630" s="2">
        <f>ROW()-1</f>
        <v/>
      </c>
      <c r="B630" s="5">
        <f>INDEX(상호범위,D630)</f>
        <v/>
      </c>
      <c r="C630" s="5">
        <f>INDEX(플랫폼명범위,E630)</f>
        <v/>
      </c>
      <c r="D630" s="2">
        <f>MOD(INT((A630-1)/4),8)+1</f>
        <v/>
      </c>
      <c r="E630" s="2">
        <f>MOD(A630-1,4)+1</f>
        <v/>
      </c>
      <c r="F630" s="20">
        <f>축시작+INT((A630-1)/32)</f>
        <v/>
      </c>
      <c r="G630" s="20">
        <f>F630+H630</f>
        <v/>
      </c>
      <c r="H630" s="5" t="n">
        <v>1</v>
      </c>
      <c r="I630" s="2">
        <f>ROUND(INDEX(가맹점!$P$2:$P$9,D630)*INDEX(가맹점!$J$2:$M$9,D630,E630),0)</f>
        <v/>
      </c>
      <c r="J630" s="2">
        <f>ROUND(I630*(1-할인율),0)</f>
        <v/>
      </c>
      <c r="K630" s="2">
        <f>ROUNDDOWN(I630*할인율,0)</f>
        <v/>
      </c>
      <c r="L630" s="2">
        <f>ROUND(I630*INDEX(미지급률범위,E630),0)</f>
        <v/>
      </c>
      <c r="M630" s="2">
        <f>ROUND(I630*INDEX(과지급률범위,E630),0)</f>
        <v/>
      </c>
      <c r="N630" s="2">
        <f>MAX(0,L630-M630)</f>
        <v/>
      </c>
      <c r="O630" s="2">
        <f>K630-N630</f>
        <v/>
      </c>
      <c r="P630" s="2">
        <f>I630-N630</f>
        <v/>
      </c>
      <c r="Q630" s="5">
        <f>IF(G630&gt;기준일,1,0)</f>
        <v/>
      </c>
      <c r="R630" s="5">
        <f>IF(G630&lt;=기준일,1,0)</f>
        <v/>
      </c>
      <c r="S630" s="2">
        <f>J630*H630</f>
        <v/>
      </c>
      <c r="T630" s="5">
        <f>IF(AND(F630&gt;=표본시작,F630&lt;=표본종료),1,0)</f>
        <v/>
      </c>
      <c r="U630" s="5">
        <f>IF(AND(G630&gt;=조회시작,G630&lt;=조회종료),1,0)</f>
        <v/>
      </c>
    </row>
    <row r="631">
      <c r="A631" s="2">
        <f>ROW()-1</f>
        <v/>
      </c>
      <c r="B631" s="5">
        <f>INDEX(상호범위,D631)</f>
        <v/>
      </c>
      <c r="C631" s="5">
        <f>INDEX(플랫폼명범위,E631)</f>
        <v/>
      </c>
      <c r="D631" s="2">
        <f>MOD(INT((A631-1)/4),8)+1</f>
        <v/>
      </c>
      <c r="E631" s="2">
        <f>MOD(A631-1,4)+1</f>
        <v/>
      </c>
      <c r="F631" s="20">
        <f>축시작+INT((A631-1)/32)</f>
        <v/>
      </c>
      <c r="G631" s="20">
        <f>F631+H631</f>
        <v/>
      </c>
      <c r="H631" s="5" t="n">
        <v>2</v>
      </c>
      <c r="I631" s="2">
        <f>ROUND(INDEX(가맹점!$P$2:$P$9,D631)*INDEX(가맹점!$J$2:$M$9,D631,E631),0)</f>
        <v/>
      </c>
      <c r="J631" s="2">
        <f>ROUND(I631*(1-할인율),0)</f>
        <v/>
      </c>
      <c r="K631" s="2">
        <f>ROUNDDOWN(I631*할인율,0)</f>
        <v/>
      </c>
      <c r="L631" s="2">
        <f>ROUND(I631*INDEX(미지급률범위,E631),0)</f>
        <v/>
      </c>
      <c r="M631" s="2">
        <f>ROUND(I631*INDEX(과지급률범위,E631),0)</f>
        <v/>
      </c>
      <c r="N631" s="2">
        <f>MAX(0,L631-M631)</f>
        <v/>
      </c>
      <c r="O631" s="2">
        <f>K631-N631</f>
        <v/>
      </c>
      <c r="P631" s="2">
        <f>I631-N631</f>
        <v/>
      </c>
      <c r="Q631" s="5">
        <f>IF(G631&gt;기준일,1,0)</f>
        <v/>
      </c>
      <c r="R631" s="5">
        <f>IF(G631&lt;=기준일,1,0)</f>
        <v/>
      </c>
      <c r="S631" s="2">
        <f>J631*H631</f>
        <v/>
      </c>
      <c r="T631" s="5">
        <f>IF(AND(F631&gt;=표본시작,F631&lt;=표본종료),1,0)</f>
        <v/>
      </c>
      <c r="U631" s="5">
        <f>IF(AND(G631&gt;=조회시작,G631&lt;=조회종료),1,0)</f>
        <v/>
      </c>
    </row>
    <row r="632">
      <c r="A632" s="2">
        <f>ROW()-1</f>
        <v/>
      </c>
      <c r="B632" s="5">
        <f>INDEX(상호범위,D632)</f>
        <v/>
      </c>
      <c r="C632" s="5">
        <f>INDEX(플랫폼명범위,E632)</f>
        <v/>
      </c>
      <c r="D632" s="2">
        <f>MOD(INT((A632-1)/4),8)+1</f>
        <v/>
      </c>
      <c r="E632" s="2">
        <f>MOD(A632-1,4)+1</f>
        <v/>
      </c>
      <c r="F632" s="20">
        <f>축시작+INT((A632-1)/32)</f>
        <v/>
      </c>
      <c r="G632" s="20">
        <f>F632+H632</f>
        <v/>
      </c>
      <c r="H632" s="5" t="n">
        <v>3</v>
      </c>
      <c r="I632" s="2">
        <f>ROUND(INDEX(가맹점!$P$2:$P$9,D632)*INDEX(가맹점!$J$2:$M$9,D632,E632),0)</f>
        <v/>
      </c>
      <c r="J632" s="2">
        <f>ROUND(I632*(1-할인율),0)</f>
        <v/>
      </c>
      <c r="K632" s="2">
        <f>ROUNDDOWN(I632*할인율,0)</f>
        <v/>
      </c>
      <c r="L632" s="2">
        <f>ROUND(I632*INDEX(미지급률범위,E632),0)</f>
        <v/>
      </c>
      <c r="M632" s="2">
        <f>ROUND(I632*INDEX(과지급률범위,E632),0)</f>
        <v/>
      </c>
      <c r="N632" s="2">
        <f>MAX(0,L632-M632)</f>
        <v/>
      </c>
      <c r="O632" s="2">
        <f>K632-N632</f>
        <v/>
      </c>
      <c r="P632" s="2">
        <f>I632-N632</f>
        <v/>
      </c>
      <c r="Q632" s="5">
        <f>IF(G632&gt;기준일,1,0)</f>
        <v/>
      </c>
      <c r="R632" s="5">
        <f>IF(G632&lt;=기준일,1,0)</f>
        <v/>
      </c>
      <c r="S632" s="2">
        <f>J632*H632</f>
        <v/>
      </c>
      <c r="T632" s="5">
        <f>IF(AND(F632&gt;=표본시작,F632&lt;=표본종료),1,0)</f>
        <v/>
      </c>
      <c r="U632" s="5">
        <f>IF(AND(G632&gt;=조회시작,G632&lt;=조회종료),1,0)</f>
        <v/>
      </c>
    </row>
    <row r="633">
      <c r="A633" s="2">
        <f>ROW()-1</f>
        <v/>
      </c>
      <c r="B633" s="5">
        <f>INDEX(상호범위,D633)</f>
        <v/>
      </c>
      <c r="C633" s="5">
        <f>INDEX(플랫폼명범위,E633)</f>
        <v/>
      </c>
      <c r="D633" s="2">
        <f>MOD(INT((A633-1)/4),8)+1</f>
        <v/>
      </c>
      <c r="E633" s="2">
        <f>MOD(A633-1,4)+1</f>
        <v/>
      </c>
      <c r="F633" s="20">
        <f>축시작+INT((A633-1)/32)</f>
        <v/>
      </c>
      <c r="G633" s="20">
        <f>F633+H633</f>
        <v/>
      </c>
      <c r="H633" s="5" t="n">
        <v>8</v>
      </c>
      <c r="I633" s="2">
        <f>ROUND(INDEX(가맹점!$P$2:$P$9,D633)*INDEX(가맹점!$J$2:$M$9,D633,E633),0)</f>
        <v/>
      </c>
      <c r="J633" s="2">
        <f>ROUND(I633*(1-할인율),0)</f>
        <v/>
      </c>
      <c r="K633" s="2">
        <f>ROUNDDOWN(I633*할인율,0)</f>
        <v/>
      </c>
      <c r="L633" s="2">
        <f>ROUND(I633*INDEX(미지급률범위,E633),0)</f>
        <v/>
      </c>
      <c r="M633" s="2">
        <f>ROUND(I633*INDEX(과지급률범위,E633),0)</f>
        <v/>
      </c>
      <c r="N633" s="2">
        <f>MAX(0,L633-M633)</f>
        <v/>
      </c>
      <c r="O633" s="2">
        <f>K633-N633</f>
        <v/>
      </c>
      <c r="P633" s="2">
        <f>I633-N633</f>
        <v/>
      </c>
      <c r="Q633" s="5">
        <f>IF(G633&gt;기준일,1,0)</f>
        <v/>
      </c>
      <c r="R633" s="5">
        <f>IF(G633&lt;=기준일,1,0)</f>
        <v/>
      </c>
      <c r="S633" s="2">
        <f>J633*H633</f>
        <v/>
      </c>
      <c r="T633" s="5">
        <f>IF(AND(F633&gt;=표본시작,F633&lt;=표본종료),1,0)</f>
        <v/>
      </c>
      <c r="U633" s="5">
        <f>IF(AND(G633&gt;=조회시작,G633&lt;=조회종료),1,0)</f>
        <v/>
      </c>
    </row>
    <row r="634">
      <c r="A634" s="2">
        <f>ROW()-1</f>
        <v/>
      </c>
      <c r="B634" s="5">
        <f>INDEX(상호범위,D634)</f>
        <v/>
      </c>
      <c r="C634" s="5">
        <f>INDEX(플랫폼명범위,E634)</f>
        <v/>
      </c>
      <c r="D634" s="2">
        <f>MOD(INT((A634-1)/4),8)+1</f>
        <v/>
      </c>
      <c r="E634" s="2">
        <f>MOD(A634-1,4)+1</f>
        <v/>
      </c>
      <c r="F634" s="20">
        <f>축시작+INT((A634-1)/32)</f>
        <v/>
      </c>
      <c r="G634" s="20">
        <f>F634+H634</f>
        <v/>
      </c>
      <c r="H634" s="5" t="n">
        <v>1</v>
      </c>
      <c r="I634" s="2">
        <f>ROUND(INDEX(가맹점!$P$2:$P$9,D634)*INDEX(가맹점!$J$2:$M$9,D634,E634),0)</f>
        <v/>
      </c>
      <c r="J634" s="2">
        <f>ROUND(I634*(1-할인율),0)</f>
        <v/>
      </c>
      <c r="K634" s="2">
        <f>ROUNDDOWN(I634*할인율,0)</f>
        <v/>
      </c>
      <c r="L634" s="2">
        <f>ROUND(I634*INDEX(미지급률범위,E634),0)</f>
        <v/>
      </c>
      <c r="M634" s="2">
        <f>ROUND(I634*INDEX(과지급률범위,E634),0)</f>
        <v/>
      </c>
      <c r="N634" s="2">
        <f>MAX(0,L634-M634)</f>
        <v/>
      </c>
      <c r="O634" s="2">
        <f>K634-N634</f>
        <v/>
      </c>
      <c r="P634" s="2">
        <f>I634-N634</f>
        <v/>
      </c>
      <c r="Q634" s="5">
        <f>IF(G634&gt;기준일,1,0)</f>
        <v/>
      </c>
      <c r="R634" s="5">
        <f>IF(G634&lt;=기준일,1,0)</f>
        <v/>
      </c>
      <c r="S634" s="2">
        <f>J634*H634</f>
        <v/>
      </c>
      <c r="T634" s="5">
        <f>IF(AND(F634&gt;=표본시작,F634&lt;=표본종료),1,0)</f>
        <v/>
      </c>
      <c r="U634" s="5">
        <f>IF(AND(G634&gt;=조회시작,G634&lt;=조회종료),1,0)</f>
        <v/>
      </c>
    </row>
    <row r="635">
      <c r="A635" s="2">
        <f>ROW()-1</f>
        <v/>
      </c>
      <c r="B635" s="5">
        <f>INDEX(상호범위,D635)</f>
        <v/>
      </c>
      <c r="C635" s="5">
        <f>INDEX(플랫폼명범위,E635)</f>
        <v/>
      </c>
      <c r="D635" s="2">
        <f>MOD(INT((A635-1)/4),8)+1</f>
        <v/>
      </c>
      <c r="E635" s="2">
        <f>MOD(A635-1,4)+1</f>
        <v/>
      </c>
      <c r="F635" s="20">
        <f>축시작+INT((A635-1)/32)</f>
        <v/>
      </c>
      <c r="G635" s="20">
        <f>F635+H635</f>
        <v/>
      </c>
      <c r="H635" s="5" t="n">
        <v>5</v>
      </c>
      <c r="I635" s="2">
        <f>ROUND(INDEX(가맹점!$P$2:$P$9,D635)*INDEX(가맹점!$J$2:$M$9,D635,E635),0)</f>
        <v/>
      </c>
      <c r="J635" s="2">
        <f>ROUND(I635*(1-할인율),0)</f>
        <v/>
      </c>
      <c r="K635" s="2">
        <f>ROUNDDOWN(I635*할인율,0)</f>
        <v/>
      </c>
      <c r="L635" s="2">
        <f>ROUND(I635*INDEX(미지급률범위,E635),0)</f>
        <v/>
      </c>
      <c r="M635" s="2">
        <f>ROUND(I635*INDEX(과지급률범위,E635),0)</f>
        <v/>
      </c>
      <c r="N635" s="2">
        <f>MAX(0,L635-M635)</f>
        <v/>
      </c>
      <c r="O635" s="2">
        <f>K635-N635</f>
        <v/>
      </c>
      <c r="P635" s="2">
        <f>I635-N635</f>
        <v/>
      </c>
      <c r="Q635" s="5">
        <f>IF(G635&gt;기준일,1,0)</f>
        <v/>
      </c>
      <c r="R635" s="5">
        <f>IF(G635&lt;=기준일,1,0)</f>
        <v/>
      </c>
      <c r="S635" s="2">
        <f>J635*H635</f>
        <v/>
      </c>
      <c r="T635" s="5">
        <f>IF(AND(F635&gt;=표본시작,F635&lt;=표본종료),1,0)</f>
        <v/>
      </c>
      <c r="U635" s="5">
        <f>IF(AND(G635&gt;=조회시작,G635&lt;=조회종료),1,0)</f>
        <v/>
      </c>
    </row>
    <row r="636">
      <c r="A636" s="2">
        <f>ROW()-1</f>
        <v/>
      </c>
      <c r="B636" s="5">
        <f>INDEX(상호범위,D636)</f>
        <v/>
      </c>
      <c r="C636" s="5">
        <f>INDEX(플랫폼명범위,E636)</f>
        <v/>
      </c>
      <c r="D636" s="2">
        <f>MOD(INT((A636-1)/4),8)+1</f>
        <v/>
      </c>
      <c r="E636" s="2">
        <f>MOD(A636-1,4)+1</f>
        <v/>
      </c>
      <c r="F636" s="20">
        <f>축시작+INT((A636-1)/32)</f>
        <v/>
      </c>
      <c r="G636" s="20">
        <f>F636+H636</f>
        <v/>
      </c>
      <c r="H636" s="5" t="n">
        <v>4</v>
      </c>
      <c r="I636" s="2">
        <f>ROUND(INDEX(가맹점!$P$2:$P$9,D636)*INDEX(가맹점!$J$2:$M$9,D636,E636),0)</f>
        <v/>
      </c>
      <c r="J636" s="2">
        <f>ROUND(I636*(1-할인율),0)</f>
        <v/>
      </c>
      <c r="K636" s="2">
        <f>ROUNDDOWN(I636*할인율,0)</f>
        <v/>
      </c>
      <c r="L636" s="2">
        <f>ROUND(I636*INDEX(미지급률범위,E636),0)</f>
        <v/>
      </c>
      <c r="M636" s="2">
        <f>ROUND(I636*INDEX(과지급률범위,E636),0)</f>
        <v/>
      </c>
      <c r="N636" s="2">
        <f>MAX(0,L636-M636)</f>
        <v/>
      </c>
      <c r="O636" s="2">
        <f>K636-N636</f>
        <v/>
      </c>
      <c r="P636" s="2">
        <f>I636-N636</f>
        <v/>
      </c>
      <c r="Q636" s="5">
        <f>IF(G636&gt;기준일,1,0)</f>
        <v/>
      </c>
      <c r="R636" s="5">
        <f>IF(G636&lt;=기준일,1,0)</f>
        <v/>
      </c>
      <c r="S636" s="2">
        <f>J636*H636</f>
        <v/>
      </c>
      <c r="T636" s="5">
        <f>IF(AND(F636&gt;=표본시작,F636&lt;=표본종료),1,0)</f>
        <v/>
      </c>
      <c r="U636" s="5">
        <f>IF(AND(G636&gt;=조회시작,G636&lt;=조회종료),1,0)</f>
        <v/>
      </c>
    </row>
    <row r="637">
      <c r="A637" s="2">
        <f>ROW()-1</f>
        <v/>
      </c>
      <c r="B637" s="5">
        <f>INDEX(상호범위,D637)</f>
        <v/>
      </c>
      <c r="C637" s="5">
        <f>INDEX(플랫폼명범위,E637)</f>
        <v/>
      </c>
      <c r="D637" s="2">
        <f>MOD(INT((A637-1)/4),8)+1</f>
        <v/>
      </c>
      <c r="E637" s="2">
        <f>MOD(A637-1,4)+1</f>
        <v/>
      </c>
      <c r="F637" s="20">
        <f>축시작+INT((A637-1)/32)</f>
        <v/>
      </c>
      <c r="G637" s="20">
        <f>F637+H637</f>
        <v/>
      </c>
      <c r="H637" s="5" t="n">
        <v>6</v>
      </c>
      <c r="I637" s="2">
        <f>ROUND(INDEX(가맹점!$P$2:$P$9,D637)*INDEX(가맹점!$J$2:$M$9,D637,E637),0)</f>
        <v/>
      </c>
      <c r="J637" s="2">
        <f>ROUND(I637*(1-할인율),0)</f>
        <v/>
      </c>
      <c r="K637" s="2">
        <f>ROUNDDOWN(I637*할인율,0)</f>
        <v/>
      </c>
      <c r="L637" s="2">
        <f>ROUND(I637*INDEX(미지급률범위,E637),0)</f>
        <v/>
      </c>
      <c r="M637" s="2">
        <f>ROUND(I637*INDEX(과지급률범위,E637),0)</f>
        <v/>
      </c>
      <c r="N637" s="2">
        <f>MAX(0,L637-M637)</f>
        <v/>
      </c>
      <c r="O637" s="2">
        <f>K637-N637</f>
        <v/>
      </c>
      <c r="P637" s="2">
        <f>I637-N637</f>
        <v/>
      </c>
      <c r="Q637" s="5">
        <f>IF(G637&gt;기준일,1,0)</f>
        <v/>
      </c>
      <c r="R637" s="5">
        <f>IF(G637&lt;=기준일,1,0)</f>
        <v/>
      </c>
      <c r="S637" s="2">
        <f>J637*H637</f>
        <v/>
      </c>
      <c r="T637" s="5">
        <f>IF(AND(F637&gt;=표본시작,F637&lt;=표본종료),1,0)</f>
        <v/>
      </c>
      <c r="U637" s="5">
        <f>IF(AND(G637&gt;=조회시작,G637&lt;=조회종료),1,0)</f>
        <v/>
      </c>
    </row>
    <row r="638">
      <c r="A638" s="2">
        <f>ROW()-1</f>
        <v/>
      </c>
      <c r="B638" s="5">
        <f>INDEX(상호범위,D638)</f>
        <v/>
      </c>
      <c r="C638" s="5">
        <f>INDEX(플랫폼명범위,E638)</f>
        <v/>
      </c>
      <c r="D638" s="2">
        <f>MOD(INT((A638-1)/4),8)+1</f>
        <v/>
      </c>
      <c r="E638" s="2">
        <f>MOD(A638-1,4)+1</f>
        <v/>
      </c>
      <c r="F638" s="20">
        <f>축시작+INT((A638-1)/32)</f>
        <v/>
      </c>
      <c r="G638" s="20">
        <f>F638+H638</f>
        <v/>
      </c>
      <c r="H638" s="5" t="n">
        <v>1</v>
      </c>
      <c r="I638" s="2">
        <f>ROUND(INDEX(가맹점!$P$2:$P$9,D638)*INDEX(가맹점!$J$2:$M$9,D638,E638),0)</f>
        <v/>
      </c>
      <c r="J638" s="2">
        <f>ROUND(I638*(1-할인율),0)</f>
        <v/>
      </c>
      <c r="K638" s="2">
        <f>ROUNDDOWN(I638*할인율,0)</f>
        <v/>
      </c>
      <c r="L638" s="2">
        <f>ROUND(I638*INDEX(미지급률범위,E638),0)</f>
        <v/>
      </c>
      <c r="M638" s="2">
        <f>ROUND(I638*INDEX(과지급률범위,E638),0)</f>
        <v/>
      </c>
      <c r="N638" s="2">
        <f>MAX(0,L638-M638)</f>
        <v/>
      </c>
      <c r="O638" s="2">
        <f>K638-N638</f>
        <v/>
      </c>
      <c r="P638" s="2">
        <f>I638-N638</f>
        <v/>
      </c>
      <c r="Q638" s="5">
        <f>IF(G638&gt;기준일,1,0)</f>
        <v/>
      </c>
      <c r="R638" s="5">
        <f>IF(G638&lt;=기준일,1,0)</f>
        <v/>
      </c>
      <c r="S638" s="2">
        <f>J638*H638</f>
        <v/>
      </c>
      <c r="T638" s="5">
        <f>IF(AND(F638&gt;=표본시작,F638&lt;=표본종료),1,0)</f>
        <v/>
      </c>
      <c r="U638" s="5">
        <f>IF(AND(G638&gt;=조회시작,G638&lt;=조회종료),1,0)</f>
        <v/>
      </c>
    </row>
    <row r="639">
      <c r="A639" s="2">
        <f>ROW()-1</f>
        <v/>
      </c>
      <c r="B639" s="5">
        <f>INDEX(상호범위,D639)</f>
        <v/>
      </c>
      <c r="C639" s="5">
        <f>INDEX(플랫폼명범위,E639)</f>
        <v/>
      </c>
      <c r="D639" s="2">
        <f>MOD(INT((A639-1)/4),8)+1</f>
        <v/>
      </c>
      <c r="E639" s="2">
        <f>MOD(A639-1,4)+1</f>
        <v/>
      </c>
      <c r="F639" s="20">
        <f>축시작+INT((A639-1)/32)</f>
        <v/>
      </c>
      <c r="G639" s="20">
        <f>F639+H639</f>
        <v/>
      </c>
      <c r="H639" s="5" t="n">
        <v>2</v>
      </c>
      <c r="I639" s="2">
        <f>ROUND(INDEX(가맹점!$P$2:$P$9,D639)*INDEX(가맹점!$J$2:$M$9,D639,E639),0)</f>
        <v/>
      </c>
      <c r="J639" s="2">
        <f>ROUND(I639*(1-할인율),0)</f>
        <v/>
      </c>
      <c r="K639" s="2">
        <f>ROUNDDOWN(I639*할인율,0)</f>
        <v/>
      </c>
      <c r="L639" s="2">
        <f>ROUND(I639*INDEX(미지급률범위,E639),0)</f>
        <v/>
      </c>
      <c r="M639" s="2">
        <f>ROUND(I639*INDEX(과지급률범위,E639),0)</f>
        <v/>
      </c>
      <c r="N639" s="2">
        <f>MAX(0,L639-M639)</f>
        <v/>
      </c>
      <c r="O639" s="2">
        <f>K639-N639</f>
        <v/>
      </c>
      <c r="P639" s="2">
        <f>I639-N639</f>
        <v/>
      </c>
      <c r="Q639" s="5">
        <f>IF(G639&gt;기준일,1,0)</f>
        <v/>
      </c>
      <c r="R639" s="5">
        <f>IF(G639&lt;=기준일,1,0)</f>
        <v/>
      </c>
      <c r="S639" s="2">
        <f>J639*H639</f>
        <v/>
      </c>
      <c r="T639" s="5">
        <f>IF(AND(F639&gt;=표본시작,F639&lt;=표본종료),1,0)</f>
        <v/>
      </c>
      <c r="U639" s="5">
        <f>IF(AND(G639&gt;=조회시작,G639&lt;=조회종료),1,0)</f>
        <v/>
      </c>
    </row>
    <row r="640">
      <c r="A640" s="2">
        <f>ROW()-1</f>
        <v/>
      </c>
      <c r="B640" s="5">
        <f>INDEX(상호범위,D640)</f>
        <v/>
      </c>
      <c r="C640" s="5">
        <f>INDEX(플랫폼명범위,E640)</f>
        <v/>
      </c>
      <c r="D640" s="2">
        <f>MOD(INT((A640-1)/4),8)+1</f>
        <v/>
      </c>
      <c r="E640" s="2">
        <f>MOD(A640-1,4)+1</f>
        <v/>
      </c>
      <c r="F640" s="20">
        <f>축시작+INT((A640-1)/32)</f>
        <v/>
      </c>
      <c r="G640" s="20">
        <f>F640+H640</f>
        <v/>
      </c>
      <c r="H640" s="5" t="n">
        <v>5</v>
      </c>
      <c r="I640" s="2">
        <f>ROUND(INDEX(가맹점!$P$2:$P$9,D640)*INDEX(가맹점!$J$2:$M$9,D640,E640),0)</f>
        <v/>
      </c>
      <c r="J640" s="2">
        <f>ROUND(I640*(1-할인율),0)</f>
        <v/>
      </c>
      <c r="K640" s="2">
        <f>ROUNDDOWN(I640*할인율,0)</f>
        <v/>
      </c>
      <c r="L640" s="2">
        <f>ROUND(I640*INDEX(미지급률범위,E640),0)</f>
        <v/>
      </c>
      <c r="M640" s="2">
        <f>ROUND(I640*INDEX(과지급률범위,E640),0)</f>
        <v/>
      </c>
      <c r="N640" s="2">
        <f>MAX(0,L640-M640)</f>
        <v/>
      </c>
      <c r="O640" s="2">
        <f>K640-N640</f>
        <v/>
      </c>
      <c r="P640" s="2">
        <f>I640-N640</f>
        <v/>
      </c>
      <c r="Q640" s="5">
        <f>IF(G640&gt;기준일,1,0)</f>
        <v/>
      </c>
      <c r="R640" s="5">
        <f>IF(G640&lt;=기준일,1,0)</f>
        <v/>
      </c>
      <c r="S640" s="2">
        <f>J640*H640</f>
        <v/>
      </c>
      <c r="T640" s="5">
        <f>IF(AND(F640&gt;=표본시작,F640&lt;=표본종료),1,0)</f>
        <v/>
      </c>
      <c r="U640" s="5">
        <f>IF(AND(G640&gt;=조회시작,G640&lt;=조회종료),1,0)</f>
        <v/>
      </c>
    </row>
    <row r="641">
      <c r="A641" s="2">
        <f>ROW()-1</f>
        <v/>
      </c>
      <c r="B641" s="5">
        <f>INDEX(상호범위,D641)</f>
        <v/>
      </c>
      <c r="C641" s="5">
        <f>INDEX(플랫폼명범위,E641)</f>
        <v/>
      </c>
      <c r="D641" s="2">
        <f>MOD(INT((A641-1)/4),8)+1</f>
        <v/>
      </c>
      <c r="E641" s="2">
        <f>MOD(A641-1,4)+1</f>
        <v/>
      </c>
      <c r="F641" s="20">
        <f>축시작+INT((A641-1)/32)</f>
        <v/>
      </c>
      <c r="G641" s="20">
        <f>F641+H641</f>
        <v/>
      </c>
      <c r="H641" s="5" t="n">
        <v>6</v>
      </c>
      <c r="I641" s="2">
        <f>ROUND(INDEX(가맹점!$P$2:$P$9,D641)*INDEX(가맹점!$J$2:$M$9,D641,E641),0)</f>
        <v/>
      </c>
      <c r="J641" s="2">
        <f>ROUND(I641*(1-할인율),0)</f>
        <v/>
      </c>
      <c r="K641" s="2">
        <f>ROUNDDOWN(I641*할인율,0)</f>
        <v/>
      </c>
      <c r="L641" s="2">
        <f>ROUND(I641*INDEX(미지급률범위,E641),0)</f>
        <v/>
      </c>
      <c r="M641" s="2">
        <f>ROUND(I641*INDEX(과지급률범위,E641),0)</f>
        <v/>
      </c>
      <c r="N641" s="2">
        <f>MAX(0,L641-M641)</f>
        <v/>
      </c>
      <c r="O641" s="2">
        <f>K641-N641</f>
        <v/>
      </c>
      <c r="P641" s="2">
        <f>I641-N641</f>
        <v/>
      </c>
      <c r="Q641" s="5">
        <f>IF(G641&gt;기준일,1,0)</f>
        <v/>
      </c>
      <c r="R641" s="5">
        <f>IF(G641&lt;=기준일,1,0)</f>
        <v/>
      </c>
      <c r="S641" s="2">
        <f>J641*H641</f>
        <v/>
      </c>
      <c r="T641" s="5">
        <f>IF(AND(F641&gt;=표본시작,F641&lt;=표본종료),1,0)</f>
        <v/>
      </c>
      <c r="U641" s="5">
        <f>IF(AND(G641&gt;=조회시작,G641&lt;=조회종료),1,0)</f>
        <v/>
      </c>
    </row>
    <row r="642">
      <c r="A642" s="2">
        <f>ROW()-1</f>
        <v/>
      </c>
      <c r="B642" s="5">
        <f>INDEX(상호범위,D642)</f>
        <v/>
      </c>
      <c r="C642" s="5">
        <f>INDEX(플랫폼명범위,E642)</f>
        <v/>
      </c>
      <c r="D642" s="2">
        <f>MOD(INT((A642-1)/4),8)+1</f>
        <v/>
      </c>
      <c r="E642" s="2">
        <f>MOD(A642-1,4)+1</f>
        <v/>
      </c>
      <c r="F642" s="20">
        <f>축시작+INT((A642-1)/32)</f>
        <v/>
      </c>
      <c r="G642" s="20">
        <f>F642+H642</f>
        <v/>
      </c>
      <c r="H642" s="5" t="n">
        <v>1</v>
      </c>
      <c r="I642" s="2">
        <f>ROUND(INDEX(가맹점!$P$2:$P$9,D642)*INDEX(가맹점!$J$2:$M$9,D642,E642),0)</f>
        <v/>
      </c>
      <c r="J642" s="2">
        <f>ROUND(I642*(1-할인율),0)</f>
        <v/>
      </c>
      <c r="K642" s="2">
        <f>ROUNDDOWN(I642*할인율,0)</f>
        <v/>
      </c>
      <c r="L642" s="2">
        <f>ROUND(I642*INDEX(미지급률범위,E642),0)</f>
        <v/>
      </c>
      <c r="M642" s="2">
        <f>ROUND(I642*INDEX(과지급률범위,E642),0)</f>
        <v/>
      </c>
      <c r="N642" s="2">
        <f>MAX(0,L642-M642)</f>
        <v/>
      </c>
      <c r="O642" s="2">
        <f>K642-N642</f>
        <v/>
      </c>
      <c r="P642" s="2">
        <f>I642-N642</f>
        <v/>
      </c>
      <c r="Q642" s="5">
        <f>IF(G642&gt;기준일,1,0)</f>
        <v/>
      </c>
      <c r="R642" s="5">
        <f>IF(G642&lt;=기준일,1,0)</f>
        <v/>
      </c>
      <c r="S642" s="2">
        <f>J642*H642</f>
        <v/>
      </c>
      <c r="T642" s="5">
        <f>IF(AND(F642&gt;=표본시작,F642&lt;=표본종료),1,0)</f>
        <v/>
      </c>
      <c r="U642" s="5">
        <f>IF(AND(G642&gt;=조회시작,G642&lt;=조회종료),1,0)</f>
        <v/>
      </c>
    </row>
    <row r="643">
      <c r="A643" s="2">
        <f>ROW()-1</f>
        <v/>
      </c>
      <c r="B643" s="5">
        <f>INDEX(상호범위,D643)</f>
        <v/>
      </c>
      <c r="C643" s="5">
        <f>INDEX(플랫폼명범위,E643)</f>
        <v/>
      </c>
      <c r="D643" s="2">
        <f>MOD(INT((A643-1)/4),8)+1</f>
        <v/>
      </c>
      <c r="E643" s="2">
        <f>MOD(A643-1,4)+1</f>
        <v/>
      </c>
      <c r="F643" s="20">
        <f>축시작+INT((A643-1)/32)</f>
        <v/>
      </c>
      <c r="G643" s="20">
        <f>F643+H643</f>
        <v/>
      </c>
      <c r="H643" s="5" t="n">
        <v>2</v>
      </c>
      <c r="I643" s="2">
        <f>ROUND(INDEX(가맹점!$P$2:$P$9,D643)*INDEX(가맹점!$J$2:$M$9,D643,E643),0)</f>
        <v/>
      </c>
      <c r="J643" s="2">
        <f>ROUND(I643*(1-할인율),0)</f>
        <v/>
      </c>
      <c r="K643" s="2">
        <f>ROUNDDOWN(I643*할인율,0)</f>
        <v/>
      </c>
      <c r="L643" s="2">
        <f>ROUND(I643*INDEX(미지급률범위,E643),0)</f>
        <v/>
      </c>
      <c r="M643" s="2">
        <f>ROUND(I643*INDEX(과지급률범위,E643),0)</f>
        <v/>
      </c>
      <c r="N643" s="2">
        <f>MAX(0,L643-M643)</f>
        <v/>
      </c>
      <c r="O643" s="2">
        <f>K643-N643</f>
        <v/>
      </c>
      <c r="P643" s="2">
        <f>I643-N643</f>
        <v/>
      </c>
      <c r="Q643" s="5">
        <f>IF(G643&gt;기준일,1,0)</f>
        <v/>
      </c>
      <c r="R643" s="5">
        <f>IF(G643&lt;=기준일,1,0)</f>
        <v/>
      </c>
      <c r="S643" s="2">
        <f>J643*H643</f>
        <v/>
      </c>
      <c r="T643" s="5">
        <f>IF(AND(F643&gt;=표본시작,F643&lt;=표본종료),1,0)</f>
        <v/>
      </c>
      <c r="U643" s="5">
        <f>IF(AND(G643&gt;=조회시작,G643&lt;=조회종료),1,0)</f>
        <v/>
      </c>
    </row>
    <row r="644">
      <c r="A644" s="2">
        <f>ROW()-1</f>
        <v/>
      </c>
      <c r="B644" s="5">
        <f>INDEX(상호범위,D644)</f>
        <v/>
      </c>
      <c r="C644" s="5">
        <f>INDEX(플랫폼명범위,E644)</f>
        <v/>
      </c>
      <c r="D644" s="2">
        <f>MOD(INT((A644-1)/4),8)+1</f>
        <v/>
      </c>
      <c r="E644" s="2">
        <f>MOD(A644-1,4)+1</f>
        <v/>
      </c>
      <c r="F644" s="20">
        <f>축시작+INT((A644-1)/32)</f>
        <v/>
      </c>
      <c r="G644" s="20">
        <f>F644+H644</f>
        <v/>
      </c>
      <c r="H644" s="5" t="n">
        <v>3</v>
      </c>
      <c r="I644" s="2">
        <f>ROUND(INDEX(가맹점!$P$2:$P$9,D644)*INDEX(가맹점!$J$2:$M$9,D644,E644),0)</f>
        <v/>
      </c>
      <c r="J644" s="2">
        <f>ROUND(I644*(1-할인율),0)</f>
        <v/>
      </c>
      <c r="K644" s="2">
        <f>ROUNDDOWN(I644*할인율,0)</f>
        <v/>
      </c>
      <c r="L644" s="2">
        <f>ROUND(I644*INDEX(미지급률범위,E644),0)</f>
        <v/>
      </c>
      <c r="M644" s="2">
        <f>ROUND(I644*INDEX(과지급률범위,E644),0)</f>
        <v/>
      </c>
      <c r="N644" s="2">
        <f>MAX(0,L644-M644)</f>
        <v/>
      </c>
      <c r="O644" s="2">
        <f>K644-N644</f>
        <v/>
      </c>
      <c r="P644" s="2">
        <f>I644-N644</f>
        <v/>
      </c>
      <c r="Q644" s="5">
        <f>IF(G644&gt;기준일,1,0)</f>
        <v/>
      </c>
      <c r="R644" s="5">
        <f>IF(G644&lt;=기준일,1,0)</f>
        <v/>
      </c>
      <c r="S644" s="2">
        <f>J644*H644</f>
        <v/>
      </c>
      <c r="T644" s="5">
        <f>IF(AND(F644&gt;=표본시작,F644&lt;=표본종료),1,0)</f>
        <v/>
      </c>
      <c r="U644" s="5">
        <f>IF(AND(G644&gt;=조회시작,G644&lt;=조회종료),1,0)</f>
        <v/>
      </c>
    </row>
    <row r="645">
      <c r="A645" s="2">
        <f>ROW()-1</f>
        <v/>
      </c>
      <c r="B645" s="5">
        <f>INDEX(상호범위,D645)</f>
        <v/>
      </c>
      <c r="C645" s="5">
        <f>INDEX(플랫폼명범위,E645)</f>
        <v/>
      </c>
      <c r="D645" s="2">
        <f>MOD(INT((A645-1)/4),8)+1</f>
        <v/>
      </c>
      <c r="E645" s="2">
        <f>MOD(A645-1,4)+1</f>
        <v/>
      </c>
      <c r="F645" s="20">
        <f>축시작+INT((A645-1)/32)</f>
        <v/>
      </c>
      <c r="G645" s="20">
        <f>F645+H645</f>
        <v/>
      </c>
      <c r="H645" s="5" t="n">
        <v>13</v>
      </c>
      <c r="I645" s="2">
        <f>ROUND(INDEX(가맹점!$P$2:$P$9,D645)*INDEX(가맹점!$J$2:$M$9,D645,E645),0)</f>
        <v/>
      </c>
      <c r="J645" s="2">
        <f>ROUND(I645*(1-할인율),0)</f>
        <v/>
      </c>
      <c r="K645" s="2">
        <f>ROUNDDOWN(I645*할인율,0)</f>
        <v/>
      </c>
      <c r="L645" s="2">
        <f>ROUND(I645*INDEX(미지급률범위,E645),0)</f>
        <v/>
      </c>
      <c r="M645" s="2">
        <f>ROUND(I645*INDEX(과지급률범위,E645),0)</f>
        <v/>
      </c>
      <c r="N645" s="2">
        <f>MAX(0,L645-M645)</f>
        <v/>
      </c>
      <c r="O645" s="2">
        <f>K645-N645</f>
        <v/>
      </c>
      <c r="P645" s="2">
        <f>I645-N645</f>
        <v/>
      </c>
      <c r="Q645" s="5">
        <f>IF(G645&gt;기준일,1,0)</f>
        <v/>
      </c>
      <c r="R645" s="5">
        <f>IF(G645&lt;=기준일,1,0)</f>
        <v/>
      </c>
      <c r="S645" s="2">
        <f>J645*H645</f>
        <v/>
      </c>
      <c r="T645" s="5">
        <f>IF(AND(F645&gt;=표본시작,F645&lt;=표본종료),1,0)</f>
        <v/>
      </c>
      <c r="U645" s="5">
        <f>IF(AND(G645&gt;=조회시작,G645&lt;=조회종료),1,0)</f>
        <v/>
      </c>
    </row>
    <row r="646">
      <c r="A646" s="2">
        <f>ROW()-1</f>
        <v/>
      </c>
      <c r="B646" s="5">
        <f>INDEX(상호범위,D646)</f>
        <v/>
      </c>
      <c r="C646" s="5">
        <f>INDEX(플랫폼명범위,E646)</f>
        <v/>
      </c>
      <c r="D646" s="2">
        <f>MOD(INT((A646-1)/4),8)+1</f>
        <v/>
      </c>
      <c r="E646" s="2">
        <f>MOD(A646-1,4)+1</f>
        <v/>
      </c>
      <c r="F646" s="20">
        <f>축시작+INT((A646-1)/32)</f>
        <v/>
      </c>
      <c r="G646" s="20">
        <f>F646+H646</f>
        <v/>
      </c>
      <c r="H646" s="5" t="n">
        <v>1</v>
      </c>
      <c r="I646" s="2">
        <f>ROUND(INDEX(가맹점!$P$2:$P$9,D646)*INDEX(가맹점!$J$2:$M$9,D646,E646),0)</f>
        <v/>
      </c>
      <c r="J646" s="2">
        <f>ROUND(I646*(1-할인율),0)</f>
        <v/>
      </c>
      <c r="K646" s="2">
        <f>ROUNDDOWN(I646*할인율,0)</f>
        <v/>
      </c>
      <c r="L646" s="2">
        <f>ROUND(I646*INDEX(미지급률범위,E646),0)</f>
        <v/>
      </c>
      <c r="M646" s="2">
        <f>ROUND(I646*INDEX(과지급률범위,E646),0)</f>
        <v/>
      </c>
      <c r="N646" s="2">
        <f>MAX(0,L646-M646)</f>
        <v/>
      </c>
      <c r="O646" s="2">
        <f>K646-N646</f>
        <v/>
      </c>
      <c r="P646" s="2">
        <f>I646-N646</f>
        <v/>
      </c>
      <c r="Q646" s="5">
        <f>IF(G646&gt;기준일,1,0)</f>
        <v/>
      </c>
      <c r="R646" s="5">
        <f>IF(G646&lt;=기준일,1,0)</f>
        <v/>
      </c>
      <c r="S646" s="2">
        <f>J646*H646</f>
        <v/>
      </c>
      <c r="T646" s="5">
        <f>IF(AND(F646&gt;=표본시작,F646&lt;=표본종료),1,0)</f>
        <v/>
      </c>
      <c r="U646" s="5">
        <f>IF(AND(G646&gt;=조회시작,G646&lt;=조회종료),1,0)</f>
        <v/>
      </c>
    </row>
    <row r="647">
      <c r="A647" s="2">
        <f>ROW()-1</f>
        <v/>
      </c>
      <c r="B647" s="5">
        <f>INDEX(상호범위,D647)</f>
        <v/>
      </c>
      <c r="C647" s="5">
        <f>INDEX(플랫폼명범위,E647)</f>
        <v/>
      </c>
      <c r="D647" s="2">
        <f>MOD(INT((A647-1)/4),8)+1</f>
        <v/>
      </c>
      <c r="E647" s="2">
        <f>MOD(A647-1,4)+1</f>
        <v/>
      </c>
      <c r="F647" s="20">
        <f>축시작+INT((A647-1)/32)</f>
        <v/>
      </c>
      <c r="G647" s="20">
        <f>F647+H647</f>
        <v/>
      </c>
      <c r="H647" s="5" t="n">
        <v>4</v>
      </c>
      <c r="I647" s="2">
        <f>ROUND(INDEX(가맹점!$P$2:$P$9,D647)*INDEX(가맹점!$J$2:$M$9,D647,E647),0)</f>
        <v/>
      </c>
      <c r="J647" s="2">
        <f>ROUND(I647*(1-할인율),0)</f>
        <v/>
      </c>
      <c r="K647" s="2">
        <f>ROUNDDOWN(I647*할인율,0)</f>
        <v/>
      </c>
      <c r="L647" s="2">
        <f>ROUND(I647*INDEX(미지급률범위,E647),0)</f>
        <v/>
      </c>
      <c r="M647" s="2">
        <f>ROUND(I647*INDEX(과지급률범위,E647),0)</f>
        <v/>
      </c>
      <c r="N647" s="2">
        <f>MAX(0,L647-M647)</f>
        <v/>
      </c>
      <c r="O647" s="2">
        <f>K647-N647</f>
        <v/>
      </c>
      <c r="P647" s="2">
        <f>I647-N647</f>
        <v/>
      </c>
      <c r="Q647" s="5">
        <f>IF(G647&gt;기준일,1,0)</f>
        <v/>
      </c>
      <c r="R647" s="5">
        <f>IF(G647&lt;=기준일,1,0)</f>
        <v/>
      </c>
      <c r="S647" s="2">
        <f>J647*H647</f>
        <v/>
      </c>
      <c r="T647" s="5">
        <f>IF(AND(F647&gt;=표본시작,F647&lt;=표본종료),1,0)</f>
        <v/>
      </c>
      <c r="U647" s="5">
        <f>IF(AND(G647&gt;=조회시작,G647&lt;=조회종료),1,0)</f>
        <v/>
      </c>
    </row>
    <row r="648">
      <c r="A648" s="2">
        <f>ROW()-1</f>
        <v/>
      </c>
      <c r="B648" s="5">
        <f>INDEX(상호범위,D648)</f>
        <v/>
      </c>
      <c r="C648" s="5">
        <f>INDEX(플랫폼명범위,E648)</f>
        <v/>
      </c>
      <c r="D648" s="2">
        <f>MOD(INT((A648-1)/4),8)+1</f>
        <v/>
      </c>
      <c r="E648" s="2">
        <f>MOD(A648-1,4)+1</f>
        <v/>
      </c>
      <c r="F648" s="20">
        <f>축시작+INT((A648-1)/32)</f>
        <v/>
      </c>
      <c r="G648" s="20">
        <f>F648+H648</f>
        <v/>
      </c>
      <c r="H648" s="5" t="n">
        <v>5</v>
      </c>
      <c r="I648" s="2">
        <f>ROUND(INDEX(가맹점!$P$2:$P$9,D648)*INDEX(가맹점!$J$2:$M$9,D648,E648),0)</f>
        <v/>
      </c>
      <c r="J648" s="2">
        <f>ROUND(I648*(1-할인율),0)</f>
        <v/>
      </c>
      <c r="K648" s="2">
        <f>ROUNDDOWN(I648*할인율,0)</f>
        <v/>
      </c>
      <c r="L648" s="2">
        <f>ROUND(I648*INDEX(미지급률범위,E648),0)</f>
        <v/>
      </c>
      <c r="M648" s="2">
        <f>ROUND(I648*INDEX(과지급률범위,E648),0)</f>
        <v/>
      </c>
      <c r="N648" s="2">
        <f>MAX(0,L648-M648)</f>
        <v/>
      </c>
      <c r="O648" s="2">
        <f>K648-N648</f>
        <v/>
      </c>
      <c r="P648" s="2">
        <f>I648-N648</f>
        <v/>
      </c>
      <c r="Q648" s="5">
        <f>IF(G648&gt;기준일,1,0)</f>
        <v/>
      </c>
      <c r="R648" s="5">
        <f>IF(G648&lt;=기준일,1,0)</f>
        <v/>
      </c>
      <c r="S648" s="2">
        <f>J648*H648</f>
        <v/>
      </c>
      <c r="T648" s="5">
        <f>IF(AND(F648&gt;=표본시작,F648&lt;=표본종료),1,0)</f>
        <v/>
      </c>
      <c r="U648" s="5">
        <f>IF(AND(G648&gt;=조회시작,G648&lt;=조회종료),1,0)</f>
        <v/>
      </c>
    </row>
    <row r="649">
      <c r="A649" s="2">
        <f>ROW()-1</f>
        <v/>
      </c>
      <c r="B649" s="5">
        <f>INDEX(상호범위,D649)</f>
        <v/>
      </c>
      <c r="C649" s="5">
        <f>INDEX(플랫폼명범위,E649)</f>
        <v/>
      </c>
      <c r="D649" s="2">
        <f>MOD(INT((A649-1)/4),8)+1</f>
        <v/>
      </c>
      <c r="E649" s="2">
        <f>MOD(A649-1,4)+1</f>
        <v/>
      </c>
      <c r="F649" s="20">
        <f>축시작+INT((A649-1)/32)</f>
        <v/>
      </c>
      <c r="G649" s="20">
        <f>F649+H649</f>
        <v/>
      </c>
      <c r="H649" s="5" t="n">
        <v>4</v>
      </c>
      <c r="I649" s="2">
        <f>ROUND(INDEX(가맹점!$P$2:$P$9,D649)*INDEX(가맹점!$J$2:$M$9,D649,E649),0)</f>
        <v/>
      </c>
      <c r="J649" s="2">
        <f>ROUND(I649*(1-할인율),0)</f>
        <v/>
      </c>
      <c r="K649" s="2">
        <f>ROUNDDOWN(I649*할인율,0)</f>
        <v/>
      </c>
      <c r="L649" s="2">
        <f>ROUND(I649*INDEX(미지급률범위,E649),0)</f>
        <v/>
      </c>
      <c r="M649" s="2">
        <f>ROUND(I649*INDEX(과지급률범위,E649),0)</f>
        <v/>
      </c>
      <c r="N649" s="2">
        <f>MAX(0,L649-M649)</f>
        <v/>
      </c>
      <c r="O649" s="2">
        <f>K649-N649</f>
        <v/>
      </c>
      <c r="P649" s="2">
        <f>I649-N649</f>
        <v/>
      </c>
      <c r="Q649" s="5">
        <f>IF(G649&gt;기준일,1,0)</f>
        <v/>
      </c>
      <c r="R649" s="5">
        <f>IF(G649&lt;=기준일,1,0)</f>
        <v/>
      </c>
      <c r="S649" s="2">
        <f>J649*H649</f>
        <v/>
      </c>
      <c r="T649" s="5">
        <f>IF(AND(F649&gt;=표본시작,F649&lt;=표본종료),1,0)</f>
        <v/>
      </c>
      <c r="U649" s="5">
        <f>IF(AND(G649&gt;=조회시작,G649&lt;=조회종료),1,0)</f>
        <v/>
      </c>
    </row>
    <row r="650">
      <c r="A650" s="2">
        <f>ROW()-1</f>
        <v/>
      </c>
      <c r="B650" s="5">
        <f>INDEX(상호범위,D650)</f>
        <v/>
      </c>
      <c r="C650" s="5">
        <f>INDEX(플랫폼명범위,E650)</f>
        <v/>
      </c>
      <c r="D650" s="2">
        <f>MOD(INT((A650-1)/4),8)+1</f>
        <v/>
      </c>
      <c r="E650" s="2">
        <f>MOD(A650-1,4)+1</f>
        <v/>
      </c>
      <c r="F650" s="20">
        <f>축시작+INT((A650-1)/32)</f>
        <v/>
      </c>
      <c r="G650" s="20">
        <f>F650+H650</f>
        <v/>
      </c>
      <c r="H650" s="5" t="n">
        <v>8</v>
      </c>
      <c r="I650" s="2">
        <f>ROUND(INDEX(가맹점!$P$2:$P$9,D650)*INDEX(가맹점!$J$2:$M$9,D650,E650),0)</f>
        <v/>
      </c>
      <c r="J650" s="2">
        <f>ROUND(I650*(1-할인율),0)</f>
        <v/>
      </c>
      <c r="K650" s="2">
        <f>ROUNDDOWN(I650*할인율,0)</f>
        <v/>
      </c>
      <c r="L650" s="2">
        <f>ROUND(I650*INDEX(미지급률범위,E650),0)</f>
        <v/>
      </c>
      <c r="M650" s="2">
        <f>ROUND(I650*INDEX(과지급률범위,E650),0)</f>
        <v/>
      </c>
      <c r="N650" s="2">
        <f>MAX(0,L650-M650)</f>
        <v/>
      </c>
      <c r="O650" s="2">
        <f>K650-N650</f>
        <v/>
      </c>
      <c r="P650" s="2">
        <f>I650-N650</f>
        <v/>
      </c>
      <c r="Q650" s="5">
        <f>IF(G650&gt;기준일,1,0)</f>
        <v/>
      </c>
      <c r="R650" s="5">
        <f>IF(G650&lt;=기준일,1,0)</f>
        <v/>
      </c>
      <c r="S650" s="2">
        <f>J650*H650</f>
        <v/>
      </c>
      <c r="T650" s="5">
        <f>IF(AND(F650&gt;=표본시작,F650&lt;=표본종료),1,0)</f>
        <v/>
      </c>
      <c r="U650" s="5">
        <f>IF(AND(G650&gt;=조회시작,G650&lt;=조회종료),1,0)</f>
        <v/>
      </c>
    </row>
    <row r="651">
      <c r="A651" s="2">
        <f>ROW()-1</f>
        <v/>
      </c>
      <c r="B651" s="5">
        <f>INDEX(상호범위,D651)</f>
        <v/>
      </c>
      <c r="C651" s="5">
        <f>INDEX(플랫폼명범위,E651)</f>
        <v/>
      </c>
      <c r="D651" s="2">
        <f>MOD(INT((A651-1)/4),8)+1</f>
        <v/>
      </c>
      <c r="E651" s="2">
        <f>MOD(A651-1,4)+1</f>
        <v/>
      </c>
      <c r="F651" s="20">
        <f>축시작+INT((A651-1)/32)</f>
        <v/>
      </c>
      <c r="G651" s="20">
        <f>F651+H651</f>
        <v/>
      </c>
      <c r="H651" s="5" t="n">
        <v>4</v>
      </c>
      <c r="I651" s="2">
        <f>ROUND(INDEX(가맹점!$P$2:$P$9,D651)*INDEX(가맹점!$J$2:$M$9,D651,E651),0)</f>
        <v/>
      </c>
      <c r="J651" s="2">
        <f>ROUND(I651*(1-할인율),0)</f>
        <v/>
      </c>
      <c r="K651" s="2">
        <f>ROUNDDOWN(I651*할인율,0)</f>
        <v/>
      </c>
      <c r="L651" s="2">
        <f>ROUND(I651*INDEX(미지급률범위,E651),0)</f>
        <v/>
      </c>
      <c r="M651" s="2">
        <f>ROUND(I651*INDEX(과지급률범위,E651),0)</f>
        <v/>
      </c>
      <c r="N651" s="2">
        <f>MAX(0,L651-M651)</f>
        <v/>
      </c>
      <c r="O651" s="2">
        <f>K651-N651</f>
        <v/>
      </c>
      <c r="P651" s="2">
        <f>I651-N651</f>
        <v/>
      </c>
      <c r="Q651" s="5">
        <f>IF(G651&gt;기준일,1,0)</f>
        <v/>
      </c>
      <c r="R651" s="5">
        <f>IF(G651&lt;=기준일,1,0)</f>
        <v/>
      </c>
      <c r="S651" s="2">
        <f>J651*H651</f>
        <v/>
      </c>
      <c r="T651" s="5">
        <f>IF(AND(F651&gt;=표본시작,F651&lt;=표본종료),1,0)</f>
        <v/>
      </c>
      <c r="U651" s="5">
        <f>IF(AND(G651&gt;=조회시작,G651&lt;=조회종료),1,0)</f>
        <v/>
      </c>
    </row>
    <row r="652">
      <c r="A652" s="2">
        <f>ROW()-1</f>
        <v/>
      </c>
      <c r="B652" s="5">
        <f>INDEX(상호범위,D652)</f>
        <v/>
      </c>
      <c r="C652" s="5">
        <f>INDEX(플랫폼명범위,E652)</f>
        <v/>
      </c>
      <c r="D652" s="2">
        <f>MOD(INT((A652-1)/4),8)+1</f>
        <v/>
      </c>
      <c r="E652" s="2">
        <f>MOD(A652-1,4)+1</f>
        <v/>
      </c>
      <c r="F652" s="20">
        <f>축시작+INT((A652-1)/32)</f>
        <v/>
      </c>
      <c r="G652" s="20">
        <f>F652+H652</f>
        <v/>
      </c>
      <c r="H652" s="5" t="n">
        <v>3</v>
      </c>
      <c r="I652" s="2">
        <f>ROUND(INDEX(가맹점!$P$2:$P$9,D652)*INDEX(가맹점!$J$2:$M$9,D652,E652),0)</f>
        <v/>
      </c>
      <c r="J652" s="2">
        <f>ROUND(I652*(1-할인율),0)</f>
        <v/>
      </c>
      <c r="K652" s="2">
        <f>ROUNDDOWN(I652*할인율,0)</f>
        <v/>
      </c>
      <c r="L652" s="2">
        <f>ROUND(I652*INDEX(미지급률범위,E652),0)</f>
        <v/>
      </c>
      <c r="M652" s="2">
        <f>ROUND(I652*INDEX(과지급률범위,E652),0)</f>
        <v/>
      </c>
      <c r="N652" s="2">
        <f>MAX(0,L652-M652)</f>
        <v/>
      </c>
      <c r="O652" s="2">
        <f>K652-N652</f>
        <v/>
      </c>
      <c r="P652" s="2">
        <f>I652-N652</f>
        <v/>
      </c>
      <c r="Q652" s="5">
        <f>IF(G652&gt;기준일,1,0)</f>
        <v/>
      </c>
      <c r="R652" s="5">
        <f>IF(G652&lt;=기준일,1,0)</f>
        <v/>
      </c>
      <c r="S652" s="2">
        <f>J652*H652</f>
        <v/>
      </c>
      <c r="T652" s="5">
        <f>IF(AND(F652&gt;=표본시작,F652&lt;=표본종료),1,0)</f>
        <v/>
      </c>
      <c r="U652" s="5">
        <f>IF(AND(G652&gt;=조회시작,G652&lt;=조회종료),1,0)</f>
        <v/>
      </c>
    </row>
    <row r="653">
      <c r="A653" s="2">
        <f>ROW()-1</f>
        <v/>
      </c>
      <c r="B653" s="5">
        <f>INDEX(상호범위,D653)</f>
        <v/>
      </c>
      <c r="C653" s="5">
        <f>INDEX(플랫폼명범위,E653)</f>
        <v/>
      </c>
      <c r="D653" s="2">
        <f>MOD(INT((A653-1)/4),8)+1</f>
        <v/>
      </c>
      <c r="E653" s="2">
        <f>MOD(A653-1,4)+1</f>
        <v/>
      </c>
      <c r="F653" s="20">
        <f>축시작+INT((A653-1)/32)</f>
        <v/>
      </c>
      <c r="G653" s="20">
        <f>F653+H653</f>
        <v/>
      </c>
      <c r="H653" s="5" t="n">
        <v>6</v>
      </c>
      <c r="I653" s="2">
        <f>ROUND(INDEX(가맹점!$P$2:$P$9,D653)*INDEX(가맹점!$J$2:$M$9,D653,E653),0)</f>
        <v/>
      </c>
      <c r="J653" s="2">
        <f>ROUND(I653*(1-할인율),0)</f>
        <v/>
      </c>
      <c r="K653" s="2">
        <f>ROUNDDOWN(I653*할인율,0)</f>
        <v/>
      </c>
      <c r="L653" s="2">
        <f>ROUND(I653*INDEX(미지급률범위,E653),0)</f>
        <v/>
      </c>
      <c r="M653" s="2">
        <f>ROUND(I653*INDEX(과지급률범위,E653),0)</f>
        <v/>
      </c>
      <c r="N653" s="2">
        <f>MAX(0,L653-M653)</f>
        <v/>
      </c>
      <c r="O653" s="2">
        <f>K653-N653</f>
        <v/>
      </c>
      <c r="P653" s="2">
        <f>I653-N653</f>
        <v/>
      </c>
      <c r="Q653" s="5">
        <f>IF(G653&gt;기준일,1,0)</f>
        <v/>
      </c>
      <c r="R653" s="5">
        <f>IF(G653&lt;=기준일,1,0)</f>
        <v/>
      </c>
      <c r="S653" s="2">
        <f>J653*H653</f>
        <v/>
      </c>
      <c r="T653" s="5">
        <f>IF(AND(F653&gt;=표본시작,F653&lt;=표본종료),1,0)</f>
        <v/>
      </c>
      <c r="U653" s="5">
        <f>IF(AND(G653&gt;=조회시작,G653&lt;=조회종료),1,0)</f>
        <v/>
      </c>
    </row>
    <row r="654">
      <c r="A654" s="2">
        <f>ROW()-1</f>
        <v/>
      </c>
      <c r="B654" s="5">
        <f>INDEX(상호범위,D654)</f>
        <v/>
      </c>
      <c r="C654" s="5">
        <f>INDEX(플랫폼명범위,E654)</f>
        <v/>
      </c>
      <c r="D654" s="2">
        <f>MOD(INT((A654-1)/4),8)+1</f>
        <v/>
      </c>
      <c r="E654" s="2">
        <f>MOD(A654-1,4)+1</f>
        <v/>
      </c>
      <c r="F654" s="20">
        <f>축시작+INT((A654-1)/32)</f>
        <v/>
      </c>
      <c r="G654" s="20">
        <f>F654+H654</f>
        <v/>
      </c>
      <c r="H654" s="5" t="n">
        <v>1</v>
      </c>
      <c r="I654" s="2">
        <f>ROUND(INDEX(가맹점!$P$2:$P$9,D654)*INDEX(가맹점!$J$2:$M$9,D654,E654),0)</f>
        <v/>
      </c>
      <c r="J654" s="2">
        <f>ROUND(I654*(1-할인율),0)</f>
        <v/>
      </c>
      <c r="K654" s="2">
        <f>ROUNDDOWN(I654*할인율,0)</f>
        <v/>
      </c>
      <c r="L654" s="2">
        <f>ROUND(I654*INDEX(미지급률범위,E654),0)</f>
        <v/>
      </c>
      <c r="M654" s="2">
        <f>ROUND(I654*INDEX(과지급률범위,E654),0)</f>
        <v/>
      </c>
      <c r="N654" s="2">
        <f>MAX(0,L654-M654)</f>
        <v/>
      </c>
      <c r="O654" s="2">
        <f>K654-N654</f>
        <v/>
      </c>
      <c r="P654" s="2">
        <f>I654-N654</f>
        <v/>
      </c>
      <c r="Q654" s="5">
        <f>IF(G654&gt;기준일,1,0)</f>
        <v/>
      </c>
      <c r="R654" s="5">
        <f>IF(G654&lt;=기준일,1,0)</f>
        <v/>
      </c>
      <c r="S654" s="2">
        <f>J654*H654</f>
        <v/>
      </c>
      <c r="T654" s="5">
        <f>IF(AND(F654&gt;=표본시작,F654&lt;=표본종료),1,0)</f>
        <v/>
      </c>
      <c r="U654" s="5">
        <f>IF(AND(G654&gt;=조회시작,G654&lt;=조회종료),1,0)</f>
        <v/>
      </c>
    </row>
    <row r="655">
      <c r="A655" s="2">
        <f>ROW()-1</f>
        <v/>
      </c>
      <c r="B655" s="5">
        <f>INDEX(상호범위,D655)</f>
        <v/>
      </c>
      <c r="C655" s="5">
        <f>INDEX(플랫폼명범위,E655)</f>
        <v/>
      </c>
      <c r="D655" s="2">
        <f>MOD(INT((A655-1)/4),8)+1</f>
        <v/>
      </c>
      <c r="E655" s="2">
        <f>MOD(A655-1,4)+1</f>
        <v/>
      </c>
      <c r="F655" s="20">
        <f>축시작+INT((A655-1)/32)</f>
        <v/>
      </c>
      <c r="G655" s="20">
        <f>F655+H655</f>
        <v/>
      </c>
      <c r="H655" s="5" t="n">
        <v>2</v>
      </c>
      <c r="I655" s="2">
        <f>ROUND(INDEX(가맹점!$P$2:$P$9,D655)*INDEX(가맹점!$J$2:$M$9,D655,E655),0)</f>
        <v/>
      </c>
      <c r="J655" s="2">
        <f>ROUND(I655*(1-할인율),0)</f>
        <v/>
      </c>
      <c r="K655" s="2">
        <f>ROUNDDOWN(I655*할인율,0)</f>
        <v/>
      </c>
      <c r="L655" s="2">
        <f>ROUND(I655*INDEX(미지급률범위,E655),0)</f>
        <v/>
      </c>
      <c r="M655" s="2">
        <f>ROUND(I655*INDEX(과지급률범위,E655),0)</f>
        <v/>
      </c>
      <c r="N655" s="2">
        <f>MAX(0,L655-M655)</f>
        <v/>
      </c>
      <c r="O655" s="2">
        <f>K655-N655</f>
        <v/>
      </c>
      <c r="P655" s="2">
        <f>I655-N655</f>
        <v/>
      </c>
      <c r="Q655" s="5">
        <f>IF(G655&gt;기준일,1,0)</f>
        <v/>
      </c>
      <c r="R655" s="5">
        <f>IF(G655&lt;=기준일,1,0)</f>
        <v/>
      </c>
      <c r="S655" s="2">
        <f>J655*H655</f>
        <v/>
      </c>
      <c r="T655" s="5">
        <f>IF(AND(F655&gt;=표본시작,F655&lt;=표본종료),1,0)</f>
        <v/>
      </c>
      <c r="U655" s="5">
        <f>IF(AND(G655&gt;=조회시작,G655&lt;=조회종료),1,0)</f>
        <v/>
      </c>
    </row>
    <row r="656">
      <c r="A656" s="2">
        <f>ROW()-1</f>
        <v/>
      </c>
      <c r="B656" s="5">
        <f>INDEX(상호범위,D656)</f>
        <v/>
      </c>
      <c r="C656" s="5">
        <f>INDEX(플랫폼명범위,E656)</f>
        <v/>
      </c>
      <c r="D656" s="2">
        <f>MOD(INT((A656-1)/4),8)+1</f>
        <v/>
      </c>
      <c r="E656" s="2">
        <f>MOD(A656-1,4)+1</f>
        <v/>
      </c>
      <c r="F656" s="20">
        <f>축시작+INT((A656-1)/32)</f>
        <v/>
      </c>
      <c r="G656" s="20">
        <f>F656+H656</f>
        <v/>
      </c>
      <c r="H656" s="5" t="n">
        <v>7</v>
      </c>
      <c r="I656" s="2">
        <f>ROUND(INDEX(가맹점!$P$2:$P$9,D656)*INDEX(가맹점!$J$2:$M$9,D656,E656),0)</f>
        <v/>
      </c>
      <c r="J656" s="2">
        <f>ROUND(I656*(1-할인율),0)</f>
        <v/>
      </c>
      <c r="K656" s="2">
        <f>ROUNDDOWN(I656*할인율,0)</f>
        <v/>
      </c>
      <c r="L656" s="2">
        <f>ROUND(I656*INDEX(미지급률범위,E656),0)</f>
        <v/>
      </c>
      <c r="M656" s="2">
        <f>ROUND(I656*INDEX(과지급률범위,E656),0)</f>
        <v/>
      </c>
      <c r="N656" s="2">
        <f>MAX(0,L656-M656)</f>
        <v/>
      </c>
      <c r="O656" s="2">
        <f>K656-N656</f>
        <v/>
      </c>
      <c r="P656" s="2">
        <f>I656-N656</f>
        <v/>
      </c>
      <c r="Q656" s="5">
        <f>IF(G656&gt;기준일,1,0)</f>
        <v/>
      </c>
      <c r="R656" s="5">
        <f>IF(G656&lt;=기준일,1,0)</f>
        <v/>
      </c>
      <c r="S656" s="2">
        <f>J656*H656</f>
        <v/>
      </c>
      <c r="T656" s="5">
        <f>IF(AND(F656&gt;=표본시작,F656&lt;=표본종료),1,0)</f>
        <v/>
      </c>
      <c r="U656" s="5">
        <f>IF(AND(G656&gt;=조회시작,G656&lt;=조회종료),1,0)</f>
        <v/>
      </c>
    </row>
    <row r="657">
      <c r="A657" s="2">
        <f>ROW()-1</f>
        <v/>
      </c>
      <c r="B657" s="5">
        <f>INDEX(상호범위,D657)</f>
        <v/>
      </c>
      <c r="C657" s="5">
        <f>INDEX(플랫폼명범위,E657)</f>
        <v/>
      </c>
      <c r="D657" s="2">
        <f>MOD(INT((A657-1)/4),8)+1</f>
        <v/>
      </c>
      <c r="E657" s="2">
        <f>MOD(A657-1,4)+1</f>
        <v/>
      </c>
      <c r="F657" s="20">
        <f>축시작+INT((A657-1)/32)</f>
        <v/>
      </c>
      <c r="G657" s="20">
        <f>F657+H657</f>
        <v/>
      </c>
      <c r="H657" s="5" t="n">
        <v>5</v>
      </c>
      <c r="I657" s="2">
        <f>ROUND(INDEX(가맹점!$P$2:$P$9,D657)*INDEX(가맹점!$J$2:$M$9,D657,E657),0)</f>
        <v/>
      </c>
      <c r="J657" s="2">
        <f>ROUND(I657*(1-할인율),0)</f>
        <v/>
      </c>
      <c r="K657" s="2">
        <f>ROUNDDOWN(I657*할인율,0)</f>
        <v/>
      </c>
      <c r="L657" s="2">
        <f>ROUND(I657*INDEX(미지급률범위,E657),0)</f>
        <v/>
      </c>
      <c r="M657" s="2">
        <f>ROUND(I657*INDEX(과지급률범위,E657),0)</f>
        <v/>
      </c>
      <c r="N657" s="2">
        <f>MAX(0,L657-M657)</f>
        <v/>
      </c>
      <c r="O657" s="2">
        <f>K657-N657</f>
        <v/>
      </c>
      <c r="P657" s="2">
        <f>I657-N657</f>
        <v/>
      </c>
      <c r="Q657" s="5">
        <f>IF(G657&gt;기준일,1,0)</f>
        <v/>
      </c>
      <c r="R657" s="5">
        <f>IF(G657&lt;=기준일,1,0)</f>
        <v/>
      </c>
      <c r="S657" s="2">
        <f>J657*H657</f>
        <v/>
      </c>
      <c r="T657" s="5">
        <f>IF(AND(F657&gt;=표본시작,F657&lt;=표본종료),1,0)</f>
        <v/>
      </c>
      <c r="U657" s="5">
        <f>IF(AND(G657&gt;=조회시작,G657&lt;=조회종료),1,0)</f>
        <v/>
      </c>
    </row>
    <row r="658">
      <c r="A658" s="2">
        <f>ROW()-1</f>
        <v/>
      </c>
      <c r="B658" s="5">
        <f>INDEX(상호범위,D658)</f>
        <v/>
      </c>
      <c r="C658" s="5">
        <f>INDEX(플랫폼명범위,E658)</f>
        <v/>
      </c>
      <c r="D658" s="2">
        <f>MOD(INT((A658-1)/4),8)+1</f>
        <v/>
      </c>
      <c r="E658" s="2">
        <f>MOD(A658-1,4)+1</f>
        <v/>
      </c>
      <c r="F658" s="20">
        <f>축시작+INT((A658-1)/32)</f>
        <v/>
      </c>
      <c r="G658" s="20">
        <f>F658+H658</f>
        <v/>
      </c>
      <c r="H658" s="5" t="n">
        <v>1</v>
      </c>
      <c r="I658" s="2">
        <f>ROUND(INDEX(가맹점!$P$2:$P$9,D658)*INDEX(가맹점!$J$2:$M$9,D658,E658),0)</f>
        <v/>
      </c>
      <c r="J658" s="2">
        <f>ROUND(I658*(1-할인율),0)</f>
        <v/>
      </c>
      <c r="K658" s="2">
        <f>ROUNDDOWN(I658*할인율,0)</f>
        <v/>
      </c>
      <c r="L658" s="2">
        <f>ROUND(I658*INDEX(미지급률범위,E658),0)</f>
        <v/>
      </c>
      <c r="M658" s="2">
        <f>ROUND(I658*INDEX(과지급률범위,E658),0)</f>
        <v/>
      </c>
      <c r="N658" s="2">
        <f>MAX(0,L658-M658)</f>
        <v/>
      </c>
      <c r="O658" s="2">
        <f>K658-N658</f>
        <v/>
      </c>
      <c r="P658" s="2">
        <f>I658-N658</f>
        <v/>
      </c>
      <c r="Q658" s="5">
        <f>IF(G658&gt;기준일,1,0)</f>
        <v/>
      </c>
      <c r="R658" s="5">
        <f>IF(G658&lt;=기준일,1,0)</f>
        <v/>
      </c>
      <c r="S658" s="2">
        <f>J658*H658</f>
        <v/>
      </c>
      <c r="T658" s="5">
        <f>IF(AND(F658&gt;=표본시작,F658&lt;=표본종료),1,0)</f>
        <v/>
      </c>
      <c r="U658" s="5">
        <f>IF(AND(G658&gt;=조회시작,G658&lt;=조회종료),1,0)</f>
        <v/>
      </c>
    </row>
    <row r="659">
      <c r="A659" s="2">
        <f>ROW()-1</f>
        <v/>
      </c>
      <c r="B659" s="5">
        <f>INDEX(상호범위,D659)</f>
        <v/>
      </c>
      <c r="C659" s="5">
        <f>INDEX(플랫폼명범위,E659)</f>
        <v/>
      </c>
      <c r="D659" s="2">
        <f>MOD(INT((A659-1)/4),8)+1</f>
        <v/>
      </c>
      <c r="E659" s="2">
        <f>MOD(A659-1,4)+1</f>
        <v/>
      </c>
      <c r="F659" s="20">
        <f>축시작+INT((A659-1)/32)</f>
        <v/>
      </c>
      <c r="G659" s="20">
        <f>F659+H659</f>
        <v/>
      </c>
      <c r="H659" s="5" t="n">
        <v>2</v>
      </c>
      <c r="I659" s="2">
        <f>ROUND(INDEX(가맹점!$P$2:$P$9,D659)*INDEX(가맹점!$J$2:$M$9,D659,E659),0)</f>
        <v/>
      </c>
      <c r="J659" s="2">
        <f>ROUND(I659*(1-할인율),0)</f>
        <v/>
      </c>
      <c r="K659" s="2">
        <f>ROUNDDOWN(I659*할인율,0)</f>
        <v/>
      </c>
      <c r="L659" s="2">
        <f>ROUND(I659*INDEX(미지급률범위,E659),0)</f>
        <v/>
      </c>
      <c r="M659" s="2">
        <f>ROUND(I659*INDEX(과지급률범위,E659),0)</f>
        <v/>
      </c>
      <c r="N659" s="2">
        <f>MAX(0,L659-M659)</f>
        <v/>
      </c>
      <c r="O659" s="2">
        <f>K659-N659</f>
        <v/>
      </c>
      <c r="P659" s="2">
        <f>I659-N659</f>
        <v/>
      </c>
      <c r="Q659" s="5">
        <f>IF(G659&gt;기준일,1,0)</f>
        <v/>
      </c>
      <c r="R659" s="5">
        <f>IF(G659&lt;=기준일,1,0)</f>
        <v/>
      </c>
      <c r="S659" s="2">
        <f>J659*H659</f>
        <v/>
      </c>
      <c r="T659" s="5">
        <f>IF(AND(F659&gt;=표본시작,F659&lt;=표본종료),1,0)</f>
        <v/>
      </c>
      <c r="U659" s="5">
        <f>IF(AND(G659&gt;=조회시작,G659&lt;=조회종료),1,0)</f>
        <v/>
      </c>
    </row>
    <row r="660">
      <c r="A660" s="2">
        <f>ROW()-1</f>
        <v/>
      </c>
      <c r="B660" s="5">
        <f>INDEX(상호범위,D660)</f>
        <v/>
      </c>
      <c r="C660" s="5">
        <f>INDEX(플랫폼명범위,E660)</f>
        <v/>
      </c>
      <c r="D660" s="2">
        <f>MOD(INT((A660-1)/4),8)+1</f>
        <v/>
      </c>
      <c r="E660" s="2">
        <f>MOD(A660-1,4)+1</f>
        <v/>
      </c>
      <c r="F660" s="20">
        <f>축시작+INT((A660-1)/32)</f>
        <v/>
      </c>
      <c r="G660" s="20">
        <f>F660+H660</f>
        <v/>
      </c>
      <c r="H660" s="5" t="n">
        <v>9</v>
      </c>
      <c r="I660" s="2">
        <f>ROUND(INDEX(가맹점!$P$2:$P$9,D660)*INDEX(가맹점!$J$2:$M$9,D660,E660),0)</f>
        <v/>
      </c>
      <c r="J660" s="2">
        <f>ROUND(I660*(1-할인율),0)</f>
        <v/>
      </c>
      <c r="K660" s="2">
        <f>ROUNDDOWN(I660*할인율,0)</f>
        <v/>
      </c>
      <c r="L660" s="2">
        <f>ROUND(I660*INDEX(미지급률범위,E660),0)</f>
        <v/>
      </c>
      <c r="M660" s="2">
        <f>ROUND(I660*INDEX(과지급률범위,E660),0)</f>
        <v/>
      </c>
      <c r="N660" s="2">
        <f>MAX(0,L660-M660)</f>
        <v/>
      </c>
      <c r="O660" s="2">
        <f>K660-N660</f>
        <v/>
      </c>
      <c r="P660" s="2">
        <f>I660-N660</f>
        <v/>
      </c>
      <c r="Q660" s="5">
        <f>IF(G660&gt;기준일,1,0)</f>
        <v/>
      </c>
      <c r="R660" s="5">
        <f>IF(G660&lt;=기준일,1,0)</f>
        <v/>
      </c>
      <c r="S660" s="2">
        <f>J660*H660</f>
        <v/>
      </c>
      <c r="T660" s="5">
        <f>IF(AND(F660&gt;=표본시작,F660&lt;=표본종료),1,0)</f>
        <v/>
      </c>
      <c r="U660" s="5">
        <f>IF(AND(G660&gt;=조회시작,G660&lt;=조회종료),1,0)</f>
        <v/>
      </c>
    </row>
    <row r="661">
      <c r="A661" s="2">
        <f>ROW()-1</f>
        <v/>
      </c>
      <c r="B661" s="5">
        <f>INDEX(상호범위,D661)</f>
        <v/>
      </c>
      <c r="C661" s="5">
        <f>INDEX(플랫폼명범위,E661)</f>
        <v/>
      </c>
      <c r="D661" s="2">
        <f>MOD(INT((A661-1)/4),8)+1</f>
        <v/>
      </c>
      <c r="E661" s="2">
        <f>MOD(A661-1,4)+1</f>
        <v/>
      </c>
      <c r="F661" s="20">
        <f>축시작+INT((A661-1)/32)</f>
        <v/>
      </c>
      <c r="G661" s="20">
        <f>F661+H661</f>
        <v/>
      </c>
      <c r="H661" s="5" t="n">
        <v>6</v>
      </c>
      <c r="I661" s="2">
        <f>ROUND(INDEX(가맹점!$P$2:$P$9,D661)*INDEX(가맹점!$J$2:$M$9,D661,E661),0)</f>
        <v/>
      </c>
      <c r="J661" s="2">
        <f>ROUND(I661*(1-할인율),0)</f>
        <v/>
      </c>
      <c r="K661" s="2">
        <f>ROUNDDOWN(I661*할인율,0)</f>
        <v/>
      </c>
      <c r="L661" s="2">
        <f>ROUND(I661*INDEX(미지급률범위,E661),0)</f>
        <v/>
      </c>
      <c r="M661" s="2">
        <f>ROUND(I661*INDEX(과지급률범위,E661),0)</f>
        <v/>
      </c>
      <c r="N661" s="2">
        <f>MAX(0,L661-M661)</f>
        <v/>
      </c>
      <c r="O661" s="2">
        <f>K661-N661</f>
        <v/>
      </c>
      <c r="P661" s="2">
        <f>I661-N661</f>
        <v/>
      </c>
      <c r="Q661" s="5">
        <f>IF(G661&gt;기준일,1,0)</f>
        <v/>
      </c>
      <c r="R661" s="5">
        <f>IF(G661&lt;=기준일,1,0)</f>
        <v/>
      </c>
      <c r="S661" s="2">
        <f>J661*H661</f>
        <v/>
      </c>
      <c r="T661" s="5">
        <f>IF(AND(F661&gt;=표본시작,F661&lt;=표본종료),1,0)</f>
        <v/>
      </c>
      <c r="U661" s="5">
        <f>IF(AND(G661&gt;=조회시작,G661&lt;=조회종료),1,0)</f>
        <v/>
      </c>
    </row>
    <row r="662">
      <c r="A662" s="2">
        <f>ROW()-1</f>
        <v/>
      </c>
      <c r="B662" s="5">
        <f>INDEX(상호범위,D662)</f>
        <v/>
      </c>
      <c r="C662" s="5">
        <f>INDEX(플랫폼명범위,E662)</f>
        <v/>
      </c>
      <c r="D662" s="2">
        <f>MOD(INT((A662-1)/4),8)+1</f>
        <v/>
      </c>
      <c r="E662" s="2">
        <f>MOD(A662-1,4)+1</f>
        <v/>
      </c>
      <c r="F662" s="20">
        <f>축시작+INT((A662-1)/32)</f>
        <v/>
      </c>
      <c r="G662" s="20">
        <f>F662+H662</f>
        <v/>
      </c>
      <c r="H662" s="5" t="n">
        <v>1</v>
      </c>
      <c r="I662" s="2">
        <f>ROUND(INDEX(가맹점!$P$2:$P$9,D662)*INDEX(가맹점!$J$2:$M$9,D662,E662),0)</f>
        <v/>
      </c>
      <c r="J662" s="2">
        <f>ROUND(I662*(1-할인율),0)</f>
        <v/>
      </c>
      <c r="K662" s="2">
        <f>ROUNDDOWN(I662*할인율,0)</f>
        <v/>
      </c>
      <c r="L662" s="2">
        <f>ROUND(I662*INDEX(미지급률범위,E662),0)</f>
        <v/>
      </c>
      <c r="M662" s="2">
        <f>ROUND(I662*INDEX(과지급률범위,E662),0)</f>
        <v/>
      </c>
      <c r="N662" s="2">
        <f>MAX(0,L662-M662)</f>
        <v/>
      </c>
      <c r="O662" s="2">
        <f>K662-N662</f>
        <v/>
      </c>
      <c r="P662" s="2">
        <f>I662-N662</f>
        <v/>
      </c>
      <c r="Q662" s="5">
        <f>IF(G662&gt;기준일,1,0)</f>
        <v/>
      </c>
      <c r="R662" s="5">
        <f>IF(G662&lt;=기준일,1,0)</f>
        <v/>
      </c>
      <c r="S662" s="2">
        <f>J662*H662</f>
        <v/>
      </c>
      <c r="T662" s="5">
        <f>IF(AND(F662&gt;=표본시작,F662&lt;=표본종료),1,0)</f>
        <v/>
      </c>
      <c r="U662" s="5">
        <f>IF(AND(G662&gt;=조회시작,G662&lt;=조회종료),1,0)</f>
        <v/>
      </c>
    </row>
    <row r="663">
      <c r="A663" s="2">
        <f>ROW()-1</f>
        <v/>
      </c>
      <c r="B663" s="5">
        <f>INDEX(상호범위,D663)</f>
        <v/>
      </c>
      <c r="C663" s="5">
        <f>INDEX(플랫폼명범위,E663)</f>
        <v/>
      </c>
      <c r="D663" s="2">
        <f>MOD(INT((A663-1)/4),8)+1</f>
        <v/>
      </c>
      <c r="E663" s="2">
        <f>MOD(A663-1,4)+1</f>
        <v/>
      </c>
      <c r="F663" s="20">
        <f>축시작+INT((A663-1)/32)</f>
        <v/>
      </c>
      <c r="G663" s="20">
        <f>F663+H663</f>
        <v/>
      </c>
      <c r="H663" s="5" t="n">
        <v>2</v>
      </c>
      <c r="I663" s="2">
        <f>ROUND(INDEX(가맹점!$P$2:$P$9,D663)*INDEX(가맹점!$J$2:$M$9,D663,E663),0)</f>
        <v/>
      </c>
      <c r="J663" s="2">
        <f>ROUND(I663*(1-할인율),0)</f>
        <v/>
      </c>
      <c r="K663" s="2">
        <f>ROUNDDOWN(I663*할인율,0)</f>
        <v/>
      </c>
      <c r="L663" s="2">
        <f>ROUND(I663*INDEX(미지급률범위,E663),0)</f>
        <v/>
      </c>
      <c r="M663" s="2">
        <f>ROUND(I663*INDEX(과지급률범위,E663),0)</f>
        <v/>
      </c>
      <c r="N663" s="2">
        <f>MAX(0,L663-M663)</f>
        <v/>
      </c>
      <c r="O663" s="2">
        <f>K663-N663</f>
        <v/>
      </c>
      <c r="P663" s="2">
        <f>I663-N663</f>
        <v/>
      </c>
      <c r="Q663" s="5">
        <f>IF(G663&gt;기준일,1,0)</f>
        <v/>
      </c>
      <c r="R663" s="5">
        <f>IF(G663&lt;=기준일,1,0)</f>
        <v/>
      </c>
      <c r="S663" s="2">
        <f>J663*H663</f>
        <v/>
      </c>
      <c r="T663" s="5">
        <f>IF(AND(F663&gt;=표본시작,F663&lt;=표본종료),1,0)</f>
        <v/>
      </c>
      <c r="U663" s="5">
        <f>IF(AND(G663&gt;=조회시작,G663&lt;=조회종료),1,0)</f>
        <v/>
      </c>
    </row>
    <row r="664">
      <c r="A664" s="2">
        <f>ROW()-1</f>
        <v/>
      </c>
      <c r="B664" s="5">
        <f>INDEX(상호범위,D664)</f>
        <v/>
      </c>
      <c r="C664" s="5">
        <f>INDEX(플랫폼명범위,E664)</f>
        <v/>
      </c>
      <c r="D664" s="2">
        <f>MOD(INT((A664-1)/4),8)+1</f>
        <v/>
      </c>
      <c r="E664" s="2">
        <f>MOD(A664-1,4)+1</f>
        <v/>
      </c>
      <c r="F664" s="20">
        <f>축시작+INT((A664-1)/32)</f>
        <v/>
      </c>
      <c r="G664" s="20">
        <f>F664+H664</f>
        <v/>
      </c>
      <c r="H664" s="5" t="n">
        <v>5</v>
      </c>
      <c r="I664" s="2">
        <f>ROUND(INDEX(가맹점!$P$2:$P$9,D664)*INDEX(가맹점!$J$2:$M$9,D664,E664),0)</f>
        <v/>
      </c>
      <c r="J664" s="2">
        <f>ROUND(I664*(1-할인율),0)</f>
        <v/>
      </c>
      <c r="K664" s="2">
        <f>ROUNDDOWN(I664*할인율,0)</f>
        <v/>
      </c>
      <c r="L664" s="2">
        <f>ROUND(I664*INDEX(미지급률범위,E664),0)</f>
        <v/>
      </c>
      <c r="M664" s="2">
        <f>ROUND(I664*INDEX(과지급률범위,E664),0)</f>
        <v/>
      </c>
      <c r="N664" s="2">
        <f>MAX(0,L664-M664)</f>
        <v/>
      </c>
      <c r="O664" s="2">
        <f>K664-N664</f>
        <v/>
      </c>
      <c r="P664" s="2">
        <f>I664-N664</f>
        <v/>
      </c>
      <c r="Q664" s="5">
        <f>IF(G664&gt;기준일,1,0)</f>
        <v/>
      </c>
      <c r="R664" s="5">
        <f>IF(G664&lt;=기준일,1,0)</f>
        <v/>
      </c>
      <c r="S664" s="2">
        <f>J664*H664</f>
        <v/>
      </c>
      <c r="T664" s="5">
        <f>IF(AND(F664&gt;=표본시작,F664&lt;=표본종료),1,0)</f>
        <v/>
      </c>
      <c r="U664" s="5">
        <f>IF(AND(G664&gt;=조회시작,G664&lt;=조회종료),1,0)</f>
        <v/>
      </c>
    </row>
    <row r="665">
      <c r="A665" s="2">
        <f>ROW()-1</f>
        <v/>
      </c>
      <c r="B665" s="5">
        <f>INDEX(상호범위,D665)</f>
        <v/>
      </c>
      <c r="C665" s="5">
        <f>INDEX(플랫폼명범위,E665)</f>
        <v/>
      </c>
      <c r="D665" s="2">
        <f>MOD(INT((A665-1)/4),8)+1</f>
        <v/>
      </c>
      <c r="E665" s="2">
        <f>MOD(A665-1,4)+1</f>
        <v/>
      </c>
      <c r="F665" s="20">
        <f>축시작+INT((A665-1)/32)</f>
        <v/>
      </c>
      <c r="G665" s="20">
        <f>F665+H665</f>
        <v/>
      </c>
      <c r="H665" s="5" t="n">
        <v>4</v>
      </c>
      <c r="I665" s="2">
        <f>ROUND(INDEX(가맹점!$P$2:$P$9,D665)*INDEX(가맹점!$J$2:$M$9,D665,E665),0)</f>
        <v/>
      </c>
      <c r="J665" s="2">
        <f>ROUND(I665*(1-할인율),0)</f>
        <v/>
      </c>
      <c r="K665" s="2">
        <f>ROUNDDOWN(I665*할인율,0)</f>
        <v/>
      </c>
      <c r="L665" s="2">
        <f>ROUND(I665*INDEX(미지급률범위,E665),0)</f>
        <v/>
      </c>
      <c r="M665" s="2">
        <f>ROUND(I665*INDEX(과지급률범위,E665),0)</f>
        <v/>
      </c>
      <c r="N665" s="2">
        <f>MAX(0,L665-M665)</f>
        <v/>
      </c>
      <c r="O665" s="2">
        <f>K665-N665</f>
        <v/>
      </c>
      <c r="P665" s="2">
        <f>I665-N665</f>
        <v/>
      </c>
      <c r="Q665" s="5">
        <f>IF(G665&gt;기준일,1,0)</f>
        <v/>
      </c>
      <c r="R665" s="5">
        <f>IF(G665&lt;=기준일,1,0)</f>
        <v/>
      </c>
      <c r="S665" s="2">
        <f>J665*H665</f>
        <v/>
      </c>
      <c r="T665" s="5">
        <f>IF(AND(F665&gt;=표본시작,F665&lt;=표본종료),1,0)</f>
        <v/>
      </c>
      <c r="U665" s="5">
        <f>IF(AND(G665&gt;=조회시작,G665&lt;=조회종료),1,0)</f>
        <v/>
      </c>
    </row>
    <row r="666">
      <c r="A666" s="2">
        <f>ROW()-1</f>
        <v/>
      </c>
      <c r="B666" s="5">
        <f>INDEX(상호범위,D666)</f>
        <v/>
      </c>
      <c r="C666" s="5">
        <f>INDEX(플랫폼명범위,E666)</f>
        <v/>
      </c>
      <c r="D666" s="2">
        <f>MOD(INT((A666-1)/4),8)+1</f>
        <v/>
      </c>
      <c r="E666" s="2">
        <f>MOD(A666-1,4)+1</f>
        <v/>
      </c>
      <c r="F666" s="20">
        <f>축시작+INT((A666-1)/32)</f>
        <v/>
      </c>
      <c r="G666" s="20">
        <f>F666+H666</f>
        <v/>
      </c>
      <c r="H666" s="5" t="n">
        <v>3</v>
      </c>
      <c r="I666" s="2">
        <f>ROUND(INDEX(가맹점!$P$2:$P$9,D666)*INDEX(가맹점!$J$2:$M$9,D666,E666),0)</f>
        <v/>
      </c>
      <c r="J666" s="2">
        <f>ROUND(I666*(1-할인율),0)</f>
        <v/>
      </c>
      <c r="K666" s="2">
        <f>ROUNDDOWN(I666*할인율,0)</f>
        <v/>
      </c>
      <c r="L666" s="2">
        <f>ROUND(I666*INDEX(미지급률범위,E666),0)</f>
        <v/>
      </c>
      <c r="M666" s="2">
        <f>ROUND(I666*INDEX(과지급률범위,E666),0)</f>
        <v/>
      </c>
      <c r="N666" s="2">
        <f>MAX(0,L666-M666)</f>
        <v/>
      </c>
      <c r="O666" s="2">
        <f>K666-N666</f>
        <v/>
      </c>
      <c r="P666" s="2">
        <f>I666-N666</f>
        <v/>
      </c>
      <c r="Q666" s="5">
        <f>IF(G666&gt;기준일,1,0)</f>
        <v/>
      </c>
      <c r="R666" s="5">
        <f>IF(G666&lt;=기준일,1,0)</f>
        <v/>
      </c>
      <c r="S666" s="2">
        <f>J666*H666</f>
        <v/>
      </c>
      <c r="T666" s="5">
        <f>IF(AND(F666&gt;=표본시작,F666&lt;=표본종료),1,0)</f>
        <v/>
      </c>
      <c r="U666" s="5">
        <f>IF(AND(G666&gt;=조회시작,G666&lt;=조회종료),1,0)</f>
        <v/>
      </c>
    </row>
    <row r="667">
      <c r="A667" s="2">
        <f>ROW()-1</f>
        <v/>
      </c>
      <c r="B667" s="5">
        <f>INDEX(상호범위,D667)</f>
        <v/>
      </c>
      <c r="C667" s="5">
        <f>INDEX(플랫폼명범위,E667)</f>
        <v/>
      </c>
      <c r="D667" s="2">
        <f>MOD(INT((A667-1)/4),8)+1</f>
        <v/>
      </c>
      <c r="E667" s="2">
        <f>MOD(A667-1,4)+1</f>
        <v/>
      </c>
      <c r="F667" s="20">
        <f>축시작+INT((A667-1)/32)</f>
        <v/>
      </c>
      <c r="G667" s="20">
        <f>F667+H667</f>
        <v/>
      </c>
      <c r="H667" s="5" t="n">
        <v>2</v>
      </c>
      <c r="I667" s="2">
        <f>ROUND(INDEX(가맹점!$P$2:$P$9,D667)*INDEX(가맹점!$J$2:$M$9,D667,E667),0)</f>
        <v/>
      </c>
      <c r="J667" s="2">
        <f>ROUND(I667*(1-할인율),0)</f>
        <v/>
      </c>
      <c r="K667" s="2">
        <f>ROUNDDOWN(I667*할인율,0)</f>
        <v/>
      </c>
      <c r="L667" s="2">
        <f>ROUND(I667*INDEX(미지급률범위,E667),0)</f>
        <v/>
      </c>
      <c r="M667" s="2">
        <f>ROUND(I667*INDEX(과지급률범위,E667),0)</f>
        <v/>
      </c>
      <c r="N667" s="2">
        <f>MAX(0,L667-M667)</f>
        <v/>
      </c>
      <c r="O667" s="2">
        <f>K667-N667</f>
        <v/>
      </c>
      <c r="P667" s="2">
        <f>I667-N667</f>
        <v/>
      </c>
      <c r="Q667" s="5">
        <f>IF(G667&gt;기준일,1,0)</f>
        <v/>
      </c>
      <c r="R667" s="5">
        <f>IF(G667&lt;=기준일,1,0)</f>
        <v/>
      </c>
      <c r="S667" s="2">
        <f>J667*H667</f>
        <v/>
      </c>
      <c r="T667" s="5">
        <f>IF(AND(F667&gt;=표본시작,F667&lt;=표본종료),1,0)</f>
        <v/>
      </c>
      <c r="U667" s="5">
        <f>IF(AND(G667&gt;=조회시작,G667&lt;=조회종료),1,0)</f>
        <v/>
      </c>
    </row>
    <row r="668">
      <c r="A668" s="2">
        <f>ROW()-1</f>
        <v/>
      </c>
      <c r="B668" s="5">
        <f>INDEX(상호범위,D668)</f>
        <v/>
      </c>
      <c r="C668" s="5">
        <f>INDEX(플랫폼명범위,E668)</f>
        <v/>
      </c>
      <c r="D668" s="2">
        <f>MOD(INT((A668-1)/4),8)+1</f>
        <v/>
      </c>
      <c r="E668" s="2">
        <f>MOD(A668-1,4)+1</f>
        <v/>
      </c>
      <c r="F668" s="20">
        <f>축시작+INT((A668-1)/32)</f>
        <v/>
      </c>
      <c r="G668" s="20">
        <f>F668+H668</f>
        <v/>
      </c>
      <c r="H668" s="5" t="n">
        <v>5</v>
      </c>
      <c r="I668" s="2">
        <f>ROUND(INDEX(가맹점!$P$2:$P$9,D668)*INDEX(가맹점!$J$2:$M$9,D668,E668),0)</f>
        <v/>
      </c>
      <c r="J668" s="2">
        <f>ROUND(I668*(1-할인율),0)</f>
        <v/>
      </c>
      <c r="K668" s="2">
        <f>ROUNDDOWN(I668*할인율,0)</f>
        <v/>
      </c>
      <c r="L668" s="2">
        <f>ROUND(I668*INDEX(미지급률범위,E668),0)</f>
        <v/>
      </c>
      <c r="M668" s="2">
        <f>ROUND(I668*INDEX(과지급률범위,E668),0)</f>
        <v/>
      </c>
      <c r="N668" s="2">
        <f>MAX(0,L668-M668)</f>
        <v/>
      </c>
      <c r="O668" s="2">
        <f>K668-N668</f>
        <v/>
      </c>
      <c r="P668" s="2">
        <f>I668-N668</f>
        <v/>
      </c>
      <c r="Q668" s="5">
        <f>IF(G668&gt;기준일,1,0)</f>
        <v/>
      </c>
      <c r="R668" s="5">
        <f>IF(G668&lt;=기준일,1,0)</f>
        <v/>
      </c>
      <c r="S668" s="2">
        <f>J668*H668</f>
        <v/>
      </c>
      <c r="T668" s="5">
        <f>IF(AND(F668&gt;=표본시작,F668&lt;=표본종료),1,0)</f>
        <v/>
      </c>
      <c r="U668" s="5">
        <f>IF(AND(G668&gt;=조회시작,G668&lt;=조회종료),1,0)</f>
        <v/>
      </c>
    </row>
    <row r="669">
      <c r="A669" s="2">
        <f>ROW()-1</f>
        <v/>
      </c>
      <c r="B669" s="5">
        <f>INDEX(상호범위,D669)</f>
        <v/>
      </c>
      <c r="C669" s="5">
        <f>INDEX(플랫폼명범위,E669)</f>
        <v/>
      </c>
      <c r="D669" s="2">
        <f>MOD(INT((A669-1)/4),8)+1</f>
        <v/>
      </c>
      <c r="E669" s="2">
        <f>MOD(A669-1,4)+1</f>
        <v/>
      </c>
      <c r="F669" s="20">
        <f>축시작+INT((A669-1)/32)</f>
        <v/>
      </c>
      <c r="G669" s="20">
        <f>F669+H669</f>
        <v/>
      </c>
      <c r="H669" s="5" t="n">
        <v>4</v>
      </c>
      <c r="I669" s="2">
        <f>ROUND(INDEX(가맹점!$P$2:$P$9,D669)*INDEX(가맹점!$J$2:$M$9,D669,E669),0)</f>
        <v/>
      </c>
      <c r="J669" s="2">
        <f>ROUND(I669*(1-할인율),0)</f>
        <v/>
      </c>
      <c r="K669" s="2">
        <f>ROUNDDOWN(I669*할인율,0)</f>
        <v/>
      </c>
      <c r="L669" s="2">
        <f>ROUND(I669*INDEX(미지급률범위,E669),0)</f>
        <v/>
      </c>
      <c r="M669" s="2">
        <f>ROUND(I669*INDEX(과지급률범위,E669),0)</f>
        <v/>
      </c>
      <c r="N669" s="2">
        <f>MAX(0,L669-M669)</f>
        <v/>
      </c>
      <c r="O669" s="2">
        <f>K669-N669</f>
        <v/>
      </c>
      <c r="P669" s="2">
        <f>I669-N669</f>
        <v/>
      </c>
      <c r="Q669" s="5">
        <f>IF(G669&gt;기준일,1,0)</f>
        <v/>
      </c>
      <c r="R669" s="5">
        <f>IF(G669&lt;=기준일,1,0)</f>
        <v/>
      </c>
      <c r="S669" s="2">
        <f>J669*H669</f>
        <v/>
      </c>
      <c r="T669" s="5">
        <f>IF(AND(F669&gt;=표본시작,F669&lt;=표본종료),1,0)</f>
        <v/>
      </c>
      <c r="U669" s="5">
        <f>IF(AND(G669&gt;=조회시작,G669&lt;=조회종료),1,0)</f>
        <v/>
      </c>
    </row>
    <row r="670">
      <c r="A670" s="2">
        <f>ROW()-1</f>
        <v/>
      </c>
      <c r="B670" s="5">
        <f>INDEX(상호범위,D670)</f>
        <v/>
      </c>
      <c r="C670" s="5">
        <f>INDEX(플랫폼명범위,E670)</f>
        <v/>
      </c>
      <c r="D670" s="2">
        <f>MOD(INT((A670-1)/4),8)+1</f>
        <v/>
      </c>
      <c r="E670" s="2">
        <f>MOD(A670-1,4)+1</f>
        <v/>
      </c>
      <c r="F670" s="20">
        <f>축시작+INT((A670-1)/32)</f>
        <v/>
      </c>
      <c r="G670" s="20">
        <f>F670+H670</f>
        <v/>
      </c>
      <c r="H670" s="5" t="n">
        <v>1</v>
      </c>
      <c r="I670" s="2">
        <f>ROUND(INDEX(가맹점!$P$2:$P$9,D670)*INDEX(가맹점!$J$2:$M$9,D670,E670),0)</f>
        <v/>
      </c>
      <c r="J670" s="2">
        <f>ROUND(I670*(1-할인율),0)</f>
        <v/>
      </c>
      <c r="K670" s="2">
        <f>ROUNDDOWN(I670*할인율,0)</f>
        <v/>
      </c>
      <c r="L670" s="2">
        <f>ROUND(I670*INDEX(미지급률범위,E670),0)</f>
        <v/>
      </c>
      <c r="M670" s="2">
        <f>ROUND(I670*INDEX(과지급률범위,E670),0)</f>
        <v/>
      </c>
      <c r="N670" s="2">
        <f>MAX(0,L670-M670)</f>
        <v/>
      </c>
      <c r="O670" s="2">
        <f>K670-N670</f>
        <v/>
      </c>
      <c r="P670" s="2">
        <f>I670-N670</f>
        <v/>
      </c>
      <c r="Q670" s="5">
        <f>IF(G670&gt;기준일,1,0)</f>
        <v/>
      </c>
      <c r="R670" s="5">
        <f>IF(G670&lt;=기준일,1,0)</f>
        <v/>
      </c>
      <c r="S670" s="2">
        <f>J670*H670</f>
        <v/>
      </c>
      <c r="T670" s="5">
        <f>IF(AND(F670&gt;=표본시작,F670&lt;=표본종료),1,0)</f>
        <v/>
      </c>
      <c r="U670" s="5">
        <f>IF(AND(G670&gt;=조회시작,G670&lt;=조회종료),1,0)</f>
        <v/>
      </c>
    </row>
    <row r="671">
      <c r="A671" s="2">
        <f>ROW()-1</f>
        <v/>
      </c>
      <c r="B671" s="5">
        <f>INDEX(상호범위,D671)</f>
        <v/>
      </c>
      <c r="C671" s="5">
        <f>INDEX(플랫폼명범위,E671)</f>
        <v/>
      </c>
      <c r="D671" s="2">
        <f>MOD(INT((A671-1)/4),8)+1</f>
        <v/>
      </c>
      <c r="E671" s="2">
        <f>MOD(A671-1,4)+1</f>
        <v/>
      </c>
      <c r="F671" s="20">
        <f>축시작+INT((A671-1)/32)</f>
        <v/>
      </c>
      <c r="G671" s="20">
        <f>F671+H671</f>
        <v/>
      </c>
      <c r="H671" s="5" t="n">
        <v>2</v>
      </c>
      <c r="I671" s="2">
        <f>ROUND(INDEX(가맹점!$P$2:$P$9,D671)*INDEX(가맹점!$J$2:$M$9,D671,E671),0)</f>
        <v/>
      </c>
      <c r="J671" s="2">
        <f>ROUND(I671*(1-할인율),0)</f>
        <v/>
      </c>
      <c r="K671" s="2">
        <f>ROUNDDOWN(I671*할인율,0)</f>
        <v/>
      </c>
      <c r="L671" s="2">
        <f>ROUND(I671*INDEX(미지급률범위,E671),0)</f>
        <v/>
      </c>
      <c r="M671" s="2">
        <f>ROUND(I671*INDEX(과지급률범위,E671),0)</f>
        <v/>
      </c>
      <c r="N671" s="2">
        <f>MAX(0,L671-M671)</f>
        <v/>
      </c>
      <c r="O671" s="2">
        <f>K671-N671</f>
        <v/>
      </c>
      <c r="P671" s="2">
        <f>I671-N671</f>
        <v/>
      </c>
      <c r="Q671" s="5">
        <f>IF(G671&gt;기준일,1,0)</f>
        <v/>
      </c>
      <c r="R671" s="5">
        <f>IF(G671&lt;=기준일,1,0)</f>
        <v/>
      </c>
      <c r="S671" s="2">
        <f>J671*H671</f>
        <v/>
      </c>
      <c r="T671" s="5">
        <f>IF(AND(F671&gt;=표본시작,F671&lt;=표본종료),1,0)</f>
        <v/>
      </c>
      <c r="U671" s="5">
        <f>IF(AND(G671&gt;=조회시작,G671&lt;=조회종료),1,0)</f>
        <v/>
      </c>
    </row>
    <row r="672">
      <c r="A672" s="2">
        <f>ROW()-1</f>
        <v/>
      </c>
      <c r="B672" s="5">
        <f>INDEX(상호범위,D672)</f>
        <v/>
      </c>
      <c r="C672" s="5">
        <f>INDEX(플랫폼명범위,E672)</f>
        <v/>
      </c>
      <c r="D672" s="2">
        <f>MOD(INT((A672-1)/4),8)+1</f>
        <v/>
      </c>
      <c r="E672" s="2">
        <f>MOD(A672-1,4)+1</f>
        <v/>
      </c>
      <c r="F672" s="20">
        <f>축시작+INT((A672-1)/32)</f>
        <v/>
      </c>
      <c r="G672" s="20">
        <f>F672+H672</f>
        <v/>
      </c>
      <c r="H672" s="5" t="n">
        <v>7</v>
      </c>
      <c r="I672" s="2">
        <f>ROUND(INDEX(가맹점!$P$2:$P$9,D672)*INDEX(가맹점!$J$2:$M$9,D672,E672),0)</f>
        <v/>
      </c>
      <c r="J672" s="2">
        <f>ROUND(I672*(1-할인율),0)</f>
        <v/>
      </c>
      <c r="K672" s="2">
        <f>ROUNDDOWN(I672*할인율,0)</f>
        <v/>
      </c>
      <c r="L672" s="2">
        <f>ROUND(I672*INDEX(미지급률범위,E672),0)</f>
        <v/>
      </c>
      <c r="M672" s="2">
        <f>ROUND(I672*INDEX(과지급률범위,E672),0)</f>
        <v/>
      </c>
      <c r="N672" s="2">
        <f>MAX(0,L672-M672)</f>
        <v/>
      </c>
      <c r="O672" s="2">
        <f>K672-N672</f>
        <v/>
      </c>
      <c r="P672" s="2">
        <f>I672-N672</f>
        <v/>
      </c>
      <c r="Q672" s="5">
        <f>IF(G672&gt;기준일,1,0)</f>
        <v/>
      </c>
      <c r="R672" s="5">
        <f>IF(G672&lt;=기준일,1,0)</f>
        <v/>
      </c>
      <c r="S672" s="2">
        <f>J672*H672</f>
        <v/>
      </c>
      <c r="T672" s="5">
        <f>IF(AND(F672&gt;=표본시작,F672&lt;=표본종료),1,0)</f>
        <v/>
      </c>
      <c r="U672" s="5">
        <f>IF(AND(G672&gt;=조회시작,G672&lt;=조회종료),1,0)</f>
        <v/>
      </c>
    </row>
    <row r="673">
      <c r="A673" s="2">
        <f>ROW()-1</f>
        <v/>
      </c>
      <c r="B673" s="5">
        <f>INDEX(상호범위,D673)</f>
        <v/>
      </c>
      <c r="C673" s="5">
        <f>INDEX(플랫폼명범위,E673)</f>
        <v/>
      </c>
      <c r="D673" s="2">
        <f>MOD(INT((A673-1)/4),8)+1</f>
        <v/>
      </c>
      <c r="E673" s="2">
        <f>MOD(A673-1,4)+1</f>
        <v/>
      </c>
      <c r="F673" s="20">
        <f>축시작+INT((A673-1)/32)</f>
        <v/>
      </c>
      <c r="G673" s="20">
        <f>F673+H673</f>
        <v/>
      </c>
      <c r="H673" s="5" t="n">
        <v>6</v>
      </c>
      <c r="I673" s="2">
        <f>ROUND(INDEX(가맹점!$P$2:$P$9,D673)*INDEX(가맹점!$J$2:$M$9,D673,E673),0)</f>
        <v/>
      </c>
      <c r="J673" s="2">
        <f>ROUND(I673*(1-할인율),0)</f>
        <v/>
      </c>
      <c r="K673" s="2">
        <f>ROUNDDOWN(I673*할인율,0)</f>
        <v/>
      </c>
      <c r="L673" s="2">
        <f>ROUND(I673*INDEX(미지급률범위,E673),0)</f>
        <v/>
      </c>
      <c r="M673" s="2">
        <f>ROUND(I673*INDEX(과지급률범위,E673),0)</f>
        <v/>
      </c>
      <c r="N673" s="2">
        <f>MAX(0,L673-M673)</f>
        <v/>
      </c>
      <c r="O673" s="2">
        <f>K673-N673</f>
        <v/>
      </c>
      <c r="P673" s="2">
        <f>I673-N673</f>
        <v/>
      </c>
      <c r="Q673" s="5">
        <f>IF(G673&gt;기준일,1,0)</f>
        <v/>
      </c>
      <c r="R673" s="5">
        <f>IF(G673&lt;=기준일,1,0)</f>
        <v/>
      </c>
      <c r="S673" s="2">
        <f>J673*H673</f>
        <v/>
      </c>
      <c r="T673" s="5">
        <f>IF(AND(F673&gt;=표본시작,F673&lt;=표본종료),1,0)</f>
        <v/>
      </c>
      <c r="U673" s="5">
        <f>IF(AND(G673&gt;=조회시작,G673&lt;=조회종료),1,0)</f>
        <v/>
      </c>
    </row>
    <row r="674">
      <c r="A674" s="2">
        <f>ROW()-1</f>
        <v/>
      </c>
      <c r="B674" s="5">
        <f>INDEX(상호범위,D674)</f>
        <v/>
      </c>
      <c r="C674" s="5">
        <f>INDEX(플랫폼명범위,E674)</f>
        <v/>
      </c>
      <c r="D674" s="2">
        <f>MOD(INT((A674-1)/4),8)+1</f>
        <v/>
      </c>
      <c r="E674" s="2">
        <f>MOD(A674-1,4)+1</f>
        <v/>
      </c>
      <c r="F674" s="20">
        <f>축시작+INT((A674-1)/32)</f>
        <v/>
      </c>
      <c r="G674" s="20">
        <f>F674+H674</f>
        <v/>
      </c>
      <c r="H674" s="5" t="n">
        <v>1</v>
      </c>
      <c r="I674" s="2">
        <f>ROUND(INDEX(가맹점!$P$2:$P$9,D674)*INDEX(가맹점!$J$2:$M$9,D674,E674),0)</f>
        <v/>
      </c>
      <c r="J674" s="2">
        <f>ROUND(I674*(1-할인율),0)</f>
        <v/>
      </c>
      <c r="K674" s="2">
        <f>ROUNDDOWN(I674*할인율,0)</f>
        <v/>
      </c>
      <c r="L674" s="2">
        <f>ROUND(I674*INDEX(미지급률범위,E674),0)</f>
        <v/>
      </c>
      <c r="M674" s="2">
        <f>ROUND(I674*INDEX(과지급률범위,E674),0)</f>
        <v/>
      </c>
      <c r="N674" s="2">
        <f>MAX(0,L674-M674)</f>
        <v/>
      </c>
      <c r="O674" s="2">
        <f>K674-N674</f>
        <v/>
      </c>
      <c r="P674" s="2">
        <f>I674-N674</f>
        <v/>
      </c>
      <c r="Q674" s="5">
        <f>IF(G674&gt;기준일,1,0)</f>
        <v/>
      </c>
      <c r="R674" s="5">
        <f>IF(G674&lt;=기준일,1,0)</f>
        <v/>
      </c>
      <c r="S674" s="2">
        <f>J674*H674</f>
        <v/>
      </c>
      <c r="T674" s="5">
        <f>IF(AND(F674&gt;=표본시작,F674&lt;=표본종료),1,0)</f>
        <v/>
      </c>
      <c r="U674" s="5">
        <f>IF(AND(G674&gt;=조회시작,G674&lt;=조회종료),1,0)</f>
        <v/>
      </c>
    </row>
    <row r="675">
      <c r="A675" s="2">
        <f>ROW()-1</f>
        <v/>
      </c>
      <c r="B675" s="5">
        <f>INDEX(상호범위,D675)</f>
        <v/>
      </c>
      <c r="C675" s="5">
        <f>INDEX(플랫폼명범위,E675)</f>
        <v/>
      </c>
      <c r="D675" s="2">
        <f>MOD(INT((A675-1)/4),8)+1</f>
        <v/>
      </c>
      <c r="E675" s="2">
        <f>MOD(A675-1,4)+1</f>
        <v/>
      </c>
      <c r="F675" s="20">
        <f>축시작+INT((A675-1)/32)</f>
        <v/>
      </c>
      <c r="G675" s="20">
        <f>F675+H675</f>
        <v/>
      </c>
      <c r="H675" s="5" t="n">
        <v>4</v>
      </c>
      <c r="I675" s="2">
        <f>ROUND(INDEX(가맹점!$P$2:$P$9,D675)*INDEX(가맹점!$J$2:$M$9,D675,E675),0)</f>
        <v/>
      </c>
      <c r="J675" s="2">
        <f>ROUND(I675*(1-할인율),0)</f>
        <v/>
      </c>
      <c r="K675" s="2">
        <f>ROUNDDOWN(I675*할인율,0)</f>
        <v/>
      </c>
      <c r="L675" s="2">
        <f>ROUND(I675*INDEX(미지급률범위,E675),0)</f>
        <v/>
      </c>
      <c r="M675" s="2">
        <f>ROUND(I675*INDEX(과지급률범위,E675),0)</f>
        <v/>
      </c>
      <c r="N675" s="2">
        <f>MAX(0,L675-M675)</f>
        <v/>
      </c>
      <c r="O675" s="2">
        <f>K675-N675</f>
        <v/>
      </c>
      <c r="P675" s="2">
        <f>I675-N675</f>
        <v/>
      </c>
      <c r="Q675" s="5">
        <f>IF(G675&gt;기준일,1,0)</f>
        <v/>
      </c>
      <c r="R675" s="5">
        <f>IF(G675&lt;=기준일,1,0)</f>
        <v/>
      </c>
      <c r="S675" s="2">
        <f>J675*H675</f>
        <v/>
      </c>
      <c r="T675" s="5">
        <f>IF(AND(F675&gt;=표본시작,F675&lt;=표본종료),1,0)</f>
        <v/>
      </c>
      <c r="U675" s="5">
        <f>IF(AND(G675&gt;=조회시작,G675&lt;=조회종료),1,0)</f>
        <v/>
      </c>
    </row>
    <row r="676">
      <c r="A676" s="2">
        <f>ROW()-1</f>
        <v/>
      </c>
      <c r="B676" s="5">
        <f>INDEX(상호범위,D676)</f>
        <v/>
      </c>
      <c r="C676" s="5">
        <f>INDEX(플랫폼명범위,E676)</f>
        <v/>
      </c>
      <c r="D676" s="2">
        <f>MOD(INT((A676-1)/4),8)+1</f>
        <v/>
      </c>
      <c r="E676" s="2">
        <f>MOD(A676-1,4)+1</f>
        <v/>
      </c>
      <c r="F676" s="20">
        <f>축시작+INT((A676-1)/32)</f>
        <v/>
      </c>
      <c r="G676" s="20">
        <f>F676+H676</f>
        <v/>
      </c>
      <c r="H676" s="5" t="n">
        <v>6</v>
      </c>
      <c r="I676" s="2">
        <f>ROUND(INDEX(가맹점!$P$2:$P$9,D676)*INDEX(가맹점!$J$2:$M$9,D676,E676),0)</f>
        <v/>
      </c>
      <c r="J676" s="2">
        <f>ROUND(I676*(1-할인율),0)</f>
        <v/>
      </c>
      <c r="K676" s="2">
        <f>ROUNDDOWN(I676*할인율,0)</f>
        <v/>
      </c>
      <c r="L676" s="2">
        <f>ROUND(I676*INDEX(미지급률범위,E676),0)</f>
        <v/>
      </c>
      <c r="M676" s="2">
        <f>ROUND(I676*INDEX(과지급률범위,E676),0)</f>
        <v/>
      </c>
      <c r="N676" s="2">
        <f>MAX(0,L676-M676)</f>
        <v/>
      </c>
      <c r="O676" s="2">
        <f>K676-N676</f>
        <v/>
      </c>
      <c r="P676" s="2">
        <f>I676-N676</f>
        <v/>
      </c>
      <c r="Q676" s="5">
        <f>IF(G676&gt;기준일,1,0)</f>
        <v/>
      </c>
      <c r="R676" s="5">
        <f>IF(G676&lt;=기준일,1,0)</f>
        <v/>
      </c>
      <c r="S676" s="2">
        <f>J676*H676</f>
        <v/>
      </c>
      <c r="T676" s="5">
        <f>IF(AND(F676&gt;=표본시작,F676&lt;=표본종료),1,0)</f>
        <v/>
      </c>
      <c r="U676" s="5">
        <f>IF(AND(G676&gt;=조회시작,G676&lt;=조회종료),1,0)</f>
        <v/>
      </c>
    </row>
    <row r="677">
      <c r="A677" s="2">
        <f>ROW()-1</f>
        <v/>
      </c>
      <c r="B677" s="5">
        <f>INDEX(상호범위,D677)</f>
        <v/>
      </c>
      <c r="C677" s="5">
        <f>INDEX(플랫폼명범위,E677)</f>
        <v/>
      </c>
      <c r="D677" s="2">
        <f>MOD(INT((A677-1)/4),8)+1</f>
        <v/>
      </c>
      <c r="E677" s="2">
        <f>MOD(A677-1,4)+1</f>
        <v/>
      </c>
      <c r="F677" s="20">
        <f>축시작+INT((A677-1)/32)</f>
        <v/>
      </c>
      <c r="G677" s="20">
        <f>F677+H677</f>
        <v/>
      </c>
      <c r="H677" s="5" t="n">
        <v>6</v>
      </c>
      <c r="I677" s="2">
        <f>ROUND(INDEX(가맹점!$P$2:$P$9,D677)*INDEX(가맹점!$J$2:$M$9,D677,E677),0)</f>
        <v/>
      </c>
      <c r="J677" s="2">
        <f>ROUND(I677*(1-할인율),0)</f>
        <v/>
      </c>
      <c r="K677" s="2">
        <f>ROUNDDOWN(I677*할인율,0)</f>
        <v/>
      </c>
      <c r="L677" s="2">
        <f>ROUND(I677*INDEX(미지급률범위,E677),0)</f>
        <v/>
      </c>
      <c r="M677" s="2">
        <f>ROUND(I677*INDEX(과지급률범위,E677),0)</f>
        <v/>
      </c>
      <c r="N677" s="2">
        <f>MAX(0,L677-M677)</f>
        <v/>
      </c>
      <c r="O677" s="2">
        <f>K677-N677</f>
        <v/>
      </c>
      <c r="P677" s="2">
        <f>I677-N677</f>
        <v/>
      </c>
      <c r="Q677" s="5">
        <f>IF(G677&gt;기준일,1,0)</f>
        <v/>
      </c>
      <c r="R677" s="5">
        <f>IF(G677&lt;=기준일,1,0)</f>
        <v/>
      </c>
      <c r="S677" s="2">
        <f>J677*H677</f>
        <v/>
      </c>
      <c r="T677" s="5">
        <f>IF(AND(F677&gt;=표본시작,F677&lt;=표본종료),1,0)</f>
        <v/>
      </c>
      <c r="U677" s="5">
        <f>IF(AND(G677&gt;=조회시작,G677&lt;=조회종료),1,0)</f>
        <v/>
      </c>
    </row>
    <row r="678">
      <c r="A678" s="2">
        <f>ROW()-1</f>
        <v/>
      </c>
      <c r="B678" s="5">
        <f>INDEX(상호범위,D678)</f>
        <v/>
      </c>
      <c r="C678" s="5">
        <f>INDEX(플랫폼명범위,E678)</f>
        <v/>
      </c>
      <c r="D678" s="2">
        <f>MOD(INT((A678-1)/4),8)+1</f>
        <v/>
      </c>
      <c r="E678" s="2">
        <f>MOD(A678-1,4)+1</f>
        <v/>
      </c>
      <c r="F678" s="20">
        <f>축시작+INT((A678-1)/32)</f>
        <v/>
      </c>
      <c r="G678" s="20">
        <f>F678+H678</f>
        <v/>
      </c>
      <c r="H678" s="5" t="n">
        <v>1</v>
      </c>
      <c r="I678" s="2">
        <f>ROUND(INDEX(가맹점!$P$2:$P$9,D678)*INDEX(가맹점!$J$2:$M$9,D678,E678),0)</f>
        <v/>
      </c>
      <c r="J678" s="2">
        <f>ROUND(I678*(1-할인율),0)</f>
        <v/>
      </c>
      <c r="K678" s="2">
        <f>ROUNDDOWN(I678*할인율,0)</f>
        <v/>
      </c>
      <c r="L678" s="2">
        <f>ROUND(I678*INDEX(미지급률범위,E678),0)</f>
        <v/>
      </c>
      <c r="M678" s="2">
        <f>ROUND(I678*INDEX(과지급률범위,E678),0)</f>
        <v/>
      </c>
      <c r="N678" s="2">
        <f>MAX(0,L678-M678)</f>
        <v/>
      </c>
      <c r="O678" s="2">
        <f>K678-N678</f>
        <v/>
      </c>
      <c r="P678" s="2">
        <f>I678-N678</f>
        <v/>
      </c>
      <c r="Q678" s="5">
        <f>IF(G678&gt;기준일,1,0)</f>
        <v/>
      </c>
      <c r="R678" s="5">
        <f>IF(G678&lt;=기준일,1,0)</f>
        <v/>
      </c>
      <c r="S678" s="2">
        <f>J678*H678</f>
        <v/>
      </c>
      <c r="T678" s="5">
        <f>IF(AND(F678&gt;=표본시작,F678&lt;=표본종료),1,0)</f>
        <v/>
      </c>
      <c r="U678" s="5">
        <f>IF(AND(G678&gt;=조회시작,G678&lt;=조회종료),1,0)</f>
        <v/>
      </c>
    </row>
    <row r="679">
      <c r="A679" s="2">
        <f>ROW()-1</f>
        <v/>
      </c>
      <c r="B679" s="5">
        <f>INDEX(상호범위,D679)</f>
        <v/>
      </c>
      <c r="C679" s="5">
        <f>INDEX(플랫폼명범위,E679)</f>
        <v/>
      </c>
      <c r="D679" s="2">
        <f>MOD(INT((A679-1)/4),8)+1</f>
        <v/>
      </c>
      <c r="E679" s="2">
        <f>MOD(A679-1,4)+1</f>
        <v/>
      </c>
      <c r="F679" s="20">
        <f>축시작+INT((A679-1)/32)</f>
        <v/>
      </c>
      <c r="G679" s="20">
        <f>F679+H679</f>
        <v/>
      </c>
      <c r="H679" s="5" t="n">
        <v>4</v>
      </c>
      <c r="I679" s="2">
        <f>ROUND(INDEX(가맹점!$P$2:$P$9,D679)*INDEX(가맹점!$J$2:$M$9,D679,E679),0)</f>
        <v/>
      </c>
      <c r="J679" s="2">
        <f>ROUND(I679*(1-할인율),0)</f>
        <v/>
      </c>
      <c r="K679" s="2">
        <f>ROUNDDOWN(I679*할인율,0)</f>
        <v/>
      </c>
      <c r="L679" s="2">
        <f>ROUND(I679*INDEX(미지급률범위,E679),0)</f>
        <v/>
      </c>
      <c r="M679" s="2">
        <f>ROUND(I679*INDEX(과지급률범위,E679),0)</f>
        <v/>
      </c>
      <c r="N679" s="2">
        <f>MAX(0,L679-M679)</f>
        <v/>
      </c>
      <c r="O679" s="2">
        <f>K679-N679</f>
        <v/>
      </c>
      <c r="P679" s="2">
        <f>I679-N679</f>
        <v/>
      </c>
      <c r="Q679" s="5">
        <f>IF(G679&gt;기준일,1,0)</f>
        <v/>
      </c>
      <c r="R679" s="5">
        <f>IF(G679&lt;=기준일,1,0)</f>
        <v/>
      </c>
      <c r="S679" s="2">
        <f>J679*H679</f>
        <v/>
      </c>
      <c r="T679" s="5">
        <f>IF(AND(F679&gt;=표본시작,F679&lt;=표본종료),1,0)</f>
        <v/>
      </c>
      <c r="U679" s="5">
        <f>IF(AND(G679&gt;=조회시작,G679&lt;=조회종료),1,0)</f>
        <v/>
      </c>
    </row>
    <row r="680">
      <c r="A680" s="2">
        <f>ROW()-1</f>
        <v/>
      </c>
      <c r="B680" s="5">
        <f>INDEX(상호범위,D680)</f>
        <v/>
      </c>
      <c r="C680" s="5">
        <f>INDEX(플랫폼명범위,E680)</f>
        <v/>
      </c>
      <c r="D680" s="2">
        <f>MOD(INT((A680-1)/4),8)+1</f>
        <v/>
      </c>
      <c r="E680" s="2">
        <f>MOD(A680-1,4)+1</f>
        <v/>
      </c>
      <c r="F680" s="20">
        <f>축시작+INT((A680-1)/32)</f>
        <v/>
      </c>
      <c r="G680" s="20">
        <f>F680+H680</f>
        <v/>
      </c>
      <c r="H680" s="5" t="n">
        <v>7</v>
      </c>
      <c r="I680" s="2">
        <f>ROUND(INDEX(가맹점!$P$2:$P$9,D680)*INDEX(가맹점!$J$2:$M$9,D680,E680),0)</f>
        <v/>
      </c>
      <c r="J680" s="2">
        <f>ROUND(I680*(1-할인율),0)</f>
        <v/>
      </c>
      <c r="K680" s="2">
        <f>ROUNDDOWN(I680*할인율,0)</f>
        <v/>
      </c>
      <c r="L680" s="2">
        <f>ROUND(I680*INDEX(미지급률범위,E680),0)</f>
        <v/>
      </c>
      <c r="M680" s="2">
        <f>ROUND(I680*INDEX(과지급률범위,E680),0)</f>
        <v/>
      </c>
      <c r="N680" s="2">
        <f>MAX(0,L680-M680)</f>
        <v/>
      </c>
      <c r="O680" s="2">
        <f>K680-N680</f>
        <v/>
      </c>
      <c r="P680" s="2">
        <f>I680-N680</f>
        <v/>
      </c>
      <c r="Q680" s="5">
        <f>IF(G680&gt;기준일,1,0)</f>
        <v/>
      </c>
      <c r="R680" s="5">
        <f>IF(G680&lt;=기준일,1,0)</f>
        <v/>
      </c>
      <c r="S680" s="2">
        <f>J680*H680</f>
        <v/>
      </c>
      <c r="T680" s="5">
        <f>IF(AND(F680&gt;=표본시작,F680&lt;=표본종료),1,0)</f>
        <v/>
      </c>
      <c r="U680" s="5">
        <f>IF(AND(G680&gt;=조회시작,G680&lt;=조회종료),1,0)</f>
        <v/>
      </c>
    </row>
    <row r="681">
      <c r="A681" s="2">
        <f>ROW()-1</f>
        <v/>
      </c>
      <c r="B681" s="5">
        <f>INDEX(상호범위,D681)</f>
        <v/>
      </c>
      <c r="C681" s="5">
        <f>INDEX(플랫폼명범위,E681)</f>
        <v/>
      </c>
      <c r="D681" s="2">
        <f>MOD(INT((A681-1)/4),8)+1</f>
        <v/>
      </c>
      <c r="E681" s="2">
        <f>MOD(A681-1,4)+1</f>
        <v/>
      </c>
      <c r="F681" s="20">
        <f>축시작+INT((A681-1)/32)</f>
        <v/>
      </c>
      <c r="G681" s="20">
        <f>F681+H681</f>
        <v/>
      </c>
      <c r="H681" s="5" t="n">
        <v>5</v>
      </c>
      <c r="I681" s="2">
        <f>ROUND(INDEX(가맹점!$P$2:$P$9,D681)*INDEX(가맹점!$J$2:$M$9,D681,E681),0)</f>
        <v/>
      </c>
      <c r="J681" s="2">
        <f>ROUND(I681*(1-할인율),0)</f>
        <v/>
      </c>
      <c r="K681" s="2">
        <f>ROUNDDOWN(I681*할인율,0)</f>
        <v/>
      </c>
      <c r="L681" s="2">
        <f>ROUND(I681*INDEX(미지급률범위,E681),0)</f>
        <v/>
      </c>
      <c r="M681" s="2">
        <f>ROUND(I681*INDEX(과지급률범위,E681),0)</f>
        <v/>
      </c>
      <c r="N681" s="2">
        <f>MAX(0,L681-M681)</f>
        <v/>
      </c>
      <c r="O681" s="2">
        <f>K681-N681</f>
        <v/>
      </c>
      <c r="P681" s="2">
        <f>I681-N681</f>
        <v/>
      </c>
      <c r="Q681" s="5">
        <f>IF(G681&gt;기준일,1,0)</f>
        <v/>
      </c>
      <c r="R681" s="5">
        <f>IF(G681&lt;=기준일,1,0)</f>
        <v/>
      </c>
      <c r="S681" s="2">
        <f>J681*H681</f>
        <v/>
      </c>
      <c r="T681" s="5">
        <f>IF(AND(F681&gt;=표본시작,F681&lt;=표본종료),1,0)</f>
        <v/>
      </c>
      <c r="U681" s="5">
        <f>IF(AND(G681&gt;=조회시작,G681&lt;=조회종료),1,0)</f>
        <v/>
      </c>
    </row>
    <row r="682">
      <c r="A682" s="2">
        <f>ROW()-1</f>
        <v/>
      </c>
      <c r="B682" s="5">
        <f>INDEX(상호범위,D682)</f>
        <v/>
      </c>
      <c r="C682" s="5">
        <f>INDEX(플랫폼명범위,E682)</f>
        <v/>
      </c>
      <c r="D682" s="2">
        <f>MOD(INT((A682-1)/4),8)+1</f>
        <v/>
      </c>
      <c r="E682" s="2">
        <f>MOD(A682-1,4)+1</f>
        <v/>
      </c>
      <c r="F682" s="20">
        <f>축시작+INT((A682-1)/32)</f>
        <v/>
      </c>
      <c r="G682" s="20">
        <f>F682+H682</f>
        <v/>
      </c>
      <c r="H682" s="5" t="n">
        <v>1</v>
      </c>
      <c r="I682" s="2">
        <f>ROUND(INDEX(가맹점!$P$2:$P$9,D682)*INDEX(가맹점!$J$2:$M$9,D682,E682),0)</f>
        <v/>
      </c>
      <c r="J682" s="2">
        <f>ROUND(I682*(1-할인율),0)</f>
        <v/>
      </c>
      <c r="K682" s="2">
        <f>ROUNDDOWN(I682*할인율,0)</f>
        <v/>
      </c>
      <c r="L682" s="2">
        <f>ROUND(I682*INDEX(미지급률범위,E682),0)</f>
        <v/>
      </c>
      <c r="M682" s="2">
        <f>ROUND(I682*INDEX(과지급률범위,E682),0)</f>
        <v/>
      </c>
      <c r="N682" s="2">
        <f>MAX(0,L682-M682)</f>
        <v/>
      </c>
      <c r="O682" s="2">
        <f>K682-N682</f>
        <v/>
      </c>
      <c r="P682" s="2">
        <f>I682-N682</f>
        <v/>
      </c>
      <c r="Q682" s="5">
        <f>IF(G682&gt;기준일,1,0)</f>
        <v/>
      </c>
      <c r="R682" s="5">
        <f>IF(G682&lt;=기준일,1,0)</f>
        <v/>
      </c>
      <c r="S682" s="2">
        <f>J682*H682</f>
        <v/>
      </c>
      <c r="T682" s="5">
        <f>IF(AND(F682&gt;=표본시작,F682&lt;=표본종료),1,0)</f>
        <v/>
      </c>
      <c r="U682" s="5">
        <f>IF(AND(G682&gt;=조회시작,G682&lt;=조회종료),1,0)</f>
        <v/>
      </c>
    </row>
    <row r="683">
      <c r="A683" s="2">
        <f>ROW()-1</f>
        <v/>
      </c>
      <c r="B683" s="5">
        <f>INDEX(상호범위,D683)</f>
        <v/>
      </c>
      <c r="C683" s="5">
        <f>INDEX(플랫폼명범위,E683)</f>
        <v/>
      </c>
      <c r="D683" s="2">
        <f>MOD(INT((A683-1)/4),8)+1</f>
        <v/>
      </c>
      <c r="E683" s="2">
        <f>MOD(A683-1,4)+1</f>
        <v/>
      </c>
      <c r="F683" s="20">
        <f>축시작+INT((A683-1)/32)</f>
        <v/>
      </c>
      <c r="G683" s="20">
        <f>F683+H683</f>
        <v/>
      </c>
      <c r="H683" s="5" t="n">
        <v>4</v>
      </c>
      <c r="I683" s="2">
        <f>ROUND(INDEX(가맹점!$P$2:$P$9,D683)*INDEX(가맹점!$J$2:$M$9,D683,E683),0)</f>
        <v/>
      </c>
      <c r="J683" s="2">
        <f>ROUND(I683*(1-할인율),0)</f>
        <v/>
      </c>
      <c r="K683" s="2">
        <f>ROUNDDOWN(I683*할인율,0)</f>
        <v/>
      </c>
      <c r="L683" s="2">
        <f>ROUND(I683*INDEX(미지급률범위,E683),0)</f>
        <v/>
      </c>
      <c r="M683" s="2">
        <f>ROUND(I683*INDEX(과지급률범위,E683),0)</f>
        <v/>
      </c>
      <c r="N683" s="2">
        <f>MAX(0,L683-M683)</f>
        <v/>
      </c>
      <c r="O683" s="2">
        <f>K683-N683</f>
        <v/>
      </c>
      <c r="P683" s="2">
        <f>I683-N683</f>
        <v/>
      </c>
      <c r="Q683" s="5">
        <f>IF(G683&gt;기준일,1,0)</f>
        <v/>
      </c>
      <c r="R683" s="5">
        <f>IF(G683&lt;=기준일,1,0)</f>
        <v/>
      </c>
      <c r="S683" s="2">
        <f>J683*H683</f>
        <v/>
      </c>
      <c r="T683" s="5">
        <f>IF(AND(F683&gt;=표본시작,F683&lt;=표본종료),1,0)</f>
        <v/>
      </c>
      <c r="U683" s="5">
        <f>IF(AND(G683&gt;=조회시작,G683&lt;=조회종료),1,0)</f>
        <v/>
      </c>
    </row>
    <row r="684">
      <c r="A684" s="2">
        <f>ROW()-1</f>
        <v/>
      </c>
      <c r="B684" s="5">
        <f>INDEX(상호범위,D684)</f>
        <v/>
      </c>
      <c r="C684" s="5">
        <f>INDEX(플랫폼명범위,E684)</f>
        <v/>
      </c>
      <c r="D684" s="2">
        <f>MOD(INT((A684-1)/4),8)+1</f>
        <v/>
      </c>
      <c r="E684" s="2">
        <f>MOD(A684-1,4)+1</f>
        <v/>
      </c>
      <c r="F684" s="20">
        <f>축시작+INT((A684-1)/32)</f>
        <v/>
      </c>
      <c r="G684" s="20">
        <f>F684+H684</f>
        <v/>
      </c>
      <c r="H684" s="5" t="n">
        <v>4</v>
      </c>
      <c r="I684" s="2">
        <f>ROUND(INDEX(가맹점!$P$2:$P$9,D684)*INDEX(가맹점!$J$2:$M$9,D684,E684),0)</f>
        <v/>
      </c>
      <c r="J684" s="2">
        <f>ROUND(I684*(1-할인율),0)</f>
        <v/>
      </c>
      <c r="K684" s="2">
        <f>ROUNDDOWN(I684*할인율,0)</f>
        <v/>
      </c>
      <c r="L684" s="2">
        <f>ROUND(I684*INDEX(미지급률범위,E684),0)</f>
        <v/>
      </c>
      <c r="M684" s="2">
        <f>ROUND(I684*INDEX(과지급률범위,E684),0)</f>
        <v/>
      </c>
      <c r="N684" s="2">
        <f>MAX(0,L684-M684)</f>
        <v/>
      </c>
      <c r="O684" s="2">
        <f>K684-N684</f>
        <v/>
      </c>
      <c r="P684" s="2">
        <f>I684-N684</f>
        <v/>
      </c>
      <c r="Q684" s="5">
        <f>IF(G684&gt;기준일,1,0)</f>
        <v/>
      </c>
      <c r="R684" s="5">
        <f>IF(G684&lt;=기준일,1,0)</f>
        <v/>
      </c>
      <c r="S684" s="2">
        <f>J684*H684</f>
        <v/>
      </c>
      <c r="T684" s="5">
        <f>IF(AND(F684&gt;=표본시작,F684&lt;=표본종료),1,0)</f>
        <v/>
      </c>
      <c r="U684" s="5">
        <f>IF(AND(G684&gt;=조회시작,G684&lt;=조회종료),1,0)</f>
        <v/>
      </c>
    </row>
    <row r="685">
      <c r="A685" s="2">
        <f>ROW()-1</f>
        <v/>
      </c>
      <c r="B685" s="5">
        <f>INDEX(상호범위,D685)</f>
        <v/>
      </c>
      <c r="C685" s="5">
        <f>INDEX(플랫폼명범위,E685)</f>
        <v/>
      </c>
      <c r="D685" s="2">
        <f>MOD(INT((A685-1)/4),8)+1</f>
        <v/>
      </c>
      <c r="E685" s="2">
        <f>MOD(A685-1,4)+1</f>
        <v/>
      </c>
      <c r="F685" s="20">
        <f>축시작+INT((A685-1)/32)</f>
        <v/>
      </c>
      <c r="G685" s="20">
        <f>F685+H685</f>
        <v/>
      </c>
      <c r="H685" s="5" t="n">
        <v>8</v>
      </c>
      <c r="I685" s="2">
        <f>ROUND(INDEX(가맹점!$P$2:$P$9,D685)*INDEX(가맹점!$J$2:$M$9,D685,E685),0)</f>
        <v/>
      </c>
      <c r="J685" s="2">
        <f>ROUND(I685*(1-할인율),0)</f>
        <v/>
      </c>
      <c r="K685" s="2">
        <f>ROUNDDOWN(I685*할인율,0)</f>
        <v/>
      </c>
      <c r="L685" s="2">
        <f>ROUND(I685*INDEX(미지급률범위,E685),0)</f>
        <v/>
      </c>
      <c r="M685" s="2">
        <f>ROUND(I685*INDEX(과지급률범위,E685),0)</f>
        <v/>
      </c>
      <c r="N685" s="2">
        <f>MAX(0,L685-M685)</f>
        <v/>
      </c>
      <c r="O685" s="2">
        <f>K685-N685</f>
        <v/>
      </c>
      <c r="P685" s="2">
        <f>I685-N685</f>
        <v/>
      </c>
      <c r="Q685" s="5">
        <f>IF(G685&gt;기준일,1,0)</f>
        <v/>
      </c>
      <c r="R685" s="5">
        <f>IF(G685&lt;=기준일,1,0)</f>
        <v/>
      </c>
      <c r="S685" s="2">
        <f>J685*H685</f>
        <v/>
      </c>
      <c r="T685" s="5">
        <f>IF(AND(F685&gt;=표본시작,F685&lt;=표본종료),1,0)</f>
        <v/>
      </c>
      <c r="U685" s="5">
        <f>IF(AND(G685&gt;=조회시작,G685&lt;=조회종료),1,0)</f>
        <v/>
      </c>
    </row>
    <row r="686">
      <c r="A686" s="2">
        <f>ROW()-1</f>
        <v/>
      </c>
      <c r="B686" s="5">
        <f>INDEX(상호범위,D686)</f>
        <v/>
      </c>
      <c r="C686" s="5">
        <f>INDEX(플랫폼명범위,E686)</f>
        <v/>
      </c>
      <c r="D686" s="2">
        <f>MOD(INT((A686-1)/4),8)+1</f>
        <v/>
      </c>
      <c r="E686" s="2">
        <f>MOD(A686-1,4)+1</f>
        <v/>
      </c>
      <c r="F686" s="20">
        <f>축시작+INT((A686-1)/32)</f>
        <v/>
      </c>
      <c r="G686" s="20">
        <f>F686+H686</f>
        <v/>
      </c>
      <c r="H686" s="5" t="n">
        <v>1</v>
      </c>
      <c r="I686" s="2">
        <f>ROUND(INDEX(가맹점!$P$2:$P$9,D686)*INDEX(가맹점!$J$2:$M$9,D686,E686),0)</f>
        <v/>
      </c>
      <c r="J686" s="2">
        <f>ROUND(I686*(1-할인율),0)</f>
        <v/>
      </c>
      <c r="K686" s="2">
        <f>ROUNDDOWN(I686*할인율,0)</f>
        <v/>
      </c>
      <c r="L686" s="2">
        <f>ROUND(I686*INDEX(미지급률범위,E686),0)</f>
        <v/>
      </c>
      <c r="M686" s="2">
        <f>ROUND(I686*INDEX(과지급률범위,E686),0)</f>
        <v/>
      </c>
      <c r="N686" s="2">
        <f>MAX(0,L686-M686)</f>
        <v/>
      </c>
      <c r="O686" s="2">
        <f>K686-N686</f>
        <v/>
      </c>
      <c r="P686" s="2">
        <f>I686-N686</f>
        <v/>
      </c>
      <c r="Q686" s="5">
        <f>IF(G686&gt;기준일,1,0)</f>
        <v/>
      </c>
      <c r="R686" s="5">
        <f>IF(G686&lt;=기준일,1,0)</f>
        <v/>
      </c>
      <c r="S686" s="2">
        <f>J686*H686</f>
        <v/>
      </c>
      <c r="T686" s="5">
        <f>IF(AND(F686&gt;=표본시작,F686&lt;=표본종료),1,0)</f>
        <v/>
      </c>
      <c r="U686" s="5">
        <f>IF(AND(G686&gt;=조회시작,G686&lt;=조회종료),1,0)</f>
        <v/>
      </c>
    </row>
    <row r="687">
      <c r="A687" s="2">
        <f>ROW()-1</f>
        <v/>
      </c>
      <c r="B687" s="5">
        <f>INDEX(상호범위,D687)</f>
        <v/>
      </c>
      <c r="C687" s="5">
        <f>INDEX(플랫폼명범위,E687)</f>
        <v/>
      </c>
      <c r="D687" s="2">
        <f>MOD(INT((A687-1)/4),8)+1</f>
        <v/>
      </c>
      <c r="E687" s="2">
        <f>MOD(A687-1,4)+1</f>
        <v/>
      </c>
      <c r="F687" s="20">
        <f>축시작+INT((A687-1)/32)</f>
        <v/>
      </c>
      <c r="G687" s="20">
        <f>F687+H687</f>
        <v/>
      </c>
      <c r="H687" s="5" t="n">
        <v>2</v>
      </c>
      <c r="I687" s="2">
        <f>ROUND(INDEX(가맹점!$P$2:$P$9,D687)*INDEX(가맹점!$J$2:$M$9,D687,E687),0)</f>
        <v/>
      </c>
      <c r="J687" s="2">
        <f>ROUND(I687*(1-할인율),0)</f>
        <v/>
      </c>
      <c r="K687" s="2">
        <f>ROUNDDOWN(I687*할인율,0)</f>
        <v/>
      </c>
      <c r="L687" s="2">
        <f>ROUND(I687*INDEX(미지급률범위,E687),0)</f>
        <v/>
      </c>
      <c r="M687" s="2">
        <f>ROUND(I687*INDEX(과지급률범위,E687),0)</f>
        <v/>
      </c>
      <c r="N687" s="2">
        <f>MAX(0,L687-M687)</f>
        <v/>
      </c>
      <c r="O687" s="2">
        <f>K687-N687</f>
        <v/>
      </c>
      <c r="P687" s="2">
        <f>I687-N687</f>
        <v/>
      </c>
      <c r="Q687" s="5">
        <f>IF(G687&gt;기준일,1,0)</f>
        <v/>
      </c>
      <c r="R687" s="5">
        <f>IF(G687&lt;=기준일,1,0)</f>
        <v/>
      </c>
      <c r="S687" s="2">
        <f>J687*H687</f>
        <v/>
      </c>
      <c r="T687" s="5">
        <f>IF(AND(F687&gt;=표본시작,F687&lt;=표본종료),1,0)</f>
        <v/>
      </c>
      <c r="U687" s="5">
        <f>IF(AND(G687&gt;=조회시작,G687&lt;=조회종료),1,0)</f>
        <v/>
      </c>
    </row>
    <row r="688">
      <c r="A688" s="2">
        <f>ROW()-1</f>
        <v/>
      </c>
      <c r="B688" s="5">
        <f>INDEX(상호범위,D688)</f>
        <v/>
      </c>
      <c r="C688" s="5">
        <f>INDEX(플랫폼명범위,E688)</f>
        <v/>
      </c>
      <c r="D688" s="2">
        <f>MOD(INT((A688-1)/4),8)+1</f>
        <v/>
      </c>
      <c r="E688" s="2">
        <f>MOD(A688-1,4)+1</f>
        <v/>
      </c>
      <c r="F688" s="20">
        <f>축시작+INT((A688-1)/32)</f>
        <v/>
      </c>
      <c r="G688" s="20">
        <f>F688+H688</f>
        <v/>
      </c>
      <c r="H688" s="5" t="n">
        <v>3</v>
      </c>
      <c r="I688" s="2">
        <f>ROUND(INDEX(가맹점!$P$2:$P$9,D688)*INDEX(가맹점!$J$2:$M$9,D688,E688),0)</f>
        <v/>
      </c>
      <c r="J688" s="2">
        <f>ROUND(I688*(1-할인율),0)</f>
        <v/>
      </c>
      <c r="K688" s="2">
        <f>ROUNDDOWN(I688*할인율,0)</f>
        <v/>
      </c>
      <c r="L688" s="2">
        <f>ROUND(I688*INDEX(미지급률범위,E688),0)</f>
        <v/>
      </c>
      <c r="M688" s="2">
        <f>ROUND(I688*INDEX(과지급률범위,E688),0)</f>
        <v/>
      </c>
      <c r="N688" s="2">
        <f>MAX(0,L688-M688)</f>
        <v/>
      </c>
      <c r="O688" s="2">
        <f>K688-N688</f>
        <v/>
      </c>
      <c r="P688" s="2">
        <f>I688-N688</f>
        <v/>
      </c>
      <c r="Q688" s="5">
        <f>IF(G688&gt;기준일,1,0)</f>
        <v/>
      </c>
      <c r="R688" s="5">
        <f>IF(G688&lt;=기준일,1,0)</f>
        <v/>
      </c>
      <c r="S688" s="2">
        <f>J688*H688</f>
        <v/>
      </c>
      <c r="T688" s="5">
        <f>IF(AND(F688&gt;=표본시작,F688&lt;=표본종료),1,0)</f>
        <v/>
      </c>
      <c r="U688" s="5">
        <f>IF(AND(G688&gt;=조회시작,G688&lt;=조회종료),1,0)</f>
        <v/>
      </c>
    </row>
    <row r="689">
      <c r="A689" s="2">
        <f>ROW()-1</f>
        <v/>
      </c>
      <c r="B689" s="5">
        <f>INDEX(상호범위,D689)</f>
        <v/>
      </c>
      <c r="C689" s="5">
        <f>INDEX(플랫폼명범위,E689)</f>
        <v/>
      </c>
      <c r="D689" s="2">
        <f>MOD(INT((A689-1)/4),8)+1</f>
        <v/>
      </c>
      <c r="E689" s="2">
        <f>MOD(A689-1,4)+1</f>
        <v/>
      </c>
      <c r="F689" s="20">
        <f>축시작+INT((A689-1)/32)</f>
        <v/>
      </c>
      <c r="G689" s="20">
        <f>F689+H689</f>
        <v/>
      </c>
      <c r="H689" s="5" t="n">
        <v>6</v>
      </c>
      <c r="I689" s="2">
        <f>ROUND(INDEX(가맹점!$P$2:$P$9,D689)*INDEX(가맹점!$J$2:$M$9,D689,E689),0)</f>
        <v/>
      </c>
      <c r="J689" s="2">
        <f>ROUND(I689*(1-할인율),0)</f>
        <v/>
      </c>
      <c r="K689" s="2">
        <f>ROUNDDOWN(I689*할인율,0)</f>
        <v/>
      </c>
      <c r="L689" s="2">
        <f>ROUND(I689*INDEX(미지급률범위,E689),0)</f>
        <v/>
      </c>
      <c r="M689" s="2">
        <f>ROUND(I689*INDEX(과지급률범위,E689),0)</f>
        <v/>
      </c>
      <c r="N689" s="2">
        <f>MAX(0,L689-M689)</f>
        <v/>
      </c>
      <c r="O689" s="2">
        <f>K689-N689</f>
        <v/>
      </c>
      <c r="P689" s="2">
        <f>I689-N689</f>
        <v/>
      </c>
      <c r="Q689" s="5">
        <f>IF(G689&gt;기준일,1,0)</f>
        <v/>
      </c>
      <c r="R689" s="5">
        <f>IF(G689&lt;=기준일,1,0)</f>
        <v/>
      </c>
      <c r="S689" s="2">
        <f>J689*H689</f>
        <v/>
      </c>
      <c r="T689" s="5">
        <f>IF(AND(F689&gt;=표본시작,F689&lt;=표본종료),1,0)</f>
        <v/>
      </c>
      <c r="U689" s="5">
        <f>IF(AND(G689&gt;=조회시작,G689&lt;=조회종료),1,0)</f>
        <v/>
      </c>
    </row>
    <row r="690">
      <c r="A690" s="2">
        <f>ROW()-1</f>
        <v/>
      </c>
      <c r="B690" s="5">
        <f>INDEX(상호범위,D690)</f>
        <v/>
      </c>
      <c r="C690" s="5">
        <f>INDEX(플랫폼명범위,E690)</f>
        <v/>
      </c>
      <c r="D690" s="2">
        <f>MOD(INT((A690-1)/4),8)+1</f>
        <v/>
      </c>
      <c r="E690" s="2">
        <f>MOD(A690-1,4)+1</f>
        <v/>
      </c>
      <c r="F690" s="20">
        <f>축시작+INT((A690-1)/32)</f>
        <v/>
      </c>
      <c r="G690" s="20">
        <f>F690+H690</f>
        <v/>
      </c>
      <c r="H690" s="5" t="n">
        <v>1</v>
      </c>
      <c r="I690" s="2">
        <f>ROUND(INDEX(가맹점!$P$2:$P$9,D690)*INDEX(가맹점!$J$2:$M$9,D690,E690),0)</f>
        <v/>
      </c>
      <c r="J690" s="2">
        <f>ROUND(I690*(1-할인율),0)</f>
        <v/>
      </c>
      <c r="K690" s="2">
        <f>ROUNDDOWN(I690*할인율,0)</f>
        <v/>
      </c>
      <c r="L690" s="2">
        <f>ROUND(I690*INDEX(미지급률범위,E690),0)</f>
        <v/>
      </c>
      <c r="M690" s="2">
        <f>ROUND(I690*INDEX(과지급률범위,E690),0)</f>
        <v/>
      </c>
      <c r="N690" s="2">
        <f>MAX(0,L690-M690)</f>
        <v/>
      </c>
      <c r="O690" s="2">
        <f>K690-N690</f>
        <v/>
      </c>
      <c r="P690" s="2">
        <f>I690-N690</f>
        <v/>
      </c>
      <c r="Q690" s="5">
        <f>IF(G690&gt;기준일,1,0)</f>
        <v/>
      </c>
      <c r="R690" s="5">
        <f>IF(G690&lt;=기준일,1,0)</f>
        <v/>
      </c>
      <c r="S690" s="2">
        <f>J690*H690</f>
        <v/>
      </c>
      <c r="T690" s="5">
        <f>IF(AND(F690&gt;=표본시작,F690&lt;=표본종료),1,0)</f>
        <v/>
      </c>
      <c r="U690" s="5">
        <f>IF(AND(G690&gt;=조회시작,G690&lt;=조회종료),1,0)</f>
        <v/>
      </c>
    </row>
    <row r="691">
      <c r="A691" s="2">
        <f>ROW()-1</f>
        <v/>
      </c>
      <c r="B691" s="5">
        <f>INDEX(상호범위,D691)</f>
        <v/>
      </c>
      <c r="C691" s="5">
        <f>INDEX(플랫폼명범위,E691)</f>
        <v/>
      </c>
      <c r="D691" s="2">
        <f>MOD(INT((A691-1)/4),8)+1</f>
        <v/>
      </c>
      <c r="E691" s="2">
        <f>MOD(A691-1,4)+1</f>
        <v/>
      </c>
      <c r="F691" s="20">
        <f>축시작+INT((A691-1)/32)</f>
        <v/>
      </c>
      <c r="G691" s="20">
        <f>F691+H691</f>
        <v/>
      </c>
      <c r="H691" s="5" t="n">
        <v>5</v>
      </c>
      <c r="I691" s="2">
        <f>ROUND(INDEX(가맹점!$P$2:$P$9,D691)*INDEX(가맹점!$J$2:$M$9,D691,E691),0)</f>
        <v/>
      </c>
      <c r="J691" s="2">
        <f>ROUND(I691*(1-할인율),0)</f>
        <v/>
      </c>
      <c r="K691" s="2">
        <f>ROUNDDOWN(I691*할인율,0)</f>
        <v/>
      </c>
      <c r="L691" s="2">
        <f>ROUND(I691*INDEX(미지급률범위,E691),0)</f>
        <v/>
      </c>
      <c r="M691" s="2">
        <f>ROUND(I691*INDEX(과지급률범위,E691),0)</f>
        <v/>
      </c>
      <c r="N691" s="2">
        <f>MAX(0,L691-M691)</f>
        <v/>
      </c>
      <c r="O691" s="2">
        <f>K691-N691</f>
        <v/>
      </c>
      <c r="P691" s="2">
        <f>I691-N691</f>
        <v/>
      </c>
      <c r="Q691" s="5">
        <f>IF(G691&gt;기준일,1,0)</f>
        <v/>
      </c>
      <c r="R691" s="5">
        <f>IF(G691&lt;=기준일,1,0)</f>
        <v/>
      </c>
      <c r="S691" s="2">
        <f>J691*H691</f>
        <v/>
      </c>
      <c r="T691" s="5">
        <f>IF(AND(F691&gt;=표본시작,F691&lt;=표본종료),1,0)</f>
        <v/>
      </c>
      <c r="U691" s="5">
        <f>IF(AND(G691&gt;=조회시작,G691&lt;=조회종료),1,0)</f>
        <v/>
      </c>
    </row>
    <row r="692">
      <c r="A692" s="2">
        <f>ROW()-1</f>
        <v/>
      </c>
      <c r="B692" s="5">
        <f>INDEX(상호범위,D692)</f>
        <v/>
      </c>
      <c r="C692" s="5">
        <f>INDEX(플랫폼명범위,E692)</f>
        <v/>
      </c>
      <c r="D692" s="2">
        <f>MOD(INT((A692-1)/4),8)+1</f>
        <v/>
      </c>
      <c r="E692" s="2">
        <f>MOD(A692-1,4)+1</f>
        <v/>
      </c>
      <c r="F692" s="20">
        <f>축시작+INT((A692-1)/32)</f>
        <v/>
      </c>
      <c r="G692" s="20">
        <f>F692+H692</f>
        <v/>
      </c>
      <c r="H692" s="5" t="n">
        <v>3</v>
      </c>
      <c r="I692" s="2">
        <f>ROUND(INDEX(가맹점!$P$2:$P$9,D692)*INDEX(가맹점!$J$2:$M$9,D692,E692),0)</f>
        <v/>
      </c>
      <c r="J692" s="2">
        <f>ROUND(I692*(1-할인율),0)</f>
        <v/>
      </c>
      <c r="K692" s="2">
        <f>ROUNDDOWN(I692*할인율,0)</f>
        <v/>
      </c>
      <c r="L692" s="2">
        <f>ROUND(I692*INDEX(미지급률범위,E692),0)</f>
        <v/>
      </c>
      <c r="M692" s="2">
        <f>ROUND(I692*INDEX(과지급률범위,E692),0)</f>
        <v/>
      </c>
      <c r="N692" s="2">
        <f>MAX(0,L692-M692)</f>
        <v/>
      </c>
      <c r="O692" s="2">
        <f>K692-N692</f>
        <v/>
      </c>
      <c r="P692" s="2">
        <f>I692-N692</f>
        <v/>
      </c>
      <c r="Q692" s="5">
        <f>IF(G692&gt;기준일,1,0)</f>
        <v/>
      </c>
      <c r="R692" s="5">
        <f>IF(G692&lt;=기준일,1,0)</f>
        <v/>
      </c>
      <c r="S692" s="2">
        <f>J692*H692</f>
        <v/>
      </c>
      <c r="T692" s="5">
        <f>IF(AND(F692&gt;=표본시작,F692&lt;=표본종료),1,0)</f>
        <v/>
      </c>
      <c r="U692" s="5">
        <f>IF(AND(G692&gt;=조회시작,G692&lt;=조회종료),1,0)</f>
        <v/>
      </c>
    </row>
    <row r="693">
      <c r="A693" s="2">
        <f>ROW()-1</f>
        <v/>
      </c>
      <c r="B693" s="5">
        <f>INDEX(상호범위,D693)</f>
        <v/>
      </c>
      <c r="C693" s="5">
        <f>INDEX(플랫폼명범위,E693)</f>
        <v/>
      </c>
      <c r="D693" s="2">
        <f>MOD(INT((A693-1)/4),8)+1</f>
        <v/>
      </c>
      <c r="E693" s="2">
        <f>MOD(A693-1,4)+1</f>
        <v/>
      </c>
      <c r="F693" s="20">
        <f>축시작+INT((A693-1)/32)</f>
        <v/>
      </c>
      <c r="G693" s="20">
        <f>F693+H693</f>
        <v/>
      </c>
      <c r="H693" s="5" t="n">
        <v>6</v>
      </c>
      <c r="I693" s="2">
        <f>ROUND(INDEX(가맹점!$P$2:$P$9,D693)*INDEX(가맹점!$J$2:$M$9,D693,E693),0)</f>
        <v/>
      </c>
      <c r="J693" s="2">
        <f>ROUND(I693*(1-할인율),0)</f>
        <v/>
      </c>
      <c r="K693" s="2">
        <f>ROUNDDOWN(I693*할인율,0)</f>
        <v/>
      </c>
      <c r="L693" s="2">
        <f>ROUND(I693*INDEX(미지급률범위,E693),0)</f>
        <v/>
      </c>
      <c r="M693" s="2">
        <f>ROUND(I693*INDEX(과지급률범위,E693),0)</f>
        <v/>
      </c>
      <c r="N693" s="2">
        <f>MAX(0,L693-M693)</f>
        <v/>
      </c>
      <c r="O693" s="2">
        <f>K693-N693</f>
        <v/>
      </c>
      <c r="P693" s="2">
        <f>I693-N693</f>
        <v/>
      </c>
      <c r="Q693" s="5">
        <f>IF(G693&gt;기준일,1,0)</f>
        <v/>
      </c>
      <c r="R693" s="5">
        <f>IF(G693&lt;=기준일,1,0)</f>
        <v/>
      </c>
      <c r="S693" s="2">
        <f>J693*H693</f>
        <v/>
      </c>
      <c r="T693" s="5">
        <f>IF(AND(F693&gt;=표본시작,F693&lt;=표본종료),1,0)</f>
        <v/>
      </c>
      <c r="U693" s="5">
        <f>IF(AND(G693&gt;=조회시작,G693&lt;=조회종료),1,0)</f>
        <v/>
      </c>
    </row>
    <row r="694">
      <c r="A694" s="2">
        <f>ROW()-1</f>
        <v/>
      </c>
      <c r="B694" s="5">
        <f>INDEX(상호범위,D694)</f>
        <v/>
      </c>
      <c r="C694" s="5">
        <f>INDEX(플랫폼명범위,E694)</f>
        <v/>
      </c>
      <c r="D694" s="2">
        <f>MOD(INT((A694-1)/4),8)+1</f>
        <v/>
      </c>
      <c r="E694" s="2">
        <f>MOD(A694-1,4)+1</f>
        <v/>
      </c>
      <c r="F694" s="20">
        <f>축시작+INT((A694-1)/32)</f>
        <v/>
      </c>
      <c r="G694" s="20">
        <f>F694+H694</f>
        <v/>
      </c>
      <c r="H694" s="5" t="n">
        <v>1</v>
      </c>
      <c r="I694" s="2">
        <f>ROUND(INDEX(가맹점!$P$2:$P$9,D694)*INDEX(가맹점!$J$2:$M$9,D694,E694),0)</f>
        <v/>
      </c>
      <c r="J694" s="2">
        <f>ROUND(I694*(1-할인율),0)</f>
        <v/>
      </c>
      <c r="K694" s="2">
        <f>ROUNDDOWN(I694*할인율,0)</f>
        <v/>
      </c>
      <c r="L694" s="2">
        <f>ROUND(I694*INDEX(미지급률범위,E694),0)</f>
        <v/>
      </c>
      <c r="M694" s="2">
        <f>ROUND(I694*INDEX(과지급률범위,E694),0)</f>
        <v/>
      </c>
      <c r="N694" s="2">
        <f>MAX(0,L694-M694)</f>
        <v/>
      </c>
      <c r="O694" s="2">
        <f>K694-N694</f>
        <v/>
      </c>
      <c r="P694" s="2">
        <f>I694-N694</f>
        <v/>
      </c>
      <c r="Q694" s="5">
        <f>IF(G694&gt;기준일,1,0)</f>
        <v/>
      </c>
      <c r="R694" s="5">
        <f>IF(G694&lt;=기준일,1,0)</f>
        <v/>
      </c>
      <c r="S694" s="2">
        <f>J694*H694</f>
        <v/>
      </c>
      <c r="T694" s="5">
        <f>IF(AND(F694&gt;=표본시작,F694&lt;=표본종료),1,0)</f>
        <v/>
      </c>
      <c r="U694" s="5">
        <f>IF(AND(G694&gt;=조회시작,G694&lt;=조회종료),1,0)</f>
        <v/>
      </c>
    </row>
    <row r="695">
      <c r="A695" s="2">
        <f>ROW()-1</f>
        <v/>
      </c>
      <c r="B695" s="5">
        <f>INDEX(상호범위,D695)</f>
        <v/>
      </c>
      <c r="C695" s="5">
        <f>INDEX(플랫폼명범위,E695)</f>
        <v/>
      </c>
      <c r="D695" s="2">
        <f>MOD(INT((A695-1)/4),8)+1</f>
        <v/>
      </c>
      <c r="E695" s="2">
        <f>MOD(A695-1,4)+1</f>
        <v/>
      </c>
      <c r="F695" s="20">
        <f>축시작+INT((A695-1)/32)</f>
        <v/>
      </c>
      <c r="G695" s="20">
        <f>F695+H695</f>
        <v/>
      </c>
      <c r="H695" s="5" t="n">
        <v>6</v>
      </c>
      <c r="I695" s="2">
        <f>ROUND(INDEX(가맹점!$P$2:$P$9,D695)*INDEX(가맹점!$J$2:$M$9,D695,E695),0)</f>
        <v/>
      </c>
      <c r="J695" s="2">
        <f>ROUND(I695*(1-할인율),0)</f>
        <v/>
      </c>
      <c r="K695" s="2">
        <f>ROUNDDOWN(I695*할인율,0)</f>
        <v/>
      </c>
      <c r="L695" s="2">
        <f>ROUND(I695*INDEX(미지급률범위,E695),0)</f>
        <v/>
      </c>
      <c r="M695" s="2">
        <f>ROUND(I695*INDEX(과지급률범위,E695),0)</f>
        <v/>
      </c>
      <c r="N695" s="2">
        <f>MAX(0,L695-M695)</f>
        <v/>
      </c>
      <c r="O695" s="2">
        <f>K695-N695</f>
        <v/>
      </c>
      <c r="P695" s="2">
        <f>I695-N695</f>
        <v/>
      </c>
      <c r="Q695" s="5">
        <f>IF(G695&gt;기준일,1,0)</f>
        <v/>
      </c>
      <c r="R695" s="5">
        <f>IF(G695&lt;=기준일,1,0)</f>
        <v/>
      </c>
      <c r="S695" s="2">
        <f>J695*H695</f>
        <v/>
      </c>
      <c r="T695" s="5">
        <f>IF(AND(F695&gt;=표본시작,F695&lt;=표본종료),1,0)</f>
        <v/>
      </c>
      <c r="U695" s="5">
        <f>IF(AND(G695&gt;=조회시작,G695&lt;=조회종료),1,0)</f>
        <v/>
      </c>
    </row>
    <row r="696">
      <c r="A696" s="2">
        <f>ROW()-1</f>
        <v/>
      </c>
      <c r="B696" s="5">
        <f>INDEX(상호범위,D696)</f>
        <v/>
      </c>
      <c r="C696" s="5">
        <f>INDEX(플랫폼명범위,E696)</f>
        <v/>
      </c>
      <c r="D696" s="2">
        <f>MOD(INT((A696-1)/4),8)+1</f>
        <v/>
      </c>
      <c r="E696" s="2">
        <f>MOD(A696-1,4)+1</f>
        <v/>
      </c>
      <c r="F696" s="20">
        <f>축시작+INT((A696-1)/32)</f>
        <v/>
      </c>
      <c r="G696" s="20">
        <f>F696+H696</f>
        <v/>
      </c>
      <c r="H696" s="5" t="n">
        <v>5</v>
      </c>
      <c r="I696" s="2">
        <f>ROUND(INDEX(가맹점!$P$2:$P$9,D696)*INDEX(가맹점!$J$2:$M$9,D696,E696),0)</f>
        <v/>
      </c>
      <c r="J696" s="2">
        <f>ROUND(I696*(1-할인율),0)</f>
        <v/>
      </c>
      <c r="K696" s="2">
        <f>ROUNDDOWN(I696*할인율,0)</f>
        <v/>
      </c>
      <c r="L696" s="2">
        <f>ROUND(I696*INDEX(미지급률범위,E696),0)</f>
        <v/>
      </c>
      <c r="M696" s="2">
        <f>ROUND(I696*INDEX(과지급률범위,E696),0)</f>
        <v/>
      </c>
      <c r="N696" s="2">
        <f>MAX(0,L696-M696)</f>
        <v/>
      </c>
      <c r="O696" s="2">
        <f>K696-N696</f>
        <v/>
      </c>
      <c r="P696" s="2">
        <f>I696-N696</f>
        <v/>
      </c>
      <c r="Q696" s="5">
        <f>IF(G696&gt;기준일,1,0)</f>
        <v/>
      </c>
      <c r="R696" s="5">
        <f>IF(G696&lt;=기준일,1,0)</f>
        <v/>
      </c>
      <c r="S696" s="2">
        <f>J696*H696</f>
        <v/>
      </c>
      <c r="T696" s="5">
        <f>IF(AND(F696&gt;=표본시작,F696&lt;=표본종료),1,0)</f>
        <v/>
      </c>
      <c r="U696" s="5">
        <f>IF(AND(G696&gt;=조회시작,G696&lt;=조회종료),1,0)</f>
        <v/>
      </c>
    </row>
    <row r="697">
      <c r="A697" s="2">
        <f>ROW()-1</f>
        <v/>
      </c>
      <c r="B697" s="5">
        <f>INDEX(상호범위,D697)</f>
        <v/>
      </c>
      <c r="C697" s="5">
        <f>INDEX(플랫폼명범위,E697)</f>
        <v/>
      </c>
      <c r="D697" s="2">
        <f>MOD(INT((A697-1)/4),8)+1</f>
        <v/>
      </c>
      <c r="E697" s="2">
        <f>MOD(A697-1,4)+1</f>
        <v/>
      </c>
      <c r="F697" s="20">
        <f>축시작+INT((A697-1)/32)</f>
        <v/>
      </c>
      <c r="G697" s="20">
        <f>F697+H697</f>
        <v/>
      </c>
      <c r="H697" s="5" t="n">
        <v>4</v>
      </c>
      <c r="I697" s="2">
        <f>ROUND(INDEX(가맹점!$P$2:$P$9,D697)*INDEX(가맹점!$J$2:$M$9,D697,E697),0)</f>
        <v/>
      </c>
      <c r="J697" s="2">
        <f>ROUND(I697*(1-할인율),0)</f>
        <v/>
      </c>
      <c r="K697" s="2">
        <f>ROUNDDOWN(I697*할인율,0)</f>
        <v/>
      </c>
      <c r="L697" s="2">
        <f>ROUND(I697*INDEX(미지급률범위,E697),0)</f>
        <v/>
      </c>
      <c r="M697" s="2">
        <f>ROUND(I697*INDEX(과지급률범위,E697),0)</f>
        <v/>
      </c>
      <c r="N697" s="2">
        <f>MAX(0,L697-M697)</f>
        <v/>
      </c>
      <c r="O697" s="2">
        <f>K697-N697</f>
        <v/>
      </c>
      <c r="P697" s="2">
        <f>I697-N697</f>
        <v/>
      </c>
      <c r="Q697" s="5">
        <f>IF(G697&gt;기준일,1,0)</f>
        <v/>
      </c>
      <c r="R697" s="5">
        <f>IF(G697&lt;=기준일,1,0)</f>
        <v/>
      </c>
      <c r="S697" s="2">
        <f>J697*H697</f>
        <v/>
      </c>
      <c r="T697" s="5">
        <f>IF(AND(F697&gt;=표본시작,F697&lt;=표본종료),1,0)</f>
        <v/>
      </c>
      <c r="U697" s="5">
        <f>IF(AND(G697&gt;=조회시작,G697&lt;=조회종료),1,0)</f>
        <v/>
      </c>
    </row>
    <row r="698">
      <c r="A698" s="2">
        <f>ROW()-1</f>
        <v/>
      </c>
      <c r="B698" s="5">
        <f>INDEX(상호범위,D698)</f>
        <v/>
      </c>
      <c r="C698" s="5">
        <f>INDEX(플랫폼명범위,E698)</f>
        <v/>
      </c>
      <c r="D698" s="2">
        <f>MOD(INT((A698-1)/4),8)+1</f>
        <v/>
      </c>
      <c r="E698" s="2">
        <f>MOD(A698-1,4)+1</f>
        <v/>
      </c>
      <c r="F698" s="20">
        <f>축시작+INT((A698-1)/32)</f>
        <v/>
      </c>
      <c r="G698" s="20">
        <f>F698+H698</f>
        <v/>
      </c>
      <c r="H698" s="5" t="n">
        <v>1</v>
      </c>
      <c r="I698" s="2">
        <f>ROUND(INDEX(가맹점!$P$2:$P$9,D698)*INDEX(가맹점!$J$2:$M$9,D698,E698),0)</f>
        <v/>
      </c>
      <c r="J698" s="2">
        <f>ROUND(I698*(1-할인율),0)</f>
        <v/>
      </c>
      <c r="K698" s="2">
        <f>ROUNDDOWN(I698*할인율,0)</f>
        <v/>
      </c>
      <c r="L698" s="2">
        <f>ROUND(I698*INDEX(미지급률범위,E698),0)</f>
        <v/>
      </c>
      <c r="M698" s="2">
        <f>ROUND(I698*INDEX(과지급률범위,E698),0)</f>
        <v/>
      </c>
      <c r="N698" s="2">
        <f>MAX(0,L698-M698)</f>
        <v/>
      </c>
      <c r="O698" s="2">
        <f>K698-N698</f>
        <v/>
      </c>
      <c r="P698" s="2">
        <f>I698-N698</f>
        <v/>
      </c>
      <c r="Q698" s="5">
        <f>IF(G698&gt;기준일,1,0)</f>
        <v/>
      </c>
      <c r="R698" s="5">
        <f>IF(G698&lt;=기준일,1,0)</f>
        <v/>
      </c>
      <c r="S698" s="2">
        <f>J698*H698</f>
        <v/>
      </c>
      <c r="T698" s="5">
        <f>IF(AND(F698&gt;=표본시작,F698&lt;=표본종료),1,0)</f>
        <v/>
      </c>
      <c r="U698" s="5">
        <f>IF(AND(G698&gt;=조회시작,G698&lt;=조회종료),1,0)</f>
        <v/>
      </c>
    </row>
    <row r="699">
      <c r="A699" s="2">
        <f>ROW()-1</f>
        <v/>
      </c>
      <c r="B699" s="5">
        <f>INDEX(상호범위,D699)</f>
        <v/>
      </c>
      <c r="C699" s="5">
        <f>INDEX(플랫폼명범위,E699)</f>
        <v/>
      </c>
      <c r="D699" s="2">
        <f>MOD(INT((A699-1)/4),8)+1</f>
        <v/>
      </c>
      <c r="E699" s="2">
        <f>MOD(A699-1,4)+1</f>
        <v/>
      </c>
      <c r="F699" s="20">
        <f>축시작+INT((A699-1)/32)</f>
        <v/>
      </c>
      <c r="G699" s="20">
        <f>F699+H699</f>
        <v/>
      </c>
      <c r="H699" s="5" t="n">
        <v>2</v>
      </c>
      <c r="I699" s="2">
        <f>ROUND(INDEX(가맹점!$P$2:$P$9,D699)*INDEX(가맹점!$J$2:$M$9,D699,E699),0)</f>
        <v/>
      </c>
      <c r="J699" s="2">
        <f>ROUND(I699*(1-할인율),0)</f>
        <v/>
      </c>
      <c r="K699" s="2">
        <f>ROUNDDOWN(I699*할인율,0)</f>
        <v/>
      </c>
      <c r="L699" s="2">
        <f>ROUND(I699*INDEX(미지급률범위,E699),0)</f>
        <v/>
      </c>
      <c r="M699" s="2">
        <f>ROUND(I699*INDEX(과지급률범위,E699),0)</f>
        <v/>
      </c>
      <c r="N699" s="2">
        <f>MAX(0,L699-M699)</f>
        <v/>
      </c>
      <c r="O699" s="2">
        <f>K699-N699</f>
        <v/>
      </c>
      <c r="P699" s="2">
        <f>I699-N699</f>
        <v/>
      </c>
      <c r="Q699" s="5">
        <f>IF(G699&gt;기준일,1,0)</f>
        <v/>
      </c>
      <c r="R699" s="5">
        <f>IF(G699&lt;=기준일,1,0)</f>
        <v/>
      </c>
      <c r="S699" s="2">
        <f>J699*H699</f>
        <v/>
      </c>
      <c r="T699" s="5">
        <f>IF(AND(F699&gt;=표본시작,F699&lt;=표본종료),1,0)</f>
        <v/>
      </c>
      <c r="U699" s="5">
        <f>IF(AND(G699&gt;=조회시작,G699&lt;=조회종료),1,0)</f>
        <v/>
      </c>
    </row>
    <row r="700">
      <c r="A700" s="2">
        <f>ROW()-1</f>
        <v/>
      </c>
      <c r="B700" s="5">
        <f>INDEX(상호범위,D700)</f>
        <v/>
      </c>
      <c r="C700" s="5">
        <f>INDEX(플랫폼명범위,E700)</f>
        <v/>
      </c>
      <c r="D700" s="2">
        <f>MOD(INT((A700-1)/4),8)+1</f>
        <v/>
      </c>
      <c r="E700" s="2">
        <f>MOD(A700-1,4)+1</f>
        <v/>
      </c>
      <c r="F700" s="20">
        <f>축시작+INT((A700-1)/32)</f>
        <v/>
      </c>
      <c r="G700" s="20">
        <f>F700+H700</f>
        <v/>
      </c>
      <c r="H700" s="5" t="n">
        <v>9</v>
      </c>
      <c r="I700" s="2">
        <f>ROUND(INDEX(가맹점!$P$2:$P$9,D700)*INDEX(가맹점!$J$2:$M$9,D700,E700),0)</f>
        <v/>
      </c>
      <c r="J700" s="2">
        <f>ROUND(I700*(1-할인율),0)</f>
        <v/>
      </c>
      <c r="K700" s="2">
        <f>ROUNDDOWN(I700*할인율,0)</f>
        <v/>
      </c>
      <c r="L700" s="2">
        <f>ROUND(I700*INDEX(미지급률범위,E700),0)</f>
        <v/>
      </c>
      <c r="M700" s="2">
        <f>ROUND(I700*INDEX(과지급률범위,E700),0)</f>
        <v/>
      </c>
      <c r="N700" s="2">
        <f>MAX(0,L700-M700)</f>
        <v/>
      </c>
      <c r="O700" s="2">
        <f>K700-N700</f>
        <v/>
      </c>
      <c r="P700" s="2">
        <f>I700-N700</f>
        <v/>
      </c>
      <c r="Q700" s="5">
        <f>IF(G700&gt;기준일,1,0)</f>
        <v/>
      </c>
      <c r="R700" s="5">
        <f>IF(G700&lt;=기준일,1,0)</f>
        <v/>
      </c>
      <c r="S700" s="2">
        <f>J700*H700</f>
        <v/>
      </c>
      <c r="T700" s="5">
        <f>IF(AND(F700&gt;=표본시작,F700&lt;=표본종료),1,0)</f>
        <v/>
      </c>
      <c r="U700" s="5">
        <f>IF(AND(G700&gt;=조회시작,G700&lt;=조회종료),1,0)</f>
        <v/>
      </c>
    </row>
    <row r="701">
      <c r="A701" s="2">
        <f>ROW()-1</f>
        <v/>
      </c>
      <c r="B701" s="5">
        <f>INDEX(상호범위,D701)</f>
        <v/>
      </c>
      <c r="C701" s="5">
        <f>INDEX(플랫폼명범위,E701)</f>
        <v/>
      </c>
      <c r="D701" s="2">
        <f>MOD(INT((A701-1)/4),8)+1</f>
        <v/>
      </c>
      <c r="E701" s="2">
        <f>MOD(A701-1,4)+1</f>
        <v/>
      </c>
      <c r="F701" s="20">
        <f>축시작+INT((A701-1)/32)</f>
        <v/>
      </c>
      <c r="G701" s="20">
        <f>F701+H701</f>
        <v/>
      </c>
      <c r="H701" s="5" t="n">
        <v>6</v>
      </c>
      <c r="I701" s="2">
        <f>ROUND(INDEX(가맹점!$P$2:$P$9,D701)*INDEX(가맹점!$J$2:$M$9,D701,E701),0)</f>
        <v/>
      </c>
      <c r="J701" s="2">
        <f>ROUND(I701*(1-할인율),0)</f>
        <v/>
      </c>
      <c r="K701" s="2">
        <f>ROUNDDOWN(I701*할인율,0)</f>
        <v/>
      </c>
      <c r="L701" s="2">
        <f>ROUND(I701*INDEX(미지급률범위,E701),0)</f>
        <v/>
      </c>
      <c r="M701" s="2">
        <f>ROUND(I701*INDEX(과지급률범위,E701),0)</f>
        <v/>
      </c>
      <c r="N701" s="2">
        <f>MAX(0,L701-M701)</f>
        <v/>
      </c>
      <c r="O701" s="2">
        <f>K701-N701</f>
        <v/>
      </c>
      <c r="P701" s="2">
        <f>I701-N701</f>
        <v/>
      </c>
      <c r="Q701" s="5">
        <f>IF(G701&gt;기준일,1,0)</f>
        <v/>
      </c>
      <c r="R701" s="5">
        <f>IF(G701&lt;=기준일,1,0)</f>
        <v/>
      </c>
      <c r="S701" s="2">
        <f>J701*H701</f>
        <v/>
      </c>
      <c r="T701" s="5">
        <f>IF(AND(F701&gt;=표본시작,F701&lt;=표본종료),1,0)</f>
        <v/>
      </c>
      <c r="U701" s="5">
        <f>IF(AND(G701&gt;=조회시작,G701&lt;=조회종료),1,0)</f>
        <v/>
      </c>
    </row>
    <row r="702">
      <c r="A702" s="2">
        <f>ROW()-1</f>
        <v/>
      </c>
      <c r="B702" s="5">
        <f>INDEX(상호범위,D702)</f>
        <v/>
      </c>
      <c r="C702" s="5">
        <f>INDEX(플랫폼명범위,E702)</f>
        <v/>
      </c>
      <c r="D702" s="2">
        <f>MOD(INT((A702-1)/4),8)+1</f>
        <v/>
      </c>
      <c r="E702" s="2">
        <f>MOD(A702-1,4)+1</f>
        <v/>
      </c>
      <c r="F702" s="20">
        <f>축시작+INT((A702-1)/32)</f>
        <v/>
      </c>
      <c r="G702" s="20">
        <f>F702+H702</f>
        <v/>
      </c>
      <c r="H702" s="5" t="n">
        <v>1</v>
      </c>
      <c r="I702" s="2">
        <f>ROUND(INDEX(가맹점!$P$2:$P$9,D702)*INDEX(가맹점!$J$2:$M$9,D702,E702),0)</f>
        <v/>
      </c>
      <c r="J702" s="2">
        <f>ROUND(I702*(1-할인율),0)</f>
        <v/>
      </c>
      <c r="K702" s="2">
        <f>ROUNDDOWN(I702*할인율,0)</f>
        <v/>
      </c>
      <c r="L702" s="2">
        <f>ROUND(I702*INDEX(미지급률범위,E702),0)</f>
        <v/>
      </c>
      <c r="M702" s="2">
        <f>ROUND(I702*INDEX(과지급률범위,E702),0)</f>
        <v/>
      </c>
      <c r="N702" s="2">
        <f>MAX(0,L702-M702)</f>
        <v/>
      </c>
      <c r="O702" s="2">
        <f>K702-N702</f>
        <v/>
      </c>
      <c r="P702" s="2">
        <f>I702-N702</f>
        <v/>
      </c>
      <c r="Q702" s="5">
        <f>IF(G702&gt;기준일,1,0)</f>
        <v/>
      </c>
      <c r="R702" s="5">
        <f>IF(G702&lt;=기준일,1,0)</f>
        <v/>
      </c>
      <c r="S702" s="2">
        <f>J702*H702</f>
        <v/>
      </c>
      <c r="T702" s="5">
        <f>IF(AND(F702&gt;=표본시작,F702&lt;=표본종료),1,0)</f>
        <v/>
      </c>
      <c r="U702" s="5">
        <f>IF(AND(G702&gt;=조회시작,G702&lt;=조회종료),1,0)</f>
        <v/>
      </c>
    </row>
    <row r="703">
      <c r="A703" s="2">
        <f>ROW()-1</f>
        <v/>
      </c>
      <c r="B703" s="5">
        <f>INDEX(상호범위,D703)</f>
        <v/>
      </c>
      <c r="C703" s="5">
        <f>INDEX(플랫폼명범위,E703)</f>
        <v/>
      </c>
      <c r="D703" s="2">
        <f>MOD(INT((A703-1)/4),8)+1</f>
        <v/>
      </c>
      <c r="E703" s="2">
        <f>MOD(A703-1,4)+1</f>
        <v/>
      </c>
      <c r="F703" s="20">
        <f>축시작+INT((A703-1)/32)</f>
        <v/>
      </c>
      <c r="G703" s="20">
        <f>F703+H703</f>
        <v/>
      </c>
      <c r="H703" s="5" t="n">
        <v>4</v>
      </c>
      <c r="I703" s="2">
        <f>ROUND(INDEX(가맹점!$P$2:$P$9,D703)*INDEX(가맹점!$J$2:$M$9,D703,E703),0)</f>
        <v/>
      </c>
      <c r="J703" s="2">
        <f>ROUND(I703*(1-할인율),0)</f>
        <v/>
      </c>
      <c r="K703" s="2">
        <f>ROUNDDOWN(I703*할인율,0)</f>
        <v/>
      </c>
      <c r="L703" s="2">
        <f>ROUND(I703*INDEX(미지급률범위,E703),0)</f>
        <v/>
      </c>
      <c r="M703" s="2">
        <f>ROUND(I703*INDEX(과지급률범위,E703),0)</f>
        <v/>
      </c>
      <c r="N703" s="2">
        <f>MAX(0,L703-M703)</f>
        <v/>
      </c>
      <c r="O703" s="2">
        <f>K703-N703</f>
        <v/>
      </c>
      <c r="P703" s="2">
        <f>I703-N703</f>
        <v/>
      </c>
      <c r="Q703" s="5">
        <f>IF(G703&gt;기준일,1,0)</f>
        <v/>
      </c>
      <c r="R703" s="5">
        <f>IF(G703&lt;=기준일,1,0)</f>
        <v/>
      </c>
      <c r="S703" s="2">
        <f>J703*H703</f>
        <v/>
      </c>
      <c r="T703" s="5">
        <f>IF(AND(F703&gt;=표본시작,F703&lt;=표본종료),1,0)</f>
        <v/>
      </c>
      <c r="U703" s="5">
        <f>IF(AND(G703&gt;=조회시작,G703&lt;=조회종료),1,0)</f>
        <v/>
      </c>
    </row>
    <row r="704">
      <c r="A704" s="2">
        <f>ROW()-1</f>
        <v/>
      </c>
      <c r="B704" s="5">
        <f>INDEX(상호범위,D704)</f>
        <v/>
      </c>
      <c r="C704" s="5">
        <f>INDEX(플랫폼명범위,E704)</f>
        <v/>
      </c>
      <c r="D704" s="2">
        <f>MOD(INT((A704-1)/4),8)+1</f>
        <v/>
      </c>
      <c r="E704" s="2">
        <f>MOD(A704-1,4)+1</f>
        <v/>
      </c>
      <c r="F704" s="20">
        <f>축시작+INT((A704-1)/32)</f>
        <v/>
      </c>
      <c r="G704" s="20">
        <f>F704+H704</f>
        <v/>
      </c>
      <c r="H704" s="5" t="n">
        <v>5</v>
      </c>
      <c r="I704" s="2">
        <f>ROUND(INDEX(가맹점!$P$2:$P$9,D704)*INDEX(가맹점!$J$2:$M$9,D704,E704),0)</f>
        <v/>
      </c>
      <c r="J704" s="2">
        <f>ROUND(I704*(1-할인율),0)</f>
        <v/>
      </c>
      <c r="K704" s="2">
        <f>ROUNDDOWN(I704*할인율,0)</f>
        <v/>
      </c>
      <c r="L704" s="2">
        <f>ROUND(I704*INDEX(미지급률범위,E704),0)</f>
        <v/>
      </c>
      <c r="M704" s="2">
        <f>ROUND(I704*INDEX(과지급률범위,E704),0)</f>
        <v/>
      </c>
      <c r="N704" s="2">
        <f>MAX(0,L704-M704)</f>
        <v/>
      </c>
      <c r="O704" s="2">
        <f>K704-N704</f>
        <v/>
      </c>
      <c r="P704" s="2">
        <f>I704-N704</f>
        <v/>
      </c>
      <c r="Q704" s="5">
        <f>IF(G704&gt;기준일,1,0)</f>
        <v/>
      </c>
      <c r="R704" s="5">
        <f>IF(G704&lt;=기준일,1,0)</f>
        <v/>
      </c>
      <c r="S704" s="2">
        <f>J704*H704</f>
        <v/>
      </c>
      <c r="T704" s="5">
        <f>IF(AND(F704&gt;=표본시작,F704&lt;=표본종료),1,0)</f>
        <v/>
      </c>
      <c r="U704" s="5">
        <f>IF(AND(G704&gt;=조회시작,G704&lt;=조회종료),1,0)</f>
        <v/>
      </c>
    </row>
    <row r="705">
      <c r="A705" s="2">
        <f>ROW()-1</f>
        <v/>
      </c>
      <c r="B705" s="5">
        <f>INDEX(상호범위,D705)</f>
        <v/>
      </c>
      <c r="C705" s="5">
        <f>INDEX(플랫폼명범위,E705)</f>
        <v/>
      </c>
      <c r="D705" s="2">
        <f>MOD(INT((A705-1)/4),8)+1</f>
        <v/>
      </c>
      <c r="E705" s="2">
        <f>MOD(A705-1,4)+1</f>
        <v/>
      </c>
      <c r="F705" s="20">
        <f>축시작+INT((A705-1)/32)</f>
        <v/>
      </c>
      <c r="G705" s="20">
        <f>F705+H705</f>
        <v/>
      </c>
      <c r="H705" s="5" t="n">
        <v>6</v>
      </c>
      <c r="I705" s="2">
        <f>ROUND(INDEX(가맹점!$P$2:$P$9,D705)*INDEX(가맹점!$J$2:$M$9,D705,E705),0)</f>
        <v/>
      </c>
      <c r="J705" s="2">
        <f>ROUND(I705*(1-할인율),0)</f>
        <v/>
      </c>
      <c r="K705" s="2">
        <f>ROUNDDOWN(I705*할인율,0)</f>
        <v/>
      </c>
      <c r="L705" s="2">
        <f>ROUND(I705*INDEX(미지급률범위,E705),0)</f>
        <v/>
      </c>
      <c r="M705" s="2">
        <f>ROUND(I705*INDEX(과지급률범위,E705),0)</f>
        <v/>
      </c>
      <c r="N705" s="2">
        <f>MAX(0,L705-M705)</f>
        <v/>
      </c>
      <c r="O705" s="2">
        <f>K705-N705</f>
        <v/>
      </c>
      <c r="P705" s="2">
        <f>I705-N705</f>
        <v/>
      </c>
      <c r="Q705" s="5">
        <f>IF(G705&gt;기준일,1,0)</f>
        <v/>
      </c>
      <c r="R705" s="5">
        <f>IF(G705&lt;=기준일,1,0)</f>
        <v/>
      </c>
      <c r="S705" s="2">
        <f>J705*H705</f>
        <v/>
      </c>
      <c r="T705" s="5">
        <f>IF(AND(F705&gt;=표본시작,F705&lt;=표본종료),1,0)</f>
        <v/>
      </c>
      <c r="U705" s="5">
        <f>IF(AND(G705&gt;=조회시작,G705&lt;=조회종료),1,0)</f>
        <v/>
      </c>
    </row>
    <row r="706">
      <c r="A706" s="2">
        <f>ROW()-1</f>
        <v/>
      </c>
      <c r="B706" s="5">
        <f>INDEX(상호범위,D706)</f>
        <v/>
      </c>
      <c r="C706" s="5">
        <f>INDEX(플랫폼명범위,E706)</f>
        <v/>
      </c>
      <c r="D706" s="2">
        <f>MOD(INT((A706-1)/4),8)+1</f>
        <v/>
      </c>
      <c r="E706" s="2">
        <f>MOD(A706-1,4)+1</f>
        <v/>
      </c>
      <c r="F706" s="20">
        <f>축시작+INT((A706-1)/32)</f>
        <v/>
      </c>
      <c r="G706" s="20">
        <f>F706+H706</f>
        <v/>
      </c>
      <c r="H706" s="5" t="n">
        <v>1</v>
      </c>
      <c r="I706" s="2">
        <f>ROUND(INDEX(가맹점!$P$2:$P$9,D706)*INDEX(가맹점!$J$2:$M$9,D706,E706),0)</f>
        <v/>
      </c>
      <c r="J706" s="2">
        <f>ROUND(I706*(1-할인율),0)</f>
        <v/>
      </c>
      <c r="K706" s="2">
        <f>ROUNDDOWN(I706*할인율,0)</f>
        <v/>
      </c>
      <c r="L706" s="2">
        <f>ROUND(I706*INDEX(미지급률범위,E706),0)</f>
        <v/>
      </c>
      <c r="M706" s="2">
        <f>ROUND(I706*INDEX(과지급률범위,E706),0)</f>
        <v/>
      </c>
      <c r="N706" s="2">
        <f>MAX(0,L706-M706)</f>
        <v/>
      </c>
      <c r="O706" s="2">
        <f>K706-N706</f>
        <v/>
      </c>
      <c r="P706" s="2">
        <f>I706-N706</f>
        <v/>
      </c>
      <c r="Q706" s="5">
        <f>IF(G706&gt;기준일,1,0)</f>
        <v/>
      </c>
      <c r="R706" s="5">
        <f>IF(G706&lt;=기준일,1,0)</f>
        <v/>
      </c>
      <c r="S706" s="2">
        <f>J706*H706</f>
        <v/>
      </c>
      <c r="T706" s="5">
        <f>IF(AND(F706&gt;=표본시작,F706&lt;=표본종료),1,0)</f>
        <v/>
      </c>
      <c r="U706" s="5">
        <f>IF(AND(G706&gt;=조회시작,G706&lt;=조회종료),1,0)</f>
        <v/>
      </c>
    </row>
    <row r="707">
      <c r="A707" s="2">
        <f>ROW()-1</f>
        <v/>
      </c>
      <c r="B707" s="5">
        <f>INDEX(상호범위,D707)</f>
        <v/>
      </c>
      <c r="C707" s="5">
        <f>INDEX(플랫폼명범위,E707)</f>
        <v/>
      </c>
      <c r="D707" s="2">
        <f>MOD(INT((A707-1)/4),8)+1</f>
        <v/>
      </c>
      <c r="E707" s="2">
        <f>MOD(A707-1,4)+1</f>
        <v/>
      </c>
      <c r="F707" s="20">
        <f>축시작+INT((A707-1)/32)</f>
        <v/>
      </c>
      <c r="G707" s="20">
        <f>F707+H707</f>
        <v/>
      </c>
      <c r="H707" s="5" t="n">
        <v>2</v>
      </c>
      <c r="I707" s="2">
        <f>ROUND(INDEX(가맹점!$P$2:$P$9,D707)*INDEX(가맹점!$J$2:$M$9,D707,E707),0)</f>
        <v/>
      </c>
      <c r="J707" s="2">
        <f>ROUND(I707*(1-할인율),0)</f>
        <v/>
      </c>
      <c r="K707" s="2">
        <f>ROUNDDOWN(I707*할인율,0)</f>
        <v/>
      </c>
      <c r="L707" s="2">
        <f>ROUND(I707*INDEX(미지급률범위,E707),0)</f>
        <v/>
      </c>
      <c r="M707" s="2">
        <f>ROUND(I707*INDEX(과지급률범위,E707),0)</f>
        <v/>
      </c>
      <c r="N707" s="2">
        <f>MAX(0,L707-M707)</f>
        <v/>
      </c>
      <c r="O707" s="2">
        <f>K707-N707</f>
        <v/>
      </c>
      <c r="P707" s="2">
        <f>I707-N707</f>
        <v/>
      </c>
      <c r="Q707" s="5">
        <f>IF(G707&gt;기준일,1,0)</f>
        <v/>
      </c>
      <c r="R707" s="5">
        <f>IF(G707&lt;=기준일,1,0)</f>
        <v/>
      </c>
      <c r="S707" s="2">
        <f>J707*H707</f>
        <v/>
      </c>
      <c r="T707" s="5">
        <f>IF(AND(F707&gt;=표본시작,F707&lt;=표본종료),1,0)</f>
        <v/>
      </c>
      <c r="U707" s="5">
        <f>IF(AND(G707&gt;=조회시작,G707&lt;=조회종료),1,0)</f>
        <v/>
      </c>
    </row>
    <row r="708">
      <c r="A708" s="2">
        <f>ROW()-1</f>
        <v/>
      </c>
      <c r="B708" s="5">
        <f>INDEX(상호범위,D708)</f>
        <v/>
      </c>
      <c r="C708" s="5">
        <f>INDEX(플랫폼명범위,E708)</f>
        <v/>
      </c>
      <c r="D708" s="2">
        <f>MOD(INT((A708-1)/4),8)+1</f>
        <v/>
      </c>
      <c r="E708" s="2">
        <f>MOD(A708-1,4)+1</f>
        <v/>
      </c>
      <c r="F708" s="20">
        <f>축시작+INT((A708-1)/32)</f>
        <v/>
      </c>
      <c r="G708" s="20">
        <f>F708+H708</f>
        <v/>
      </c>
      <c r="H708" s="5" t="n">
        <v>4</v>
      </c>
      <c r="I708" s="2">
        <f>ROUND(INDEX(가맹점!$P$2:$P$9,D708)*INDEX(가맹점!$J$2:$M$9,D708,E708),0)</f>
        <v/>
      </c>
      <c r="J708" s="2">
        <f>ROUND(I708*(1-할인율),0)</f>
        <v/>
      </c>
      <c r="K708" s="2">
        <f>ROUNDDOWN(I708*할인율,0)</f>
        <v/>
      </c>
      <c r="L708" s="2">
        <f>ROUND(I708*INDEX(미지급률범위,E708),0)</f>
        <v/>
      </c>
      <c r="M708" s="2">
        <f>ROUND(I708*INDEX(과지급률범위,E708),0)</f>
        <v/>
      </c>
      <c r="N708" s="2">
        <f>MAX(0,L708-M708)</f>
        <v/>
      </c>
      <c r="O708" s="2">
        <f>K708-N708</f>
        <v/>
      </c>
      <c r="P708" s="2">
        <f>I708-N708</f>
        <v/>
      </c>
      <c r="Q708" s="5">
        <f>IF(G708&gt;기준일,1,0)</f>
        <v/>
      </c>
      <c r="R708" s="5">
        <f>IF(G708&lt;=기준일,1,0)</f>
        <v/>
      </c>
      <c r="S708" s="2">
        <f>J708*H708</f>
        <v/>
      </c>
      <c r="T708" s="5">
        <f>IF(AND(F708&gt;=표본시작,F708&lt;=표본종료),1,0)</f>
        <v/>
      </c>
      <c r="U708" s="5">
        <f>IF(AND(G708&gt;=조회시작,G708&lt;=조회종료),1,0)</f>
        <v/>
      </c>
    </row>
    <row r="709">
      <c r="A709" s="2">
        <f>ROW()-1</f>
        <v/>
      </c>
      <c r="B709" s="5">
        <f>INDEX(상호범위,D709)</f>
        <v/>
      </c>
      <c r="C709" s="5">
        <f>INDEX(플랫폼명범위,E709)</f>
        <v/>
      </c>
      <c r="D709" s="2">
        <f>MOD(INT((A709-1)/4),8)+1</f>
        <v/>
      </c>
      <c r="E709" s="2">
        <f>MOD(A709-1,4)+1</f>
        <v/>
      </c>
      <c r="F709" s="20">
        <f>축시작+INT((A709-1)/32)</f>
        <v/>
      </c>
      <c r="G709" s="20">
        <f>F709+H709</f>
        <v/>
      </c>
      <c r="H709" s="5" t="n">
        <v>4</v>
      </c>
      <c r="I709" s="2">
        <f>ROUND(INDEX(가맹점!$P$2:$P$9,D709)*INDEX(가맹점!$J$2:$M$9,D709,E709),0)</f>
        <v/>
      </c>
      <c r="J709" s="2">
        <f>ROUND(I709*(1-할인율),0)</f>
        <v/>
      </c>
      <c r="K709" s="2">
        <f>ROUNDDOWN(I709*할인율,0)</f>
        <v/>
      </c>
      <c r="L709" s="2">
        <f>ROUND(I709*INDEX(미지급률범위,E709),0)</f>
        <v/>
      </c>
      <c r="M709" s="2">
        <f>ROUND(I709*INDEX(과지급률범위,E709),0)</f>
        <v/>
      </c>
      <c r="N709" s="2">
        <f>MAX(0,L709-M709)</f>
        <v/>
      </c>
      <c r="O709" s="2">
        <f>K709-N709</f>
        <v/>
      </c>
      <c r="P709" s="2">
        <f>I709-N709</f>
        <v/>
      </c>
      <c r="Q709" s="5">
        <f>IF(G709&gt;기준일,1,0)</f>
        <v/>
      </c>
      <c r="R709" s="5">
        <f>IF(G709&lt;=기준일,1,0)</f>
        <v/>
      </c>
      <c r="S709" s="2">
        <f>J709*H709</f>
        <v/>
      </c>
      <c r="T709" s="5">
        <f>IF(AND(F709&gt;=표본시작,F709&lt;=표본종료),1,0)</f>
        <v/>
      </c>
      <c r="U709" s="5">
        <f>IF(AND(G709&gt;=조회시작,G709&lt;=조회종료),1,0)</f>
        <v/>
      </c>
    </row>
    <row r="710">
      <c r="A710" s="2">
        <f>ROW()-1</f>
        <v/>
      </c>
      <c r="B710" s="5">
        <f>INDEX(상호범위,D710)</f>
        <v/>
      </c>
      <c r="C710" s="5">
        <f>INDEX(플랫폼명범위,E710)</f>
        <v/>
      </c>
      <c r="D710" s="2">
        <f>MOD(INT((A710-1)/4),8)+1</f>
        <v/>
      </c>
      <c r="E710" s="2">
        <f>MOD(A710-1,4)+1</f>
        <v/>
      </c>
      <c r="F710" s="20">
        <f>축시작+INT((A710-1)/32)</f>
        <v/>
      </c>
      <c r="G710" s="20">
        <f>F710+H710</f>
        <v/>
      </c>
      <c r="H710" s="5" t="n">
        <v>1</v>
      </c>
      <c r="I710" s="2">
        <f>ROUND(INDEX(가맹점!$P$2:$P$9,D710)*INDEX(가맹점!$J$2:$M$9,D710,E710),0)</f>
        <v/>
      </c>
      <c r="J710" s="2">
        <f>ROUND(I710*(1-할인율),0)</f>
        <v/>
      </c>
      <c r="K710" s="2">
        <f>ROUNDDOWN(I710*할인율,0)</f>
        <v/>
      </c>
      <c r="L710" s="2">
        <f>ROUND(I710*INDEX(미지급률범위,E710),0)</f>
        <v/>
      </c>
      <c r="M710" s="2">
        <f>ROUND(I710*INDEX(과지급률범위,E710),0)</f>
        <v/>
      </c>
      <c r="N710" s="2">
        <f>MAX(0,L710-M710)</f>
        <v/>
      </c>
      <c r="O710" s="2">
        <f>K710-N710</f>
        <v/>
      </c>
      <c r="P710" s="2">
        <f>I710-N710</f>
        <v/>
      </c>
      <c r="Q710" s="5">
        <f>IF(G710&gt;기준일,1,0)</f>
        <v/>
      </c>
      <c r="R710" s="5">
        <f>IF(G710&lt;=기준일,1,0)</f>
        <v/>
      </c>
      <c r="S710" s="2">
        <f>J710*H710</f>
        <v/>
      </c>
      <c r="T710" s="5">
        <f>IF(AND(F710&gt;=표본시작,F710&lt;=표본종료),1,0)</f>
        <v/>
      </c>
      <c r="U710" s="5">
        <f>IF(AND(G710&gt;=조회시작,G710&lt;=조회종료),1,0)</f>
        <v/>
      </c>
    </row>
    <row r="711">
      <c r="A711" s="2">
        <f>ROW()-1</f>
        <v/>
      </c>
      <c r="B711" s="5">
        <f>INDEX(상호범위,D711)</f>
        <v/>
      </c>
      <c r="C711" s="5">
        <f>INDEX(플랫폼명범위,E711)</f>
        <v/>
      </c>
      <c r="D711" s="2">
        <f>MOD(INT((A711-1)/4),8)+1</f>
        <v/>
      </c>
      <c r="E711" s="2">
        <f>MOD(A711-1,4)+1</f>
        <v/>
      </c>
      <c r="F711" s="20">
        <f>축시작+INT((A711-1)/32)</f>
        <v/>
      </c>
      <c r="G711" s="20">
        <f>F711+H711</f>
        <v/>
      </c>
      <c r="H711" s="5" t="n">
        <v>4</v>
      </c>
      <c r="I711" s="2">
        <f>ROUND(INDEX(가맹점!$P$2:$P$9,D711)*INDEX(가맹점!$J$2:$M$9,D711,E711),0)</f>
        <v/>
      </c>
      <c r="J711" s="2">
        <f>ROUND(I711*(1-할인율),0)</f>
        <v/>
      </c>
      <c r="K711" s="2">
        <f>ROUNDDOWN(I711*할인율,0)</f>
        <v/>
      </c>
      <c r="L711" s="2">
        <f>ROUND(I711*INDEX(미지급률범위,E711),0)</f>
        <v/>
      </c>
      <c r="M711" s="2">
        <f>ROUND(I711*INDEX(과지급률범위,E711),0)</f>
        <v/>
      </c>
      <c r="N711" s="2">
        <f>MAX(0,L711-M711)</f>
        <v/>
      </c>
      <c r="O711" s="2">
        <f>K711-N711</f>
        <v/>
      </c>
      <c r="P711" s="2">
        <f>I711-N711</f>
        <v/>
      </c>
      <c r="Q711" s="5">
        <f>IF(G711&gt;기준일,1,0)</f>
        <v/>
      </c>
      <c r="R711" s="5">
        <f>IF(G711&lt;=기준일,1,0)</f>
        <v/>
      </c>
      <c r="S711" s="2">
        <f>J711*H711</f>
        <v/>
      </c>
      <c r="T711" s="5">
        <f>IF(AND(F711&gt;=표본시작,F711&lt;=표본종료),1,0)</f>
        <v/>
      </c>
      <c r="U711" s="5">
        <f>IF(AND(G711&gt;=조회시작,G711&lt;=조회종료),1,0)</f>
        <v/>
      </c>
    </row>
    <row r="712">
      <c r="A712" s="2">
        <f>ROW()-1</f>
        <v/>
      </c>
      <c r="B712" s="5">
        <f>INDEX(상호범위,D712)</f>
        <v/>
      </c>
      <c r="C712" s="5">
        <f>INDEX(플랫폼명범위,E712)</f>
        <v/>
      </c>
      <c r="D712" s="2">
        <f>MOD(INT((A712-1)/4),8)+1</f>
        <v/>
      </c>
      <c r="E712" s="2">
        <f>MOD(A712-1,4)+1</f>
        <v/>
      </c>
      <c r="F712" s="20">
        <f>축시작+INT((A712-1)/32)</f>
        <v/>
      </c>
      <c r="G712" s="20">
        <f>F712+H712</f>
        <v/>
      </c>
      <c r="H712" s="5" t="n">
        <v>4</v>
      </c>
      <c r="I712" s="2">
        <f>ROUND(INDEX(가맹점!$P$2:$P$9,D712)*INDEX(가맹점!$J$2:$M$9,D712,E712),0)</f>
        <v/>
      </c>
      <c r="J712" s="2">
        <f>ROUND(I712*(1-할인율),0)</f>
        <v/>
      </c>
      <c r="K712" s="2">
        <f>ROUNDDOWN(I712*할인율,0)</f>
        <v/>
      </c>
      <c r="L712" s="2">
        <f>ROUND(I712*INDEX(미지급률범위,E712),0)</f>
        <v/>
      </c>
      <c r="M712" s="2">
        <f>ROUND(I712*INDEX(과지급률범위,E712),0)</f>
        <v/>
      </c>
      <c r="N712" s="2">
        <f>MAX(0,L712-M712)</f>
        <v/>
      </c>
      <c r="O712" s="2">
        <f>K712-N712</f>
        <v/>
      </c>
      <c r="P712" s="2">
        <f>I712-N712</f>
        <v/>
      </c>
      <c r="Q712" s="5">
        <f>IF(G712&gt;기준일,1,0)</f>
        <v/>
      </c>
      <c r="R712" s="5">
        <f>IF(G712&lt;=기준일,1,0)</f>
        <v/>
      </c>
      <c r="S712" s="2">
        <f>J712*H712</f>
        <v/>
      </c>
      <c r="T712" s="5">
        <f>IF(AND(F712&gt;=표본시작,F712&lt;=표본종료),1,0)</f>
        <v/>
      </c>
      <c r="U712" s="5">
        <f>IF(AND(G712&gt;=조회시작,G712&lt;=조회종료),1,0)</f>
        <v/>
      </c>
    </row>
    <row r="713">
      <c r="A713" s="2">
        <f>ROW()-1</f>
        <v/>
      </c>
      <c r="B713" s="5">
        <f>INDEX(상호범위,D713)</f>
        <v/>
      </c>
      <c r="C713" s="5">
        <f>INDEX(플랫폼명범위,E713)</f>
        <v/>
      </c>
      <c r="D713" s="2">
        <f>MOD(INT((A713-1)/4),8)+1</f>
        <v/>
      </c>
      <c r="E713" s="2">
        <f>MOD(A713-1,4)+1</f>
        <v/>
      </c>
      <c r="F713" s="20">
        <f>축시작+INT((A713-1)/32)</f>
        <v/>
      </c>
      <c r="G713" s="20">
        <f>F713+H713</f>
        <v/>
      </c>
      <c r="H713" s="5" t="n">
        <v>11</v>
      </c>
      <c r="I713" s="2">
        <f>ROUND(INDEX(가맹점!$P$2:$P$9,D713)*INDEX(가맹점!$J$2:$M$9,D713,E713),0)</f>
        <v/>
      </c>
      <c r="J713" s="2">
        <f>ROUND(I713*(1-할인율),0)</f>
        <v/>
      </c>
      <c r="K713" s="2">
        <f>ROUNDDOWN(I713*할인율,0)</f>
        <v/>
      </c>
      <c r="L713" s="2">
        <f>ROUND(I713*INDEX(미지급률범위,E713),0)</f>
        <v/>
      </c>
      <c r="M713" s="2">
        <f>ROUND(I713*INDEX(과지급률범위,E713),0)</f>
        <v/>
      </c>
      <c r="N713" s="2">
        <f>MAX(0,L713-M713)</f>
        <v/>
      </c>
      <c r="O713" s="2">
        <f>K713-N713</f>
        <v/>
      </c>
      <c r="P713" s="2">
        <f>I713-N713</f>
        <v/>
      </c>
      <c r="Q713" s="5">
        <f>IF(G713&gt;기준일,1,0)</f>
        <v/>
      </c>
      <c r="R713" s="5">
        <f>IF(G713&lt;=기준일,1,0)</f>
        <v/>
      </c>
      <c r="S713" s="2">
        <f>J713*H713</f>
        <v/>
      </c>
      <c r="T713" s="5">
        <f>IF(AND(F713&gt;=표본시작,F713&lt;=표본종료),1,0)</f>
        <v/>
      </c>
      <c r="U713" s="5">
        <f>IF(AND(G713&gt;=조회시작,G713&lt;=조회종료),1,0)</f>
        <v/>
      </c>
    </row>
    <row r="714">
      <c r="A714" s="2">
        <f>ROW()-1</f>
        <v/>
      </c>
      <c r="B714" s="5">
        <f>INDEX(상호범위,D714)</f>
        <v/>
      </c>
      <c r="C714" s="5">
        <f>INDEX(플랫폼명범위,E714)</f>
        <v/>
      </c>
      <c r="D714" s="2">
        <f>MOD(INT((A714-1)/4),8)+1</f>
        <v/>
      </c>
      <c r="E714" s="2">
        <f>MOD(A714-1,4)+1</f>
        <v/>
      </c>
      <c r="F714" s="20">
        <f>축시작+INT((A714-1)/32)</f>
        <v/>
      </c>
      <c r="G714" s="20">
        <f>F714+H714</f>
        <v/>
      </c>
      <c r="H714" s="5" t="n">
        <v>1</v>
      </c>
      <c r="I714" s="2">
        <f>ROUND(INDEX(가맹점!$P$2:$P$9,D714)*INDEX(가맹점!$J$2:$M$9,D714,E714),0)</f>
        <v/>
      </c>
      <c r="J714" s="2">
        <f>ROUND(I714*(1-할인율),0)</f>
        <v/>
      </c>
      <c r="K714" s="2">
        <f>ROUNDDOWN(I714*할인율,0)</f>
        <v/>
      </c>
      <c r="L714" s="2">
        <f>ROUND(I714*INDEX(미지급률범위,E714),0)</f>
        <v/>
      </c>
      <c r="M714" s="2">
        <f>ROUND(I714*INDEX(과지급률범위,E714),0)</f>
        <v/>
      </c>
      <c r="N714" s="2">
        <f>MAX(0,L714-M714)</f>
        <v/>
      </c>
      <c r="O714" s="2">
        <f>K714-N714</f>
        <v/>
      </c>
      <c r="P714" s="2">
        <f>I714-N714</f>
        <v/>
      </c>
      <c r="Q714" s="5">
        <f>IF(G714&gt;기준일,1,0)</f>
        <v/>
      </c>
      <c r="R714" s="5">
        <f>IF(G714&lt;=기준일,1,0)</f>
        <v/>
      </c>
      <c r="S714" s="2">
        <f>J714*H714</f>
        <v/>
      </c>
      <c r="T714" s="5">
        <f>IF(AND(F714&gt;=표본시작,F714&lt;=표본종료),1,0)</f>
        <v/>
      </c>
      <c r="U714" s="5">
        <f>IF(AND(G714&gt;=조회시작,G714&lt;=조회종료),1,0)</f>
        <v/>
      </c>
    </row>
    <row r="715">
      <c r="A715" s="2">
        <f>ROW()-1</f>
        <v/>
      </c>
      <c r="B715" s="5">
        <f>INDEX(상호범위,D715)</f>
        <v/>
      </c>
      <c r="C715" s="5">
        <f>INDEX(플랫폼명범위,E715)</f>
        <v/>
      </c>
      <c r="D715" s="2">
        <f>MOD(INT((A715-1)/4),8)+1</f>
        <v/>
      </c>
      <c r="E715" s="2">
        <f>MOD(A715-1,4)+1</f>
        <v/>
      </c>
      <c r="F715" s="20">
        <f>축시작+INT((A715-1)/32)</f>
        <v/>
      </c>
      <c r="G715" s="20">
        <f>F715+H715</f>
        <v/>
      </c>
      <c r="H715" s="5" t="n">
        <v>3</v>
      </c>
      <c r="I715" s="2">
        <f>ROUND(INDEX(가맹점!$P$2:$P$9,D715)*INDEX(가맹점!$J$2:$M$9,D715,E715),0)</f>
        <v/>
      </c>
      <c r="J715" s="2">
        <f>ROUND(I715*(1-할인율),0)</f>
        <v/>
      </c>
      <c r="K715" s="2">
        <f>ROUNDDOWN(I715*할인율,0)</f>
        <v/>
      </c>
      <c r="L715" s="2">
        <f>ROUND(I715*INDEX(미지급률범위,E715),0)</f>
        <v/>
      </c>
      <c r="M715" s="2">
        <f>ROUND(I715*INDEX(과지급률범위,E715),0)</f>
        <v/>
      </c>
      <c r="N715" s="2">
        <f>MAX(0,L715-M715)</f>
        <v/>
      </c>
      <c r="O715" s="2">
        <f>K715-N715</f>
        <v/>
      </c>
      <c r="P715" s="2">
        <f>I715-N715</f>
        <v/>
      </c>
      <c r="Q715" s="5">
        <f>IF(G715&gt;기준일,1,0)</f>
        <v/>
      </c>
      <c r="R715" s="5">
        <f>IF(G715&lt;=기준일,1,0)</f>
        <v/>
      </c>
      <c r="S715" s="2">
        <f>J715*H715</f>
        <v/>
      </c>
      <c r="T715" s="5">
        <f>IF(AND(F715&gt;=표본시작,F715&lt;=표본종료),1,0)</f>
        <v/>
      </c>
      <c r="U715" s="5">
        <f>IF(AND(G715&gt;=조회시작,G715&lt;=조회종료),1,0)</f>
        <v/>
      </c>
    </row>
    <row r="716">
      <c r="A716" s="2">
        <f>ROW()-1</f>
        <v/>
      </c>
      <c r="B716" s="5">
        <f>INDEX(상호범위,D716)</f>
        <v/>
      </c>
      <c r="C716" s="5">
        <f>INDEX(플랫폼명범위,E716)</f>
        <v/>
      </c>
      <c r="D716" s="2">
        <f>MOD(INT((A716-1)/4),8)+1</f>
        <v/>
      </c>
      <c r="E716" s="2">
        <f>MOD(A716-1,4)+1</f>
        <v/>
      </c>
      <c r="F716" s="20">
        <f>축시작+INT((A716-1)/32)</f>
        <v/>
      </c>
      <c r="G716" s="20">
        <f>F716+H716</f>
        <v/>
      </c>
      <c r="H716" s="5" t="n">
        <v>5</v>
      </c>
      <c r="I716" s="2">
        <f>ROUND(INDEX(가맹점!$P$2:$P$9,D716)*INDEX(가맹점!$J$2:$M$9,D716,E716),0)</f>
        <v/>
      </c>
      <c r="J716" s="2">
        <f>ROUND(I716*(1-할인율),0)</f>
        <v/>
      </c>
      <c r="K716" s="2">
        <f>ROUNDDOWN(I716*할인율,0)</f>
        <v/>
      </c>
      <c r="L716" s="2">
        <f>ROUND(I716*INDEX(미지급률범위,E716),0)</f>
        <v/>
      </c>
      <c r="M716" s="2">
        <f>ROUND(I716*INDEX(과지급률범위,E716),0)</f>
        <v/>
      </c>
      <c r="N716" s="2">
        <f>MAX(0,L716-M716)</f>
        <v/>
      </c>
      <c r="O716" s="2">
        <f>K716-N716</f>
        <v/>
      </c>
      <c r="P716" s="2">
        <f>I716-N716</f>
        <v/>
      </c>
      <c r="Q716" s="5">
        <f>IF(G716&gt;기준일,1,0)</f>
        <v/>
      </c>
      <c r="R716" s="5">
        <f>IF(G716&lt;=기준일,1,0)</f>
        <v/>
      </c>
      <c r="S716" s="2">
        <f>J716*H716</f>
        <v/>
      </c>
      <c r="T716" s="5">
        <f>IF(AND(F716&gt;=표본시작,F716&lt;=표본종료),1,0)</f>
        <v/>
      </c>
      <c r="U716" s="5">
        <f>IF(AND(G716&gt;=조회시작,G716&lt;=조회종료),1,0)</f>
        <v/>
      </c>
    </row>
    <row r="717">
      <c r="A717" s="2">
        <f>ROW()-1</f>
        <v/>
      </c>
      <c r="B717" s="5">
        <f>INDEX(상호범위,D717)</f>
        <v/>
      </c>
      <c r="C717" s="5">
        <f>INDEX(플랫폼명범위,E717)</f>
        <v/>
      </c>
      <c r="D717" s="2">
        <f>MOD(INT((A717-1)/4),8)+1</f>
        <v/>
      </c>
      <c r="E717" s="2">
        <f>MOD(A717-1,4)+1</f>
        <v/>
      </c>
      <c r="F717" s="20">
        <f>축시작+INT((A717-1)/32)</f>
        <v/>
      </c>
      <c r="G717" s="20">
        <f>F717+H717</f>
        <v/>
      </c>
      <c r="H717" s="5" t="n">
        <v>6</v>
      </c>
      <c r="I717" s="2">
        <f>ROUND(INDEX(가맹점!$P$2:$P$9,D717)*INDEX(가맹점!$J$2:$M$9,D717,E717),0)</f>
        <v/>
      </c>
      <c r="J717" s="2">
        <f>ROUND(I717*(1-할인율),0)</f>
        <v/>
      </c>
      <c r="K717" s="2">
        <f>ROUNDDOWN(I717*할인율,0)</f>
        <v/>
      </c>
      <c r="L717" s="2">
        <f>ROUND(I717*INDEX(미지급률범위,E717),0)</f>
        <v/>
      </c>
      <c r="M717" s="2">
        <f>ROUND(I717*INDEX(과지급률범위,E717),0)</f>
        <v/>
      </c>
      <c r="N717" s="2">
        <f>MAX(0,L717-M717)</f>
        <v/>
      </c>
      <c r="O717" s="2">
        <f>K717-N717</f>
        <v/>
      </c>
      <c r="P717" s="2">
        <f>I717-N717</f>
        <v/>
      </c>
      <c r="Q717" s="5">
        <f>IF(G717&gt;기준일,1,0)</f>
        <v/>
      </c>
      <c r="R717" s="5">
        <f>IF(G717&lt;=기준일,1,0)</f>
        <v/>
      </c>
      <c r="S717" s="2">
        <f>J717*H717</f>
        <v/>
      </c>
      <c r="T717" s="5">
        <f>IF(AND(F717&gt;=표본시작,F717&lt;=표본종료),1,0)</f>
        <v/>
      </c>
      <c r="U717" s="5">
        <f>IF(AND(G717&gt;=조회시작,G717&lt;=조회종료),1,0)</f>
        <v/>
      </c>
    </row>
    <row r="718">
      <c r="A718" s="2">
        <f>ROW()-1</f>
        <v/>
      </c>
      <c r="B718" s="5">
        <f>INDEX(상호범위,D718)</f>
        <v/>
      </c>
      <c r="C718" s="5">
        <f>INDEX(플랫폼명범위,E718)</f>
        <v/>
      </c>
      <c r="D718" s="2">
        <f>MOD(INT((A718-1)/4),8)+1</f>
        <v/>
      </c>
      <c r="E718" s="2">
        <f>MOD(A718-1,4)+1</f>
        <v/>
      </c>
      <c r="F718" s="20">
        <f>축시작+INT((A718-1)/32)</f>
        <v/>
      </c>
      <c r="G718" s="20">
        <f>F718+H718</f>
        <v/>
      </c>
      <c r="H718" s="5" t="n">
        <v>6</v>
      </c>
      <c r="I718" s="2">
        <f>ROUND(INDEX(가맹점!$P$2:$P$9,D718)*INDEX(가맹점!$J$2:$M$9,D718,E718),0)</f>
        <v/>
      </c>
      <c r="J718" s="2">
        <f>ROUND(I718*(1-할인율),0)</f>
        <v/>
      </c>
      <c r="K718" s="2">
        <f>ROUNDDOWN(I718*할인율,0)</f>
        <v/>
      </c>
      <c r="L718" s="2">
        <f>ROUND(I718*INDEX(미지급률범위,E718),0)</f>
        <v/>
      </c>
      <c r="M718" s="2">
        <f>ROUND(I718*INDEX(과지급률범위,E718),0)</f>
        <v/>
      </c>
      <c r="N718" s="2">
        <f>MAX(0,L718-M718)</f>
        <v/>
      </c>
      <c r="O718" s="2">
        <f>K718-N718</f>
        <v/>
      </c>
      <c r="P718" s="2">
        <f>I718-N718</f>
        <v/>
      </c>
      <c r="Q718" s="5">
        <f>IF(G718&gt;기준일,1,0)</f>
        <v/>
      </c>
      <c r="R718" s="5">
        <f>IF(G718&lt;=기준일,1,0)</f>
        <v/>
      </c>
      <c r="S718" s="2">
        <f>J718*H718</f>
        <v/>
      </c>
      <c r="T718" s="5">
        <f>IF(AND(F718&gt;=표본시작,F718&lt;=표본종료),1,0)</f>
        <v/>
      </c>
      <c r="U718" s="5">
        <f>IF(AND(G718&gt;=조회시작,G718&lt;=조회종료),1,0)</f>
        <v/>
      </c>
    </row>
    <row r="719">
      <c r="A719" s="2">
        <f>ROW()-1</f>
        <v/>
      </c>
      <c r="B719" s="5">
        <f>INDEX(상호범위,D719)</f>
        <v/>
      </c>
      <c r="C719" s="5">
        <f>INDEX(플랫폼명범위,E719)</f>
        <v/>
      </c>
      <c r="D719" s="2">
        <f>MOD(INT((A719-1)/4),8)+1</f>
        <v/>
      </c>
      <c r="E719" s="2">
        <f>MOD(A719-1,4)+1</f>
        <v/>
      </c>
      <c r="F719" s="20">
        <f>축시작+INT((A719-1)/32)</f>
        <v/>
      </c>
      <c r="G719" s="20">
        <f>F719+H719</f>
        <v/>
      </c>
      <c r="H719" s="5" t="n">
        <v>2</v>
      </c>
      <c r="I719" s="2">
        <f>ROUND(INDEX(가맹점!$P$2:$P$9,D719)*INDEX(가맹점!$J$2:$M$9,D719,E719),0)</f>
        <v/>
      </c>
      <c r="J719" s="2">
        <f>ROUND(I719*(1-할인율),0)</f>
        <v/>
      </c>
      <c r="K719" s="2">
        <f>ROUNDDOWN(I719*할인율,0)</f>
        <v/>
      </c>
      <c r="L719" s="2">
        <f>ROUND(I719*INDEX(미지급률범위,E719),0)</f>
        <v/>
      </c>
      <c r="M719" s="2">
        <f>ROUND(I719*INDEX(과지급률범위,E719),0)</f>
        <v/>
      </c>
      <c r="N719" s="2">
        <f>MAX(0,L719-M719)</f>
        <v/>
      </c>
      <c r="O719" s="2">
        <f>K719-N719</f>
        <v/>
      </c>
      <c r="P719" s="2">
        <f>I719-N719</f>
        <v/>
      </c>
      <c r="Q719" s="5">
        <f>IF(G719&gt;기준일,1,0)</f>
        <v/>
      </c>
      <c r="R719" s="5">
        <f>IF(G719&lt;=기준일,1,0)</f>
        <v/>
      </c>
      <c r="S719" s="2">
        <f>J719*H719</f>
        <v/>
      </c>
      <c r="T719" s="5">
        <f>IF(AND(F719&gt;=표본시작,F719&lt;=표본종료),1,0)</f>
        <v/>
      </c>
      <c r="U719" s="5">
        <f>IF(AND(G719&gt;=조회시작,G719&lt;=조회종료),1,0)</f>
        <v/>
      </c>
    </row>
    <row r="720">
      <c r="A720" s="2">
        <f>ROW()-1</f>
        <v/>
      </c>
      <c r="B720" s="5">
        <f>INDEX(상호범위,D720)</f>
        <v/>
      </c>
      <c r="C720" s="5">
        <f>INDEX(플랫폼명범위,E720)</f>
        <v/>
      </c>
      <c r="D720" s="2">
        <f>MOD(INT((A720-1)/4),8)+1</f>
        <v/>
      </c>
      <c r="E720" s="2">
        <f>MOD(A720-1,4)+1</f>
        <v/>
      </c>
      <c r="F720" s="20">
        <f>축시작+INT((A720-1)/32)</f>
        <v/>
      </c>
      <c r="G720" s="20">
        <f>F720+H720</f>
        <v/>
      </c>
      <c r="H720" s="5" t="n">
        <v>4</v>
      </c>
      <c r="I720" s="2">
        <f>ROUND(INDEX(가맹점!$P$2:$P$9,D720)*INDEX(가맹점!$J$2:$M$9,D720,E720),0)</f>
        <v/>
      </c>
      <c r="J720" s="2">
        <f>ROUND(I720*(1-할인율),0)</f>
        <v/>
      </c>
      <c r="K720" s="2">
        <f>ROUNDDOWN(I720*할인율,0)</f>
        <v/>
      </c>
      <c r="L720" s="2">
        <f>ROUND(I720*INDEX(미지급률범위,E720),0)</f>
        <v/>
      </c>
      <c r="M720" s="2">
        <f>ROUND(I720*INDEX(과지급률범위,E720),0)</f>
        <v/>
      </c>
      <c r="N720" s="2">
        <f>MAX(0,L720-M720)</f>
        <v/>
      </c>
      <c r="O720" s="2">
        <f>K720-N720</f>
        <v/>
      </c>
      <c r="P720" s="2">
        <f>I720-N720</f>
        <v/>
      </c>
      <c r="Q720" s="5">
        <f>IF(G720&gt;기준일,1,0)</f>
        <v/>
      </c>
      <c r="R720" s="5">
        <f>IF(G720&lt;=기준일,1,0)</f>
        <v/>
      </c>
      <c r="S720" s="2">
        <f>J720*H720</f>
        <v/>
      </c>
      <c r="T720" s="5">
        <f>IF(AND(F720&gt;=표본시작,F720&lt;=표본종료),1,0)</f>
        <v/>
      </c>
      <c r="U720" s="5">
        <f>IF(AND(G720&gt;=조회시작,G720&lt;=조회종료),1,0)</f>
        <v/>
      </c>
    </row>
    <row r="721">
      <c r="A721" s="2">
        <f>ROW()-1</f>
        <v/>
      </c>
      <c r="B721" s="5">
        <f>INDEX(상호범위,D721)</f>
        <v/>
      </c>
      <c r="C721" s="5">
        <f>INDEX(플랫폼명범위,E721)</f>
        <v/>
      </c>
      <c r="D721" s="2">
        <f>MOD(INT((A721-1)/4),8)+1</f>
        <v/>
      </c>
      <c r="E721" s="2">
        <f>MOD(A721-1,4)+1</f>
        <v/>
      </c>
      <c r="F721" s="20">
        <f>축시작+INT((A721-1)/32)</f>
        <v/>
      </c>
      <c r="G721" s="20">
        <f>F721+H721</f>
        <v/>
      </c>
      <c r="H721" s="5" t="n">
        <v>6</v>
      </c>
      <c r="I721" s="2">
        <f>ROUND(INDEX(가맹점!$P$2:$P$9,D721)*INDEX(가맹점!$J$2:$M$9,D721,E721),0)</f>
        <v/>
      </c>
      <c r="J721" s="2">
        <f>ROUND(I721*(1-할인율),0)</f>
        <v/>
      </c>
      <c r="K721" s="2">
        <f>ROUNDDOWN(I721*할인율,0)</f>
        <v/>
      </c>
      <c r="L721" s="2">
        <f>ROUND(I721*INDEX(미지급률범위,E721),0)</f>
        <v/>
      </c>
      <c r="M721" s="2">
        <f>ROUND(I721*INDEX(과지급률범위,E721),0)</f>
        <v/>
      </c>
      <c r="N721" s="2">
        <f>MAX(0,L721-M721)</f>
        <v/>
      </c>
      <c r="O721" s="2">
        <f>K721-N721</f>
        <v/>
      </c>
      <c r="P721" s="2">
        <f>I721-N721</f>
        <v/>
      </c>
      <c r="Q721" s="5">
        <f>IF(G721&gt;기준일,1,0)</f>
        <v/>
      </c>
      <c r="R721" s="5">
        <f>IF(G721&lt;=기준일,1,0)</f>
        <v/>
      </c>
      <c r="S721" s="2">
        <f>J721*H721</f>
        <v/>
      </c>
      <c r="T721" s="5">
        <f>IF(AND(F721&gt;=표본시작,F721&lt;=표본종료),1,0)</f>
        <v/>
      </c>
      <c r="U721" s="5">
        <f>IF(AND(G721&gt;=조회시작,G721&lt;=조회종료),1,0)</f>
        <v/>
      </c>
    </row>
    <row r="722">
      <c r="A722" s="2">
        <f>ROW()-1</f>
        <v/>
      </c>
      <c r="B722" s="5">
        <f>INDEX(상호범위,D722)</f>
        <v/>
      </c>
      <c r="C722" s="5">
        <f>INDEX(플랫폼명범위,E722)</f>
        <v/>
      </c>
      <c r="D722" s="2">
        <f>MOD(INT((A722-1)/4),8)+1</f>
        <v/>
      </c>
      <c r="E722" s="2">
        <f>MOD(A722-1,4)+1</f>
        <v/>
      </c>
      <c r="F722" s="20">
        <f>축시작+INT((A722-1)/32)</f>
        <v/>
      </c>
      <c r="G722" s="20">
        <f>F722+H722</f>
        <v/>
      </c>
      <c r="H722" s="5" t="n">
        <v>1</v>
      </c>
      <c r="I722" s="2">
        <f>ROUND(INDEX(가맹점!$P$2:$P$9,D722)*INDEX(가맹점!$J$2:$M$9,D722,E722),0)</f>
        <v/>
      </c>
      <c r="J722" s="2">
        <f>ROUND(I722*(1-할인율),0)</f>
        <v/>
      </c>
      <c r="K722" s="2">
        <f>ROUNDDOWN(I722*할인율,0)</f>
        <v/>
      </c>
      <c r="L722" s="2">
        <f>ROUND(I722*INDEX(미지급률범위,E722),0)</f>
        <v/>
      </c>
      <c r="M722" s="2">
        <f>ROUND(I722*INDEX(과지급률범위,E722),0)</f>
        <v/>
      </c>
      <c r="N722" s="2">
        <f>MAX(0,L722-M722)</f>
        <v/>
      </c>
      <c r="O722" s="2">
        <f>K722-N722</f>
        <v/>
      </c>
      <c r="P722" s="2">
        <f>I722-N722</f>
        <v/>
      </c>
      <c r="Q722" s="5">
        <f>IF(G722&gt;기준일,1,0)</f>
        <v/>
      </c>
      <c r="R722" s="5">
        <f>IF(G722&lt;=기준일,1,0)</f>
        <v/>
      </c>
      <c r="S722" s="2">
        <f>J722*H722</f>
        <v/>
      </c>
      <c r="T722" s="5">
        <f>IF(AND(F722&gt;=표본시작,F722&lt;=표본종료),1,0)</f>
        <v/>
      </c>
      <c r="U722" s="5">
        <f>IF(AND(G722&gt;=조회시작,G722&lt;=조회종료),1,0)</f>
        <v/>
      </c>
    </row>
    <row r="723">
      <c r="A723" s="2">
        <f>ROW()-1</f>
        <v/>
      </c>
      <c r="B723" s="5">
        <f>INDEX(상호범위,D723)</f>
        <v/>
      </c>
      <c r="C723" s="5">
        <f>INDEX(플랫폼명범위,E723)</f>
        <v/>
      </c>
      <c r="D723" s="2">
        <f>MOD(INT((A723-1)/4),8)+1</f>
        <v/>
      </c>
      <c r="E723" s="2">
        <f>MOD(A723-1,4)+1</f>
        <v/>
      </c>
      <c r="F723" s="20">
        <f>축시작+INT((A723-1)/32)</f>
        <v/>
      </c>
      <c r="G723" s="20">
        <f>F723+H723</f>
        <v/>
      </c>
      <c r="H723" s="5" t="n">
        <v>2</v>
      </c>
      <c r="I723" s="2">
        <f>ROUND(INDEX(가맹점!$P$2:$P$9,D723)*INDEX(가맹점!$J$2:$M$9,D723,E723),0)</f>
        <v/>
      </c>
      <c r="J723" s="2">
        <f>ROUND(I723*(1-할인율),0)</f>
        <v/>
      </c>
      <c r="K723" s="2">
        <f>ROUNDDOWN(I723*할인율,0)</f>
        <v/>
      </c>
      <c r="L723" s="2">
        <f>ROUND(I723*INDEX(미지급률범위,E723),0)</f>
        <v/>
      </c>
      <c r="M723" s="2">
        <f>ROUND(I723*INDEX(과지급률범위,E723),0)</f>
        <v/>
      </c>
      <c r="N723" s="2">
        <f>MAX(0,L723-M723)</f>
        <v/>
      </c>
      <c r="O723" s="2">
        <f>K723-N723</f>
        <v/>
      </c>
      <c r="P723" s="2">
        <f>I723-N723</f>
        <v/>
      </c>
      <c r="Q723" s="5">
        <f>IF(G723&gt;기준일,1,0)</f>
        <v/>
      </c>
      <c r="R723" s="5">
        <f>IF(G723&lt;=기준일,1,0)</f>
        <v/>
      </c>
      <c r="S723" s="2">
        <f>J723*H723</f>
        <v/>
      </c>
      <c r="T723" s="5">
        <f>IF(AND(F723&gt;=표본시작,F723&lt;=표본종료),1,0)</f>
        <v/>
      </c>
      <c r="U723" s="5">
        <f>IF(AND(G723&gt;=조회시작,G723&lt;=조회종료),1,0)</f>
        <v/>
      </c>
    </row>
    <row r="724">
      <c r="A724" s="2">
        <f>ROW()-1</f>
        <v/>
      </c>
      <c r="B724" s="5">
        <f>INDEX(상호범위,D724)</f>
        <v/>
      </c>
      <c r="C724" s="5">
        <f>INDEX(플랫폼명범위,E724)</f>
        <v/>
      </c>
      <c r="D724" s="2">
        <f>MOD(INT((A724-1)/4),8)+1</f>
        <v/>
      </c>
      <c r="E724" s="2">
        <f>MOD(A724-1,4)+1</f>
        <v/>
      </c>
      <c r="F724" s="20">
        <f>축시작+INT((A724-1)/32)</f>
        <v/>
      </c>
      <c r="G724" s="20">
        <f>F724+H724</f>
        <v/>
      </c>
      <c r="H724" s="5" t="n">
        <v>4</v>
      </c>
      <c r="I724" s="2">
        <f>ROUND(INDEX(가맹점!$P$2:$P$9,D724)*INDEX(가맹점!$J$2:$M$9,D724,E724),0)</f>
        <v/>
      </c>
      <c r="J724" s="2">
        <f>ROUND(I724*(1-할인율),0)</f>
        <v/>
      </c>
      <c r="K724" s="2">
        <f>ROUNDDOWN(I724*할인율,0)</f>
        <v/>
      </c>
      <c r="L724" s="2">
        <f>ROUND(I724*INDEX(미지급률범위,E724),0)</f>
        <v/>
      </c>
      <c r="M724" s="2">
        <f>ROUND(I724*INDEX(과지급률범위,E724),0)</f>
        <v/>
      </c>
      <c r="N724" s="2">
        <f>MAX(0,L724-M724)</f>
        <v/>
      </c>
      <c r="O724" s="2">
        <f>K724-N724</f>
        <v/>
      </c>
      <c r="P724" s="2">
        <f>I724-N724</f>
        <v/>
      </c>
      <c r="Q724" s="5">
        <f>IF(G724&gt;기준일,1,0)</f>
        <v/>
      </c>
      <c r="R724" s="5">
        <f>IF(G724&lt;=기준일,1,0)</f>
        <v/>
      </c>
      <c r="S724" s="2">
        <f>J724*H724</f>
        <v/>
      </c>
      <c r="T724" s="5">
        <f>IF(AND(F724&gt;=표본시작,F724&lt;=표본종료),1,0)</f>
        <v/>
      </c>
      <c r="U724" s="5">
        <f>IF(AND(G724&gt;=조회시작,G724&lt;=조회종료),1,0)</f>
        <v/>
      </c>
    </row>
    <row r="725">
      <c r="A725" s="2">
        <f>ROW()-1</f>
        <v/>
      </c>
      <c r="B725" s="5">
        <f>INDEX(상호범위,D725)</f>
        <v/>
      </c>
      <c r="C725" s="5">
        <f>INDEX(플랫폼명범위,E725)</f>
        <v/>
      </c>
      <c r="D725" s="2">
        <f>MOD(INT((A725-1)/4),8)+1</f>
        <v/>
      </c>
      <c r="E725" s="2">
        <f>MOD(A725-1,4)+1</f>
        <v/>
      </c>
      <c r="F725" s="20">
        <f>축시작+INT((A725-1)/32)</f>
        <v/>
      </c>
      <c r="G725" s="20">
        <f>F725+H725</f>
        <v/>
      </c>
      <c r="H725" s="5" t="n">
        <v>6</v>
      </c>
      <c r="I725" s="2">
        <f>ROUND(INDEX(가맹점!$P$2:$P$9,D725)*INDEX(가맹점!$J$2:$M$9,D725,E725),0)</f>
        <v/>
      </c>
      <c r="J725" s="2">
        <f>ROUND(I725*(1-할인율),0)</f>
        <v/>
      </c>
      <c r="K725" s="2">
        <f>ROUNDDOWN(I725*할인율,0)</f>
        <v/>
      </c>
      <c r="L725" s="2">
        <f>ROUND(I725*INDEX(미지급률범위,E725),0)</f>
        <v/>
      </c>
      <c r="M725" s="2">
        <f>ROUND(I725*INDEX(과지급률범위,E725),0)</f>
        <v/>
      </c>
      <c r="N725" s="2">
        <f>MAX(0,L725-M725)</f>
        <v/>
      </c>
      <c r="O725" s="2">
        <f>K725-N725</f>
        <v/>
      </c>
      <c r="P725" s="2">
        <f>I725-N725</f>
        <v/>
      </c>
      <c r="Q725" s="5">
        <f>IF(G725&gt;기준일,1,0)</f>
        <v/>
      </c>
      <c r="R725" s="5">
        <f>IF(G725&lt;=기준일,1,0)</f>
        <v/>
      </c>
      <c r="S725" s="2">
        <f>J725*H725</f>
        <v/>
      </c>
      <c r="T725" s="5">
        <f>IF(AND(F725&gt;=표본시작,F725&lt;=표본종료),1,0)</f>
        <v/>
      </c>
      <c r="U725" s="5">
        <f>IF(AND(G725&gt;=조회시작,G725&lt;=조회종료),1,0)</f>
        <v/>
      </c>
    </row>
    <row r="726">
      <c r="A726" s="2">
        <f>ROW()-1</f>
        <v/>
      </c>
      <c r="B726" s="5">
        <f>INDEX(상호범위,D726)</f>
        <v/>
      </c>
      <c r="C726" s="5">
        <f>INDEX(플랫폼명범위,E726)</f>
        <v/>
      </c>
      <c r="D726" s="2">
        <f>MOD(INT((A726-1)/4),8)+1</f>
        <v/>
      </c>
      <c r="E726" s="2">
        <f>MOD(A726-1,4)+1</f>
        <v/>
      </c>
      <c r="F726" s="20">
        <f>축시작+INT((A726-1)/32)</f>
        <v/>
      </c>
      <c r="G726" s="20">
        <f>F726+H726</f>
        <v/>
      </c>
      <c r="H726" s="5" t="n">
        <v>1</v>
      </c>
      <c r="I726" s="2">
        <f>ROUND(INDEX(가맹점!$P$2:$P$9,D726)*INDEX(가맹점!$J$2:$M$9,D726,E726),0)</f>
        <v/>
      </c>
      <c r="J726" s="2">
        <f>ROUND(I726*(1-할인율),0)</f>
        <v/>
      </c>
      <c r="K726" s="2">
        <f>ROUNDDOWN(I726*할인율,0)</f>
        <v/>
      </c>
      <c r="L726" s="2">
        <f>ROUND(I726*INDEX(미지급률범위,E726),0)</f>
        <v/>
      </c>
      <c r="M726" s="2">
        <f>ROUND(I726*INDEX(과지급률범위,E726),0)</f>
        <v/>
      </c>
      <c r="N726" s="2">
        <f>MAX(0,L726-M726)</f>
        <v/>
      </c>
      <c r="O726" s="2">
        <f>K726-N726</f>
        <v/>
      </c>
      <c r="P726" s="2">
        <f>I726-N726</f>
        <v/>
      </c>
      <c r="Q726" s="5">
        <f>IF(G726&gt;기준일,1,0)</f>
        <v/>
      </c>
      <c r="R726" s="5">
        <f>IF(G726&lt;=기준일,1,0)</f>
        <v/>
      </c>
      <c r="S726" s="2">
        <f>J726*H726</f>
        <v/>
      </c>
      <c r="T726" s="5">
        <f>IF(AND(F726&gt;=표본시작,F726&lt;=표본종료),1,0)</f>
        <v/>
      </c>
      <c r="U726" s="5">
        <f>IF(AND(G726&gt;=조회시작,G726&lt;=조회종료),1,0)</f>
        <v/>
      </c>
    </row>
    <row r="727">
      <c r="A727" s="2">
        <f>ROW()-1</f>
        <v/>
      </c>
      <c r="B727" s="5">
        <f>INDEX(상호범위,D727)</f>
        <v/>
      </c>
      <c r="C727" s="5">
        <f>INDEX(플랫폼명범위,E727)</f>
        <v/>
      </c>
      <c r="D727" s="2">
        <f>MOD(INT((A727-1)/4),8)+1</f>
        <v/>
      </c>
      <c r="E727" s="2">
        <f>MOD(A727-1,4)+1</f>
        <v/>
      </c>
      <c r="F727" s="20">
        <f>축시작+INT((A727-1)/32)</f>
        <v/>
      </c>
      <c r="G727" s="20">
        <f>F727+H727</f>
        <v/>
      </c>
      <c r="H727" s="5" t="n">
        <v>2</v>
      </c>
      <c r="I727" s="2">
        <f>ROUND(INDEX(가맹점!$P$2:$P$9,D727)*INDEX(가맹점!$J$2:$M$9,D727,E727),0)</f>
        <v/>
      </c>
      <c r="J727" s="2">
        <f>ROUND(I727*(1-할인율),0)</f>
        <v/>
      </c>
      <c r="K727" s="2">
        <f>ROUNDDOWN(I727*할인율,0)</f>
        <v/>
      </c>
      <c r="L727" s="2">
        <f>ROUND(I727*INDEX(미지급률범위,E727),0)</f>
        <v/>
      </c>
      <c r="M727" s="2">
        <f>ROUND(I727*INDEX(과지급률범위,E727),0)</f>
        <v/>
      </c>
      <c r="N727" s="2">
        <f>MAX(0,L727-M727)</f>
        <v/>
      </c>
      <c r="O727" s="2">
        <f>K727-N727</f>
        <v/>
      </c>
      <c r="P727" s="2">
        <f>I727-N727</f>
        <v/>
      </c>
      <c r="Q727" s="5">
        <f>IF(G727&gt;기준일,1,0)</f>
        <v/>
      </c>
      <c r="R727" s="5">
        <f>IF(G727&lt;=기준일,1,0)</f>
        <v/>
      </c>
      <c r="S727" s="2">
        <f>J727*H727</f>
        <v/>
      </c>
      <c r="T727" s="5">
        <f>IF(AND(F727&gt;=표본시작,F727&lt;=표본종료),1,0)</f>
        <v/>
      </c>
      <c r="U727" s="5">
        <f>IF(AND(G727&gt;=조회시작,G727&lt;=조회종료),1,0)</f>
        <v/>
      </c>
    </row>
    <row r="728">
      <c r="A728" s="2">
        <f>ROW()-1</f>
        <v/>
      </c>
      <c r="B728" s="5">
        <f>INDEX(상호범위,D728)</f>
        <v/>
      </c>
      <c r="C728" s="5">
        <f>INDEX(플랫폼명범위,E728)</f>
        <v/>
      </c>
      <c r="D728" s="2">
        <f>MOD(INT((A728-1)/4),8)+1</f>
        <v/>
      </c>
      <c r="E728" s="2">
        <f>MOD(A728-1,4)+1</f>
        <v/>
      </c>
      <c r="F728" s="20">
        <f>축시작+INT((A728-1)/32)</f>
        <v/>
      </c>
      <c r="G728" s="20">
        <f>F728+H728</f>
        <v/>
      </c>
      <c r="H728" s="5" t="n">
        <v>5</v>
      </c>
      <c r="I728" s="2">
        <f>ROUND(INDEX(가맹점!$P$2:$P$9,D728)*INDEX(가맹점!$J$2:$M$9,D728,E728),0)</f>
        <v/>
      </c>
      <c r="J728" s="2">
        <f>ROUND(I728*(1-할인율),0)</f>
        <v/>
      </c>
      <c r="K728" s="2">
        <f>ROUNDDOWN(I728*할인율,0)</f>
        <v/>
      </c>
      <c r="L728" s="2">
        <f>ROUND(I728*INDEX(미지급률범위,E728),0)</f>
        <v/>
      </c>
      <c r="M728" s="2">
        <f>ROUND(I728*INDEX(과지급률범위,E728),0)</f>
        <v/>
      </c>
      <c r="N728" s="2">
        <f>MAX(0,L728-M728)</f>
        <v/>
      </c>
      <c r="O728" s="2">
        <f>K728-N728</f>
        <v/>
      </c>
      <c r="P728" s="2">
        <f>I728-N728</f>
        <v/>
      </c>
      <c r="Q728" s="5">
        <f>IF(G728&gt;기준일,1,0)</f>
        <v/>
      </c>
      <c r="R728" s="5">
        <f>IF(G728&lt;=기준일,1,0)</f>
        <v/>
      </c>
      <c r="S728" s="2">
        <f>J728*H728</f>
        <v/>
      </c>
      <c r="T728" s="5">
        <f>IF(AND(F728&gt;=표본시작,F728&lt;=표본종료),1,0)</f>
        <v/>
      </c>
      <c r="U728" s="5">
        <f>IF(AND(G728&gt;=조회시작,G728&lt;=조회종료),1,0)</f>
        <v/>
      </c>
    </row>
    <row r="729">
      <c r="A729" s="2">
        <f>ROW()-1</f>
        <v/>
      </c>
      <c r="B729" s="5">
        <f>INDEX(상호범위,D729)</f>
        <v/>
      </c>
      <c r="C729" s="5">
        <f>INDEX(플랫폼명범위,E729)</f>
        <v/>
      </c>
      <c r="D729" s="2">
        <f>MOD(INT((A729-1)/4),8)+1</f>
        <v/>
      </c>
      <c r="E729" s="2">
        <f>MOD(A729-1,4)+1</f>
        <v/>
      </c>
      <c r="F729" s="20">
        <f>축시작+INT((A729-1)/32)</f>
        <v/>
      </c>
      <c r="G729" s="20">
        <f>F729+H729</f>
        <v/>
      </c>
      <c r="H729" s="5" t="n">
        <v>6</v>
      </c>
      <c r="I729" s="2">
        <f>ROUND(INDEX(가맹점!$P$2:$P$9,D729)*INDEX(가맹점!$J$2:$M$9,D729,E729),0)</f>
        <v/>
      </c>
      <c r="J729" s="2">
        <f>ROUND(I729*(1-할인율),0)</f>
        <v/>
      </c>
      <c r="K729" s="2">
        <f>ROUNDDOWN(I729*할인율,0)</f>
        <v/>
      </c>
      <c r="L729" s="2">
        <f>ROUND(I729*INDEX(미지급률범위,E729),0)</f>
        <v/>
      </c>
      <c r="M729" s="2">
        <f>ROUND(I729*INDEX(과지급률범위,E729),0)</f>
        <v/>
      </c>
      <c r="N729" s="2">
        <f>MAX(0,L729-M729)</f>
        <v/>
      </c>
      <c r="O729" s="2">
        <f>K729-N729</f>
        <v/>
      </c>
      <c r="P729" s="2">
        <f>I729-N729</f>
        <v/>
      </c>
      <c r="Q729" s="5">
        <f>IF(G729&gt;기준일,1,0)</f>
        <v/>
      </c>
      <c r="R729" s="5">
        <f>IF(G729&lt;=기준일,1,0)</f>
        <v/>
      </c>
      <c r="S729" s="2">
        <f>J729*H729</f>
        <v/>
      </c>
      <c r="T729" s="5">
        <f>IF(AND(F729&gt;=표본시작,F729&lt;=표본종료),1,0)</f>
        <v/>
      </c>
      <c r="U729" s="5">
        <f>IF(AND(G729&gt;=조회시작,G729&lt;=조회종료),1,0)</f>
        <v/>
      </c>
    </row>
    <row r="730">
      <c r="A730" s="2">
        <f>ROW()-1</f>
        <v/>
      </c>
      <c r="B730" s="5">
        <f>INDEX(상호범위,D730)</f>
        <v/>
      </c>
      <c r="C730" s="5">
        <f>INDEX(플랫폼명범위,E730)</f>
        <v/>
      </c>
      <c r="D730" s="2">
        <f>MOD(INT((A730-1)/4),8)+1</f>
        <v/>
      </c>
      <c r="E730" s="2">
        <f>MOD(A730-1,4)+1</f>
        <v/>
      </c>
      <c r="F730" s="20">
        <f>축시작+INT((A730-1)/32)</f>
        <v/>
      </c>
      <c r="G730" s="20">
        <f>F730+H730</f>
        <v/>
      </c>
      <c r="H730" s="5" t="n">
        <v>6</v>
      </c>
      <c r="I730" s="2">
        <f>ROUND(INDEX(가맹점!$P$2:$P$9,D730)*INDEX(가맹점!$J$2:$M$9,D730,E730),0)</f>
        <v/>
      </c>
      <c r="J730" s="2">
        <f>ROUND(I730*(1-할인율),0)</f>
        <v/>
      </c>
      <c r="K730" s="2">
        <f>ROUNDDOWN(I730*할인율,0)</f>
        <v/>
      </c>
      <c r="L730" s="2">
        <f>ROUND(I730*INDEX(미지급률범위,E730),0)</f>
        <v/>
      </c>
      <c r="M730" s="2">
        <f>ROUND(I730*INDEX(과지급률범위,E730),0)</f>
        <v/>
      </c>
      <c r="N730" s="2">
        <f>MAX(0,L730-M730)</f>
        <v/>
      </c>
      <c r="O730" s="2">
        <f>K730-N730</f>
        <v/>
      </c>
      <c r="P730" s="2">
        <f>I730-N730</f>
        <v/>
      </c>
      <c r="Q730" s="5">
        <f>IF(G730&gt;기준일,1,0)</f>
        <v/>
      </c>
      <c r="R730" s="5">
        <f>IF(G730&lt;=기준일,1,0)</f>
        <v/>
      </c>
      <c r="S730" s="2">
        <f>J730*H730</f>
        <v/>
      </c>
      <c r="T730" s="5">
        <f>IF(AND(F730&gt;=표본시작,F730&lt;=표본종료),1,0)</f>
        <v/>
      </c>
      <c r="U730" s="5">
        <f>IF(AND(G730&gt;=조회시작,G730&lt;=조회종료),1,0)</f>
        <v/>
      </c>
    </row>
    <row r="731">
      <c r="A731" s="2">
        <f>ROW()-1</f>
        <v/>
      </c>
      <c r="B731" s="5">
        <f>INDEX(상호범위,D731)</f>
        <v/>
      </c>
      <c r="C731" s="5">
        <f>INDEX(플랫폼명범위,E731)</f>
        <v/>
      </c>
      <c r="D731" s="2">
        <f>MOD(INT((A731-1)/4),8)+1</f>
        <v/>
      </c>
      <c r="E731" s="2">
        <f>MOD(A731-1,4)+1</f>
        <v/>
      </c>
      <c r="F731" s="20">
        <f>축시작+INT((A731-1)/32)</f>
        <v/>
      </c>
      <c r="G731" s="20">
        <f>F731+H731</f>
        <v/>
      </c>
      <c r="H731" s="5" t="n">
        <v>6</v>
      </c>
      <c r="I731" s="2">
        <f>ROUND(INDEX(가맹점!$P$2:$P$9,D731)*INDEX(가맹점!$J$2:$M$9,D731,E731),0)</f>
        <v/>
      </c>
      <c r="J731" s="2">
        <f>ROUND(I731*(1-할인율),0)</f>
        <v/>
      </c>
      <c r="K731" s="2">
        <f>ROUNDDOWN(I731*할인율,0)</f>
        <v/>
      </c>
      <c r="L731" s="2">
        <f>ROUND(I731*INDEX(미지급률범위,E731),0)</f>
        <v/>
      </c>
      <c r="M731" s="2">
        <f>ROUND(I731*INDEX(과지급률범위,E731),0)</f>
        <v/>
      </c>
      <c r="N731" s="2">
        <f>MAX(0,L731-M731)</f>
        <v/>
      </c>
      <c r="O731" s="2">
        <f>K731-N731</f>
        <v/>
      </c>
      <c r="P731" s="2">
        <f>I731-N731</f>
        <v/>
      </c>
      <c r="Q731" s="5">
        <f>IF(G731&gt;기준일,1,0)</f>
        <v/>
      </c>
      <c r="R731" s="5">
        <f>IF(G731&lt;=기준일,1,0)</f>
        <v/>
      </c>
      <c r="S731" s="2">
        <f>J731*H731</f>
        <v/>
      </c>
      <c r="T731" s="5">
        <f>IF(AND(F731&gt;=표본시작,F731&lt;=표본종료),1,0)</f>
        <v/>
      </c>
      <c r="U731" s="5">
        <f>IF(AND(G731&gt;=조회시작,G731&lt;=조회종료),1,0)</f>
        <v/>
      </c>
    </row>
    <row r="732">
      <c r="A732" s="2">
        <f>ROW()-1</f>
        <v/>
      </c>
      <c r="B732" s="5">
        <f>INDEX(상호범위,D732)</f>
        <v/>
      </c>
      <c r="C732" s="5">
        <f>INDEX(플랫폼명범위,E732)</f>
        <v/>
      </c>
      <c r="D732" s="2">
        <f>MOD(INT((A732-1)/4),8)+1</f>
        <v/>
      </c>
      <c r="E732" s="2">
        <f>MOD(A732-1,4)+1</f>
        <v/>
      </c>
      <c r="F732" s="20">
        <f>축시작+INT((A732-1)/32)</f>
        <v/>
      </c>
      <c r="G732" s="20">
        <f>F732+H732</f>
        <v/>
      </c>
      <c r="H732" s="5" t="n">
        <v>5</v>
      </c>
      <c r="I732" s="2">
        <f>ROUND(INDEX(가맹점!$P$2:$P$9,D732)*INDEX(가맹점!$J$2:$M$9,D732,E732),0)</f>
        <v/>
      </c>
      <c r="J732" s="2">
        <f>ROUND(I732*(1-할인율),0)</f>
        <v/>
      </c>
      <c r="K732" s="2">
        <f>ROUNDDOWN(I732*할인율,0)</f>
        <v/>
      </c>
      <c r="L732" s="2">
        <f>ROUND(I732*INDEX(미지급률범위,E732),0)</f>
        <v/>
      </c>
      <c r="M732" s="2">
        <f>ROUND(I732*INDEX(과지급률범위,E732),0)</f>
        <v/>
      </c>
      <c r="N732" s="2">
        <f>MAX(0,L732-M732)</f>
        <v/>
      </c>
      <c r="O732" s="2">
        <f>K732-N732</f>
        <v/>
      </c>
      <c r="P732" s="2">
        <f>I732-N732</f>
        <v/>
      </c>
      <c r="Q732" s="5">
        <f>IF(G732&gt;기준일,1,0)</f>
        <v/>
      </c>
      <c r="R732" s="5">
        <f>IF(G732&lt;=기준일,1,0)</f>
        <v/>
      </c>
      <c r="S732" s="2">
        <f>J732*H732</f>
        <v/>
      </c>
      <c r="T732" s="5">
        <f>IF(AND(F732&gt;=표본시작,F732&lt;=표본종료),1,0)</f>
        <v/>
      </c>
      <c r="U732" s="5">
        <f>IF(AND(G732&gt;=조회시작,G732&lt;=조회종료),1,0)</f>
        <v/>
      </c>
    </row>
    <row r="733">
      <c r="A733" s="2">
        <f>ROW()-1</f>
        <v/>
      </c>
      <c r="B733" s="5">
        <f>INDEX(상호범위,D733)</f>
        <v/>
      </c>
      <c r="C733" s="5">
        <f>INDEX(플랫폼명범위,E733)</f>
        <v/>
      </c>
      <c r="D733" s="2">
        <f>MOD(INT((A733-1)/4),8)+1</f>
        <v/>
      </c>
      <c r="E733" s="2">
        <f>MOD(A733-1,4)+1</f>
        <v/>
      </c>
      <c r="F733" s="20">
        <f>축시작+INT((A733-1)/32)</f>
        <v/>
      </c>
      <c r="G733" s="20">
        <f>F733+H733</f>
        <v/>
      </c>
      <c r="H733" s="5" t="n">
        <v>4</v>
      </c>
      <c r="I733" s="2">
        <f>ROUND(INDEX(가맹점!$P$2:$P$9,D733)*INDEX(가맹점!$J$2:$M$9,D733,E733),0)</f>
        <v/>
      </c>
      <c r="J733" s="2">
        <f>ROUND(I733*(1-할인율),0)</f>
        <v/>
      </c>
      <c r="K733" s="2">
        <f>ROUNDDOWN(I733*할인율,0)</f>
        <v/>
      </c>
      <c r="L733" s="2">
        <f>ROUND(I733*INDEX(미지급률범위,E733),0)</f>
        <v/>
      </c>
      <c r="M733" s="2">
        <f>ROUND(I733*INDEX(과지급률범위,E733),0)</f>
        <v/>
      </c>
      <c r="N733" s="2">
        <f>MAX(0,L733-M733)</f>
        <v/>
      </c>
      <c r="O733" s="2">
        <f>K733-N733</f>
        <v/>
      </c>
      <c r="P733" s="2">
        <f>I733-N733</f>
        <v/>
      </c>
      <c r="Q733" s="5">
        <f>IF(G733&gt;기준일,1,0)</f>
        <v/>
      </c>
      <c r="R733" s="5">
        <f>IF(G733&lt;=기준일,1,0)</f>
        <v/>
      </c>
      <c r="S733" s="2">
        <f>J733*H733</f>
        <v/>
      </c>
      <c r="T733" s="5">
        <f>IF(AND(F733&gt;=표본시작,F733&lt;=표본종료),1,0)</f>
        <v/>
      </c>
      <c r="U733" s="5">
        <f>IF(AND(G733&gt;=조회시작,G733&lt;=조회종료),1,0)</f>
        <v/>
      </c>
    </row>
    <row r="734">
      <c r="A734" s="2">
        <f>ROW()-1</f>
        <v/>
      </c>
      <c r="B734" s="5">
        <f>INDEX(상호범위,D734)</f>
        <v/>
      </c>
      <c r="C734" s="5">
        <f>INDEX(플랫폼명범위,E734)</f>
        <v/>
      </c>
      <c r="D734" s="2">
        <f>MOD(INT((A734-1)/4),8)+1</f>
        <v/>
      </c>
      <c r="E734" s="2">
        <f>MOD(A734-1,4)+1</f>
        <v/>
      </c>
      <c r="F734" s="20">
        <f>축시작+INT((A734-1)/32)</f>
        <v/>
      </c>
      <c r="G734" s="20">
        <f>F734+H734</f>
        <v/>
      </c>
      <c r="H734" s="5" t="n">
        <v>1</v>
      </c>
      <c r="I734" s="2">
        <f>ROUND(INDEX(가맹점!$P$2:$P$9,D734)*INDEX(가맹점!$J$2:$M$9,D734,E734),0)</f>
        <v/>
      </c>
      <c r="J734" s="2">
        <f>ROUND(I734*(1-할인율),0)</f>
        <v/>
      </c>
      <c r="K734" s="2">
        <f>ROUNDDOWN(I734*할인율,0)</f>
        <v/>
      </c>
      <c r="L734" s="2">
        <f>ROUND(I734*INDEX(미지급률범위,E734),0)</f>
        <v/>
      </c>
      <c r="M734" s="2">
        <f>ROUND(I734*INDEX(과지급률범위,E734),0)</f>
        <v/>
      </c>
      <c r="N734" s="2">
        <f>MAX(0,L734-M734)</f>
        <v/>
      </c>
      <c r="O734" s="2">
        <f>K734-N734</f>
        <v/>
      </c>
      <c r="P734" s="2">
        <f>I734-N734</f>
        <v/>
      </c>
      <c r="Q734" s="5">
        <f>IF(G734&gt;기준일,1,0)</f>
        <v/>
      </c>
      <c r="R734" s="5">
        <f>IF(G734&lt;=기준일,1,0)</f>
        <v/>
      </c>
      <c r="S734" s="2">
        <f>J734*H734</f>
        <v/>
      </c>
      <c r="T734" s="5">
        <f>IF(AND(F734&gt;=표본시작,F734&lt;=표본종료),1,0)</f>
        <v/>
      </c>
      <c r="U734" s="5">
        <f>IF(AND(G734&gt;=조회시작,G734&lt;=조회종료),1,0)</f>
        <v/>
      </c>
    </row>
    <row r="735">
      <c r="A735" s="2">
        <f>ROW()-1</f>
        <v/>
      </c>
      <c r="B735" s="5">
        <f>INDEX(상호범위,D735)</f>
        <v/>
      </c>
      <c r="C735" s="5">
        <f>INDEX(플랫폼명범위,E735)</f>
        <v/>
      </c>
      <c r="D735" s="2">
        <f>MOD(INT((A735-1)/4),8)+1</f>
        <v/>
      </c>
      <c r="E735" s="2">
        <f>MOD(A735-1,4)+1</f>
        <v/>
      </c>
      <c r="F735" s="20">
        <f>축시작+INT((A735-1)/32)</f>
        <v/>
      </c>
      <c r="G735" s="20">
        <f>F735+H735</f>
        <v/>
      </c>
      <c r="H735" s="5" t="n">
        <v>2</v>
      </c>
      <c r="I735" s="2">
        <f>ROUND(INDEX(가맹점!$P$2:$P$9,D735)*INDEX(가맹점!$J$2:$M$9,D735,E735),0)</f>
        <v/>
      </c>
      <c r="J735" s="2">
        <f>ROUND(I735*(1-할인율),0)</f>
        <v/>
      </c>
      <c r="K735" s="2">
        <f>ROUNDDOWN(I735*할인율,0)</f>
        <v/>
      </c>
      <c r="L735" s="2">
        <f>ROUND(I735*INDEX(미지급률범위,E735),0)</f>
        <v/>
      </c>
      <c r="M735" s="2">
        <f>ROUND(I735*INDEX(과지급률범위,E735),0)</f>
        <v/>
      </c>
      <c r="N735" s="2">
        <f>MAX(0,L735-M735)</f>
        <v/>
      </c>
      <c r="O735" s="2">
        <f>K735-N735</f>
        <v/>
      </c>
      <c r="P735" s="2">
        <f>I735-N735</f>
        <v/>
      </c>
      <c r="Q735" s="5">
        <f>IF(G735&gt;기준일,1,0)</f>
        <v/>
      </c>
      <c r="R735" s="5">
        <f>IF(G735&lt;=기준일,1,0)</f>
        <v/>
      </c>
      <c r="S735" s="2">
        <f>J735*H735</f>
        <v/>
      </c>
      <c r="T735" s="5">
        <f>IF(AND(F735&gt;=표본시작,F735&lt;=표본종료),1,0)</f>
        <v/>
      </c>
      <c r="U735" s="5">
        <f>IF(AND(G735&gt;=조회시작,G735&lt;=조회종료),1,0)</f>
        <v/>
      </c>
    </row>
    <row r="736">
      <c r="A736" s="2">
        <f>ROW()-1</f>
        <v/>
      </c>
      <c r="B736" s="5">
        <f>INDEX(상호범위,D736)</f>
        <v/>
      </c>
      <c r="C736" s="5">
        <f>INDEX(플랫폼명범위,E736)</f>
        <v/>
      </c>
      <c r="D736" s="2">
        <f>MOD(INT((A736-1)/4),8)+1</f>
        <v/>
      </c>
      <c r="E736" s="2">
        <f>MOD(A736-1,4)+1</f>
        <v/>
      </c>
      <c r="F736" s="20">
        <f>축시작+INT((A736-1)/32)</f>
        <v/>
      </c>
      <c r="G736" s="20">
        <f>F736+H736</f>
        <v/>
      </c>
      <c r="H736" s="5" t="n">
        <v>3</v>
      </c>
      <c r="I736" s="2">
        <f>ROUND(INDEX(가맹점!$P$2:$P$9,D736)*INDEX(가맹점!$J$2:$M$9,D736,E736),0)</f>
        <v/>
      </c>
      <c r="J736" s="2">
        <f>ROUND(I736*(1-할인율),0)</f>
        <v/>
      </c>
      <c r="K736" s="2">
        <f>ROUNDDOWN(I736*할인율,0)</f>
        <v/>
      </c>
      <c r="L736" s="2">
        <f>ROUND(I736*INDEX(미지급률범위,E736),0)</f>
        <v/>
      </c>
      <c r="M736" s="2">
        <f>ROUND(I736*INDEX(과지급률범위,E736),0)</f>
        <v/>
      </c>
      <c r="N736" s="2">
        <f>MAX(0,L736-M736)</f>
        <v/>
      </c>
      <c r="O736" s="2">
        <f>K736-N736</f>
        <v/>
      </c>
      <c r="P736" s="2">
        <f>I736-N736</f>
        <v/>
      </c>
      <c r="Q736" s="5">
        <f>IF(G736&gt;기준일,1,0)</f>
        <v/>
      </c>
      <c r="R736" s="5">
        <f>IF(G736&lt;=기준일,1,0)</f>
        <v/>
      </c>
      <c r="S736" s="2">
        <f>J736*H736</f>
        <v/>
      </c>
      <c r="T736" s="5">
        <f>IF(AND(F736&gt;=표본시작,F736&lt;=표본종료),1,0)</f>
        <v/>
      </c>
      <c r="U736" s="5">
        <f>IF(AND(G736&gt;=조회시작,G736&lt;=조회종료),1,0)</f>
        <v/>
      </c>
    </row>
    <row r="737">
      <c r="A737" s="2">
        <f>ROW()-1</f>
        <v/>
      </c>
      <c r="B737" s="5">
        <f>INDEX(상호범위,D737)</f>
        <v/>
      </c>
      <c r="C737" s="5">
        <f>INDEX(플랫폼명범위,E737)</f>
        <v/>
      </c>
      <c r="D737" s="2">
        <f>MOD(INT((A737-1)/4),8)+1</f>
        <v/>
      </c>
      <c r="E737" s="2">
        <f>MOD(A737-1,4)+1</f>
        <v/>
      </c>
      <c r="F737" s="20">
        <f>축시작+INT((A737-1)/32)</f>
        <v/>
      </c>
      <c r="G737" s="20">
        <f>F737+H737</f>
        <v/>
      </c>
      <c r="H737" s="5" t="n">
        <v>7</v>
      </c>
      <c r="I737" s="2">
        <f>ROUND(INDEX(가맹점!$P$2:$P$9,D737)*INDEX(가맹점!$J$2:$M$9,D737,E737),0)</f>
        <v/>
      </c>
      <c r="J737" s="2">
        <f>ROUND(I737*(1-할인율),0)</f>
        <v/>
      </c>
      <c r="K737" s="2">
        <f>ROUNDDOWN(I737*할인율,0)</f>
        <v/>
      </c>
      <c r="L737" s="2">
        <f>ROUND(I737*INDEX(미지급률범위,E737),0)</f>
        <v/>
      </c>
      <c r="M737" s="2">
        <f>ROUND(I737*INDEX(과지급률범위,E737),0)</f>
        <v/>
      </c>
      <c r="N737" s="2">
        <f>MAX(0,L737-M737)</f>
        <v/>
      </c>
      <c r="O737" s="2">
        <f>K737-N737</f>
        <v/>
      </c>
      <c r="P737" s="2">
        <f>I737-N737</f>
        <v/>
      </c>
      <c r="Q737" s="5">
        <f>IF(G737&gt;기준일,1,0)</f>
        <v/>
      </c>
      <c r="R737" s="5">
        <f>IF(G737&lt;=기준일,1,0)</f>
        <v/>
      </c>
      <c r="S737" s="2">
        <f>J737*H737</f>
        <v/>
      </c>
      <c r="T737" s="5">
        <f>IF(AND(F737&gt;=표본시작,F737&lt;=표본종료),1,0)</f>
        <v/>
      </c>
      <c r="U737" s="5">
        <f>IF(AND(G737&gt;=조회시작,G737&lt;=조회종료),1,0)</f>
        <v/>
      </c>
    </row>
    <row r="738">
      <c r="A738" s="2">
        <f>ROW()-1</f>
        <v/>
      </c>
      <c r="B738" s="5">
        <f>INDEX(상호범위,D738)</f>
        <v/>
      </c>
      <c r="C738" s="5">
        <f>INDEX(플랫폼명범위,E738)</f>
        <v/>
      </c>
      <c r="D738" s="2">
        <f>MOD(INT((A738-1)/4),8)+1</f>
        <v/>
      </c>
      <c r="E738" s="2">
        <f>MOD(A738-1,4)+1</f>
        <v/>
      </c>
      <c r="F738" s="20">
        <f>축시작+INT((A738-1)/32)</f>
        <v/>
      </c>
      <c r="G738" s="20">
        <f>F738+H738</f>
        <v/>
      </c>
      <c r="H738" s="5" t="n">
        <v>1</v>
      </c>
      <c r="I738" s="2">
        <f>ROUND(INDEX(가맹점!$P$2:$P$9,D738)*INDEX(가맹점!$J$2:$M$9,D738,E738),0)</f>
        <v/>
      </c>
      <c r="J738" s="2">
        <f>ROUND(I738*(1-할인율),0)</f>
        <v/>
      </c>
      <c r="K738" s="2">
        <f>ROUNDDOWN(I738*할인율,0)</f>
        <v/>
      </c>
      <c r="L738" s="2">
        <f>ROUND(I738*INDEX(미지급률범위,E738),0)</f>
        <v/>
      </c>
      <c r="M738" s="2">
        <f>ROUND(I738*INDEX(과지급률범위,E738),0)</f>
        <v/>
      </c>
      <c r="N738" s="2">
        <f>MAX(0,L738-M738)</f>
        <v/>
      </c>
      <c r="O738" s="2">
        <f>K738-N738</f>
        <v/>
      </c>
      <c r="P738" s="2">
        <f>I738-N738</f>
        <v/>
      </c>
      <c r="Q738" s="5">
        <f>IF(G738&gt;기준일,1,0)</f>
        <v/>
      </c>
      <c r="R738" s="5">
        <f>IF(G738&lt;=기준일,1,0)</f>
        <v/>
      </c>
      <c r="S738" s="2">
        <f>J738*H738</f>
        <v/>
      </c>
      <c r="T738" s="5">
        <f>IF(AND(F738&gt;=표본시작,F738&lt;=표본종료),1,0)</f>
        <v/>
      </c>
      <c r="U738" s="5">
        <f>IF(AND(G738&gt;=조회시작,G738&lt;=조회종료),1,0)</f>
        <v/>
      </c>
    </row>
    <row r="739">
      <c r="A739" s="2">
        <f>ROW()-1</f>
        <v/>
      </c>
      <c r="B739" s="5">
        <f>INDEX(상호범위,D739)</f>
        <v/>
      </c>
      <c r="C739" s="5">
        <f>INDEX(플랫폼명범위,E739)</f>
        <v/>
      </c>
      <c r="D739" s="2">
        <f>MOD(INT((A739-1)/4),8)+1</f>
        <v/>
      </c>
      <c r="E739" s="2">
        <f>MOD(A739-1,4)+1</f>
        <v/>
      </c>
      <c r="F739" s="20">
        <f>축시작+INT((A739-1)/32)</f>
        <v/>
      </c>
      <c r="G739" s="20">
        <f>F739+H739</f>
        <v/>
      </c>
      <c r="H739" s="5" t="n">
        <v>4</v>
      </c>
      <c r="I739" s="2">
        <f>ROUND(INDEX(가맹점!$P$2:$P$9,D739)*INDEX(가맹점!$J$2:$M$9,D739,E739),0)</f>
        <v/>
      </c>
      <c r="J739" s="2">
        <f>ROUND(I739*(1-할인율),0)</f>
        <v/>
      </c>
      <c r="K739" s="2">
        <f>ROUNDDOWN(I739*할인율,0)</f>
        <v/>
      </c>
      <c r="L739" s="2">
        <f>ROUND(I739*INDEX(미지급률범위,E739),0)</f>
        <v/>
      </c>
      <c r="M739" s="2">
        <f>ROUND(I739*INDEX(과지급률범위,E739),0)</f>
        <v/>
      </c>
      <c r="N739" s="2">
        <f>MAX(0,L739-M739)</f>
        <v/>
      </c>
      <c r="O739" s="2">
        <f>K739-N739</f>
        <v/>
      </c>
      <c r="P739" s="2">
        <f>I739-N739</f>
        <v/>
      </c>
      <c r="Q739" s="5">
        <f>IF(G739&gt;기준일,1,0)</f>
        <v/>
      </c>
      <c r="R739" s="5">
        <f>IF(G739&lt;=기준일,1,0)</f>
        <v/>
      </c>
      <c r="S739" s="2">
        <f>J739*H739</f>
        <v/>
      </c>
      <c r="T739" s="5">
        <f>IF(AND(F739&gt;=표본시작,F739&lt;=표본종료),1,0)</f>
        <v/>
      </c>
      <c r="U739" s="5">
        <f>IF(AND(G739&gt;=조회시작,G739&lt;=조회종료),1,0)</f>
        <v/>
      </c>
    </row>
    <row r="740">
      <c r="A740" s="2">
        <f>ROW()-1</f>
        <v/>
      </c>
      <c r="B740" s="5">
        <f>INDEX(상호범위,D740)</f>
        <v/>
      </c>
      <c r="C740" s="5">
        <f>INDEX(플랫폼명범위,E740)</f>
        <v/>
      </c>
      <c r="D740" s="2">
        <f>MOD(INT((A740-1)/4),8)+1</f>
        <v/>
      </c>
      <c r="E740" s="2">
        <f>MOD(A740-1,4)+1</f>
        <v/>
      </c>
      <c r="F740" s="20">
        <f>축시작+INT((A740-1)/32)</f>
        <v/>
      </c>
      <c r="G740" s="20">
        <f>F740+H740</f>
        <v/>
      </c>
      <c r="H740" s="5" t="n">
        <v>6</v>
      </c>
      <c r="I740" s="2">
        <f>ROUND(INDEX(가맹점!$P$2:$P$9,D740)*INDEX(가맹점!$J$2:$M$9,D740,E740),0)</f>
        <v/>
      </c>
      <c r="J740" s="2">
        <f>ROUND(I740*(1-할인율),0)</f>
        <v/>
      </c>
      <c r="K740" s="2">
        <f>ROUNDDOWN(I740*할인율,0)</f>
        <v/>
      </c>
      <c r="L740" s="2">
        <f>ROUND(I740*INDEX(미지급률범위,E740),0)</f>
        <v/>
      </c>
      <c r="M740" s="2">
        <f>ROUND(I740*INDEX(과지급률범위,E740),0)</f>
        <v/>
      </c>
      <c r="N740" s="2">
        <f>MAX(0,L740-M740)</f>
        <v/>
      </c>
      <c r="O740" s="2">
        <f>K740-N740</f>
        <v/>
      </c>
      <c r="P740" s="2">
        <f>I740-N740</f>
        <v/>
      </c>
      <c r="Q740" s="5">
        <f>IF(G740&gt;기준일,1,0)</f>
        <v/>
      </c>
      <c r="R740" s="5">
        <f>IF(G740&lt;=기준일,1,0)</f>
        <v/>
      </c>
      <c r="S740" s="2">
        <f>J740*H740</f>
        <v/>
      </c>
      <c r="T740" s="5">
        <f>IF(AND(F740&gt;=표본시작,F740&lt;=표본종료),1,0)</f>
        <v/>
      </c>
      <c r="U740" s="5">
        <f>IF(AND(G740&gt;=조회시작,G740&lt;=조회종료),1,0)</f>
        <v/>
      </c>
    </row>
    <row r="741">
      <c r="A741" s="2">
        <f>ROW()-1</f>
        <v/>
      </c>
      <c r="B741" s="5">
        <f>INDEX(상호범위,D741)</f>
        <v/>
      </c>
      <c r="C741" s="5">
        <f>INDEX(플랫폼명범위,E741)</f>
        <v/>
      </c>
      <c r="D741" s="2">
        <f>MOD(INT((A741-1)/4),8)+1</f>
        <v/>
      </c>
      <c r="E741" s="2">
        <f>MOD(A741-1,4)+1</f>
        <v/>
      </c>
      <c r="F741" s="20">
        <f>축시작+INT((A741-1)/32)</f>
        <v/>
      </c>
      <c r="G741" s="20">
        <f>F741+H741</f>
        <v/>
      </c>
      <c r="H741" s="5" t="n">
        <v>5</v>
      </c>
      <c r="I741" s="2">
        <f>ROUND(INDEX(가맹점!$P$2:$P$9,D741)*INDEX(가맹점!$J$2:$M$9,D741,E741),0)</f>
        <v/>
      </c>
      <c r="J741" s="2">
        <f>ROUND(I741*(1-할인율),0)</f>
        <v/>
      </c>
      <c r="K741" s="2">
        <f>ROUNDDOWN(I741*할인율,0)</f>
        <v/>
      </c>
      <c r="L741" s="2">
        <f>ROUND(I741*INDEX(미지급률범위,E741),0)</f>
        <v/>
      </c>
      <c r="M741" s="2">
        <f>ROUND(I741*INDEX(과지급률범위,E741),0)</f>
        <v/>
      </c>
      <c r="N741" s="2">
        <f>MAX(0,L741-M741)</f>
        <v/>
      </c>
      <c r="O741" s="2">
        <f>K741-N741</f>
        <v/>
      </c>
      <c r="P741" s="2">
        <f>I741-N741</f>
        <v/>
      </c>
      <c r="Q741" s="5">
        <f>IF(G741&gt;기준일,1,0)</f>
        <v/>
      </c>
      <c r="R741" s="5">
        <f>IF(G741&lt;=기준일,1,0)</f>
        <v/>
      </c>
      <c r="S741" s="2">
        <f>J741*H741</f>
        <v/>
      </c>
      <c r="T741" s="5">
        <f>IF(AND(F741&gt;=표본시작,F741&lt;=표본종료),1,0)</f>
        <v/>
      </c>
      <c r="U741" s="5">
        <f>IF(AND(G741&gt;=조회시작,G741&lt;=조회종료),1,0)</f>
        <v/>
      </c>
    </row>
    <row r="742">
      <c r="A742" s="2">
        <f>ROW()-1</f>
        <v/>
      </c>
      <c r="B742" s="5">
        <f>INDEX(상호범위,D742)</f>
        <v/>
      </c>
      <c r="C742" s="5">
        <f>INDEX(플랫폼명범위,E742)</f>
        <v/>
      </c>
      <c r="D742" s="2">
        <f>MOD(INT((A742-1)/4),8)+1</f>
        <v/>
      </c>
      <c r="E742" s="2">
        <f>MOD(A742-1,4)+1</f>
        <v/>
      </c>
      <c r="F742" s="20">
        <f>축시작+INT((A742-1)/32)</f>
        <v/>
      </c>
      <c r="G742" s="20">
        <f>F742+H742</f>
        <v/>
      </c>
      <c r="H742" s="5" t="n">
        <v>1</v>
      </c>
      <c r="I742" s="2">
        <f>ROUND(INDEX(가맹점!$P$2:$P$9,D742)*INDEX(가맹점!$J$2:$M$9,D742,E742),0)</f>
        <v/>
      </c>
      <c r="J742" s="2">
        <f>ROUND(I742*(1-할인율),0)</f>
        <v/>
      </c>
      <c r="K742" s="2">
        <f>ROUNDDOWN(I742*할인율,0)</f>
        <v/>
      </c>
      <c r="L742" s="2">
        <f>ROUND(I742*INDEX(미지급률범위,E742),0)</f>
        <v/>
      </c>
      <c r="M742" s="2">
        <f>ROUND(I742*INDEX(과지급률범위,E742),0)</f>
        <v/>
      </c>
      <c r="N742" s="2">
        <f>MAX(0,L742-M742)</f>
        <v/>
      </c>
      <c r="O742" s="2">
        <f>K742-N742</f>
        <v/>
      </c>
      <c r="P742" s="2">
        <f>I742-N742</f>
        <v/>
      </c>
      <c r="Q742" s="5">
        <f>IF(G742&gt;기준일,1,0)</f>
        <v/>
      </c>
      <c r="R742" s="5">
        <f>IF(G742&lt;=기준일,1,0)</f>
        <v/>
      </c>
      <c r="S742" s="2">
        <f>J742*H742</f>
        <v/>
      </c>
      <c r="T742" s="5">
        <f>IF(AND(F742&gt;=표본시작,F742&lt;=표본종료),1,0)</f>
        <v/>
      </c>
      <c r="U742" s="5">
        <f>IF(AND(G742&gt;=조회시작,G742&lt;=조회종료),1,0)</f>
        <v/>
      </c>
    </row>
    <row r="743">
      <c r="A743" s="2">
        <f>ROW()-1</f>
        <v/>
      </c>
      <c r="B743" s="5">
        <f>INDEX(상호범위,D743)</f>
        <v/>
      </c>
      <c r="C743" s="5">
        <f>INDEX(플랫폼명범위,E743)</f>
        <v/>
      </c>
      <c r="D743" s="2">
        <f>MOD(INT((A743-1)/4),8)+1</f>
        <v/>
      </c>
      <c r="E743" s="2">
        <f>MOD(A743-1,4)+1</f>
        <v/>
      </c>
      <c r="F743" s="20">
        <f>축시작+INT((A743-1)/32)</f>
        <v/>
      </c>
      <c r="G743" s="20">
        <f>F743+H743</f>
        <v/>
      </c>
      <c r="H743" s="5" t="n">
        <v>3</v>
      </c>
      <c r="I743" s="2">
        <f>ROUND(INDEX(가맹점!$P$2:$P$9,D743)*INDEX(가맹점!$J$2:$M$9,D743,E743),0)</f>
        <v/>
      </c>
      <c r="J743" s="2">
        <f>ROUND(I743*(1-할인율),0)</f>
        <v/>
      </c>
      <c r="K743" s="2">
        <f>ROUNDDOWN(I743*할인율,0)</f>
        <v/>
      </c>
      <c r="L743" s="2">
        <f>ROUND(I743*INDEX(미지급률범위,E743),0)</f>
        <v/>
      </c>
      <c r="M743" s="2">
        <f>ROUND(I743*INDEX(과지급률범위,E743),0)</f>
        <v/>
      </c>
      <c r="N743" s="2">
        <f>MAX(0,L743-M743)</f>
        <v/>
      </c>
      <c r="O743" s="2">
        <f>K743-N743</f>
        <v/>
      </c>
      <c r="P743" s="2">
        <f>I743-N743</f>
        <v/>
      </c>
      <c r="Q743" s="5">
        <f>IF(G743&gt;기준일,1,0)</f>
        <v/>
      </c>
      <c r="R743" s="5">
        <f>IF(G743&lt;=기준일,1,0)</f>
        <v/>
      </c>
      <c r="S743" s="2">
        <f>J743*H743</f>
        <v/>
      </c>
      <c r="T743" s="5">
        <f>IF(AND(F743&gt;=표본시작,F743&lt;=표본종료),1,0)</f>
        <v/>
      </c>
      <c r="U743" s="5">
        <f>IF(AND(G743&gt;=조회시작,G743&lt;=조회종료),1,0)</f>
        <v/>
      </c>
    </row>
    <row r="744">
      <c r="A744" s="2">
        <f>ROW()-1</f>
        <v/>
      </c>
      <c r="B744" s="5">
        <f>INDEX(상호범위,D744)</f>
        <v/>
      </c>
      <c r="C744" s="5">
        <f>INDEX(플랫폼명범위,E744)</f>
        <v/>
      </c>
      <c r="D744" s="2">
        <f>MOD(INT((A744-1)/4),8)+1</f>
        <v/>
      </c>
      <c r="E744" s="2">
        <f>MOD(A744-1,4)+1</f>
        <v/>
      </c>
      <c r="F744" s="20">
        <f>축시작+INT((A744-1)/32)</f>
        <v/>
      </c>
      <c r="G744" s="20">
        <f>F744+H744</f>
        <v/>
      </c>
      <c r="H744" s="5" t="n">
        <v>4</v>
      </c>
      <c r="I744" s="2">
        <f>ROUND(INDEX(가맹점!$P$2:$P$9,D744)*INDEX(가맹점!$J$2:$M$9,D744,E744),0)</f>
        <v/>
      </c>
      <c r="J744" s="2">
        <f>ROUND(I744*(1-할인율),0)</f>
        <v/>
      </c>
      <c r="K744" s="2">
        <f>ROUNDDOWN(I744*할인율,0)</f>
        <v/>
      </c>
      <c r="L744" s="2">
        <f>ROUND(I744*INDEX(미지급률범위,E744),0)</f>
        <v/>
      </c>
      <c r="M744" s="2">
        <f>ROUND(I744*INDEX(과지급률범위,E744),0)</f>
        <v/>
      </c>
      <c r="N744" s="2">
        <f>MAX(0,L744-M744)</f>
        <v/>
      </c>
      <c r="O744" s="2">
        <f>K744-N744</f>
        <v/>
      </c>
      <c r="P744" s="2">
        <f>I744-N744</f>
        <v/>
      </c>
      <c r="Q744" s="5">
        <f>IF(G744&gt;기준일,1,0)</f>
        <v/>
      </c>
      <c r="R744" s="5">
        <f>IF(G744&lt;=기준일,1,0)</f>
        <v/>
      </c>
      <c r="S744" s="2">
        <f>J744*H744</f>
        <v/>
      </c>
      <c r="T744" s="5">
        <f>IF(AND(F744&gt;=표본시작,F744&lt;=표본종료),1,0)</f>
        <v/>
      </c>
      <c r="U744" s="5">
        <f>IF(AND(G744&gt;=조회시작,G744&lt;=조회종료),1,0)</f>
        <v/>
      </c>
    </row>
    <row r="745">
      <c r="A745" s="2">
        <f>ROW()-1</f>
        <v/>
      </c>
      <c r="B745" s="5">
        <f>INDEX(상호범위,D745)</f>
        <v/>
      </c>
      <c r="C745" s="5">
        <f>INDEX(플랫폼명범위,E745)</f>
        <v/>
      </c>
      <c r="D745" s="2">
        <f>MOD(INT((A745-1)/4),8)+1</f>
        <v/>
      </c>
      <c r="E745" s="2">
        <f>MOD(A745-1,4)+1</f>
        <v/>
      </c>
      <c r="F745" s="20">
        <f>축시작+INT((A745-1)/32)</f>
        <v/>
      </c>
      <c r="G745" s="20">
        <f>F745+H745</f>
        <v/>
      </c>
      <c r="H745" s="5" t="n">
        <v>5</v>
      </c>
      <c r="I745" s="2">
        <f>ROUND(INDEX(가맹점!$P$2:$P$9,D745)*INDEX(가맹점!$J$2:$M$9,D745,E745),0)</f>
        <v/>
      </c>
      <c r="J745" s="2">
        <f>ROUND(I745*(1-할인율),0)</f>
        <v/>
      </c>
      <c r="K745" s="2">
        <f>ROUNDDOWN(I745*할인율,0)</f>
        <v/>
      </c>
      <c r="L745" s="2">
        <f>ROUND(I745*INDEX(미지급률범위,E745),0)</f>
        <v/>
      </c>
      <c r="M745" s="2">
        <f>ROUND(I745*INDEX(과지급률범위,E745),0)</f>
        <v/>
      </c>
      <c r="N745" s="2">
        <f>MAX(0,L745-M745)</f>
        <v/>
      </c>
      <c r="O745" s="2">
        <f>K745-N745</f>
        <v/>
      </c>
      <c r="P745" s="2">
        <f>I745-N745</f>
        <v/>
      </c>
      <c r="Q745" s="5">
        <f>IF(G745&gt;기준일,1,0)</f>
        <v/>
      </c>
      <c r="R745" s="5">
        <f>IF(G745&lt;=기준일,1,0)</f>
        <v/>
      </c>
      <c r="S745" s="2">
        <f>J745*H745</f>
        <v/>
      </c>
      <c r="T745" s="5">
        <f>IF(AND(F745&gt;=표본시작,F745&lt;=표본종료),1,0)</f>
        <v/>
      </c>
      <c r="U745" s="5">
        <f>IF(AND(G745&gt;=조회시작,G745&lt;=조회종료),1,0)</f>
        <v/>
      </c>
    </row>
    <row r="746">
      <c r="A746" s="2">
        <f>ROW()-1</f>
        <v/>
      </c>
      <c r="B746" s="5">
        <f>INDEX(상호범위,D746)</f>
        <v/>
      </c>
      <c r="C746" s="5">
        <f>INDEX(플랫폼명범위,E746)</f>
        <v/>
      </c>
      <c r="D746" s="2">
        <f>MOD(INT((A746-1)/4),8)+1</f>
        <v/>
      </c>
      <c r="E746" s="2">
        <f>MOD(A746-1,4)+1</f>
        <v/>
      </c>
      <c r="F746" s="20">
        <f>축시작+INT((A746-1)/32)</f>
        <v/>
      </c>
      <c r="G746" s="20">
        <f>F746+H746</f>
        <v/>
      </c>
      <c r="H746" s="5" t="n">
        <v>1</v>
      </c>
      <c r="I746" s="2">
        <f>ROUND(INDEX(가맹점!$P$2:$P$9,D746)*INDEX(가맹점!$J$2:$M$9,D746,E746),0)</f>
        <v/>
      </c>
      <c r="J746" s="2">
        <f>ROUND(I746*(1-할인율),0)</f>
        <v/>
      </c>
      <c r="K746" s="2">
        <f>ROUNDDOWN(I746*할인율,0)</f>
        <v/>
      </c>
      <c r="L746" s="2">
        <f>ROUND(I746*INDEX(미지급률범위,E746),0)</f>
        <v/>
      </c>
      <c r="M746" s="2">
        <f>ROUND(I746*INDEX(과지급률범위,E746),0)</f>
        <v/>
      </c>
      <c r="N746" s="2">
        <f>MAX(0,L746-M746)</f>
        <v/>
      </c>
      <c r="O746" s="2">
        <f>K746-N746</f>
        <v/>
      </c>
      <c r="P746" s="2">
        <f>I746-N746</f>
        <v/>
      </c>
      <c r="Q746" s="5">
        <f>IF(G746&gt;기준일,1,0)</f>
        <v/>
      </c>
      <c r="R746" s="5">
        <f>IF(G746&lt;=기준일,1,0)</f>
        <v/>
      </c>
      <c r="S746" s="2">
        <f>J746*H746</f>
        <v/>
      </c>
      <c r="T746" s="5">
        <f>IF(AND(F746&gt;=표본시작,F746&lt;=표본종료),1,0)</f>
        <v/>
      </c>
      <c r="U746" s="5">
        <f>IF(AND(G746&gt;=조회시작,G746&lt;=조회종료),1,0)</f>
        <v/>
      </c>
    </row>
    <row r="747">
      <c r="A747" s="2">
        <f>ROW()-1</f>
        <v/>
      </c>
      <c r="B747" s="5">
        <f>INDEX(상호범위,D747)</f>
        <v/>
      </c>
      <c r="C747" s="5">
        <f>INDEX(플랫폼명범위,E747)</f>
        <v/>
      </c>
      <c r="D747" s="2">
        <f>MOD(INT((A747-1)/4),8)+1</f>
        <v/>
      </c>
      <c r="E747" s="2">
        <f>MOD(A747-1,4)+1</f>
        <v/>
      </c>
      <c r="F747" s="20">
        <f>축시작+INT((A747-1)/32)</f>
        <v/>
      </c>
      <c r="G747" s="20">
        <f>F747+H747</f>
        <v/>
      </c>
      <c r="H747" s="5" t="n">
        <v>3</v>
      </c>
      <c r="I747" s="2">
        <f>ROUND(INDEX(가맹점!$P$2:$P$9,D747)*INDEX(가맹점!$J$2:$M$9,D747,E747),0)</f>
        <v/>
      </c>
      <c r="J747" s="2">
        <f>ROUND(I747*(1-할인율),0)</f>
        <v/>
      </c>
      <c r="K747" s="2">
        <f>ROUNDDOWN(I747*할인율,0)</f>
        <v/>
      </c>
      <c r="L747" s="2">
        <f>ROUND(I747*INDEX(미지급률범위,E747),0)</f>
        <v/>
      </c>
      <c r="M747" s="2">
        <f>ROUND(I747*INDEX(과지급률범위,E747),0)</f>
        <v/>
      </c>
      <c r="N747" s="2">
        <f>MAX(0,L747-M747)</f>
        <v/>
      </c>
      <c r="O747" s="2">
        <f>K747-N747</f>
        <v/>
      </c>
      <c r="P747" s="2">
        <f>I747-N747</f>
        <v/>
      </c>
      <c r="Q747" s="5">
        <f>IF(G747&gt;기준일,1,0)</f>
        <v/>
      </c>
      <c r="R747" s="5">
        <f>IF(G747&lt;=기준일,1,0)</f>
        <v/>
      </c>
      <c r="S747" s="2">
        <f>J747*H747</f>
        <v/>
      </c>
      <c r="T747" s="5">
        <f>IF(AND(F747&gt;=표본시작,F747&lt;=표본종료),1,0)</f>
        <v/>
      </c>
      <c r="U747" s="5">
        <f>IF(AND(G747&gt;=조회시작,G747&lt;=조회종료),1,0)</f>
        <v/>
      </c>
    </row>
    <row r="748">
      <c r="A748" s="2">
        <f>ROW()-1</f>
        <v/>
      </c>
      <c r="B748" s="5">
        <f>INDEX(상호범위,D748)</f>
        <v/>
      </c>
      <c r="C748" s="5">
        <f>INDEX(플랫폼명범위,E748)</f>
        <v/>
      </c>
      <c r="D748" s="2">
        <f>MOD(INT((A748-1)/4),8)+1</f>
        <v/>
      </c>
      <c r="E748" s="2">
        <f>MOD(A748-1,4)+1</f>
        <v/>
      </c>
      <c r="F748" s="20">
        <f>축시작+INT((A748-1)/32)</f>
        <v/>
      </c>
      <c r="G748" s="20">
        <f>F748+H748</f>
        <v/>
      </c>
      <c r="H748" s="5" t="n">
        <v>9</v>
      </c>
      <c r="I748" s="2">
        <f>ROUND(INDEX(가맹점!$P$2:$P$9,D748)*INDEX(가맹점!$J$2:$M$9,D748,E748),0)</f>
        <v/>
      </c>
      <c r="J748" s="2">
        <f>ROUND(I748*(1-할인율),0)</f>
        <v/>
      </c>
      <c r="K748" s="2">
        <f>ROUNDDOWN(I748*할인율,0)</f>
        <v/>
      </c>
      <c r="L748" s="2">
        <f>ROUND(I748*INDEX(미지급률범위,E748),0)</f>
        <v/>
      </c>
      <c r="M748" s="2">
        <f>ROUND(I748*INDEX(과지급률범위,E748),0)</f>
        <v/>
      </c>
      <c r="N748" s="2">
        <f>MAX(0,L748-M748)</f>
        <v/>
      </c>
      <c r="O748" s="2">
        <f>K748-N748</f>
        <v/>
      </c>
      <c r="P748" s="2">
        <f>I748-N748</f>
        <v/>
      </c>
      <c r="Q748" s="5">
        <f>IF(G748&gt;기준일,1,0)</f>
        <v/>
      </c>
      <c r="R748" s="5">
        <f>IF(G748&lt;=기준일,1,0)</f>
        <v/>
      </c>
      <c r="S748" s="2">
        <f>J748*H748</f>
        <v/>
      </c>
      <c r="T748" s="5">
        <f>IF(AND(F748&gt;=표본시작,F748&lt;=표본종료),1,0)</f>
        <v/>
      </c>
      <c r="U748" s="5">
        <f>IF(AND(G748&gt;=조회시작,G748&lt;=조회종료),1,0)</f>
        <v/>
      </c>
    </row>
    <row r="749">
      <c r="A749" s="2">
        <f>ROW()-1</f>
        <v/>
      </c>
      <c r="B749" s="5">
        <f>INDEX(상호범위,D749)</f>
        <v/>
      </c>
      <c r="C749" s="5">
        <f>INDEX(플랫폼명범위,E749)</f>
        <v/>
      </c>
      <c r="D749" s="2">
        <f>MOD(INT((A749-1)/4),8)+1</f>
        <v/>
      </c>
      <c r="E749" s="2">
        <f>MOD(A749-1,4)+1</f>
        <v/>
      </c>
      <c r="F749" s="20">
        <f>축시작+INT((A749-1)/32)</f>
        <v/>
      </c>
      <c r="G749" s="20">
        <f>F749+H749</f>
        <v/>
      </c>
      <c r="H749" s="5" t="n">
        <v>4</v>
      </c>
      <c r="I749" s="2">
        <f>ROUND(INDEX(가맹점!$P$2:$P$9,D749)*INDEX(가맹점!$J$2:$M$9,D749,E749),0)</f>
        <v/>
      </c>
      <c r="J749" s="2">
        <f>ROUND(I749*(1-할인율),0)</f>
        <v/>
      </c>
      <c r="K749" s="2">
        <f>ROUNDDOWN(I749*할인율,0)</f>
        <v/>
      </c>
      <c r="L749" s="2">
        <f>ROUND(I749*INDEX(미지급률범위,E749),0)</f>
        <v/>
      </c>
      <c r="M749" s="2">
        <f>ROUND(I749*INDEX(과지급률범위,E749),0)</f>
        <v/>
      </c>
      <c r="N749" s="2">
        <f>MAX(0,L749-M749)</f>
        <v/>
      </c>
      <c r="O749" s="2">
        <f>K749-N749</f>
        <v/>
      </c>
      <c r="P749" s="2">
        <f>I749-N749</f>
        <v/>
      </c>
      <c r="Q749" s="5">
        <f>IF(G749&gt;기준일,1,0)</f>
        <v/>
      </c>
      <c r="R749" s="5">
        <f>IF(G749&lt;=기준일,1,0)</f>
        <v/>
      </c>
      <c r="S749" s="2">
        <f>J749*H749</f>
        <v/>
      </c>
      <c r="T749" s="5">
        <f>IF(AND(F749&gt;=표본시작,F749&lt;=표본종료),1,0)</f>
        <v/>
      </c>
      <c r="U749" s="5">
        <f>IF(AND(G749&gt;=조회시작,G749&lt;=조회종료),1,0)</f>
        <v/>
      </c>
    </row>
    <row r="750">
      <c r="A750" s="2">
        <f>ROW()-1</f>
        <v/>
      </c>
      <c r="B750" s="5">
        <f>INDEX(상호범위,D750)</f>
        <v/>
      </c>
      <c r="C750" s="5">
        <f>INDEX(플랫폼명범위,E750)</f>
        <v/>
      </c>
      <c r="D750" s="2">
        <f>MOD(INT((A750-1)/4),8)+1</f>
        <v/>
      </c>
      <c r="E750" s="2">
        <f>MOD(A750-1,4)+1</f>
        <v/>
      </c>
      <c r="F750" s="20">
        <f>축시작+INT((A750-1)/32)</f>
        <v/>
      </c>
      <c r="G750" s="20">
        <f>F750+H750</f>
        <v/>
      </c>
      <c r="H750" s="5" t="n">
        <v>1</v>
      </c>
      <c r="I750" s="2">
        <f>ROUND(INDEX(가맹점!$P$2:$P$9,D750)*INDEX(가맹점!$J$2:$M$9,D750,E750),0)</f>
        <v/>
      </c>
      <c r="J750" s="2">
        <f>ROUND(I750*(1-할인율),0)</f>
        <v/>
      </c>
      <c r="K750" s="2">
        <f>ROUNDDOWN(I750*할인율,0)</f>
        <v/>
      </c>
      <c r="L750" s="2">
        <f>ROUND(I750*INDEX(미지급률범위,E750),0)</f>
        <v/>
      </c>
      <c r="M750" s="2">
        <f>ROUND(I750*INDEX(과지급률범위,E750),0)</f>
        <v/>
      </c>
      <c r="N750" s="2">
        <f>MAX(0,L750-M750)</f>
        <v/>
      </c>
      <c r="O750" s="2">
        <f>K750-N750</f>
        <v/>
      </c>
      <c r="P750" s="2">
        <f>I750-N750</f>
        <v/>
      </c>
      <c r="Q750" s="5">
        <f>IF(G750&gt;기준일,1,0)</f>
        <v/>
      </c>
      <c r="R750" s="5">
        <f>IF(G750&lt;=기준일,1,0)</f>
        <v/>
      </c>
      <c r="S750" s="2">
        <f>J750*H750</f>
        <v/>
      </c>
      <c r="T750" s="5">
        <f>IF(AND(F750&gt;=표본시작,F750&lt;=표본종료),1,0)</f>
        <v/>
      </c>
      <c r="U750" s="5">
        <f>IF(AND(G750&gt;=조회시작,G750&lt;=조회종료),1,0)</f>
        <v/>
      </c>
    </row>
    <row r="751">
      <c r="A751" s="2">
        <f>ROW()-1</f>
        <v/>
      </c>
      <c r="B751" s="5">
        <f>INDEX(상호범위,D751)</f>
        <v/>
      </c>
      <c r="C751" s="5">
        <f>INDEX(플랫폼명범위,E751)</f>
        <v/>
      </c>
      <c r="D751" s="2">
        <f>MOD(INT((A751-1)/4),8)+1</f>
        <v/>
      </c>
      <c r="E751" s="2">
        <f>MOD(A751-1,4)+1</f>
        <v/>
      </c>
      <c r="F751" s="20">
        <f>축시작+INT((A751-1)/32)</f>
        <v/>
      </c>
      <c r="G751" s="20">
        <f>F751+H751</f>
        <v/>
      </c>
      <c r="H751" s="5" t="n">
        <v>2</v>
      </c>
      <c r="I751" s="2">
        <f>ROUND(INDEX(가맹점!$P$2:$P$9,D751)*INDEX(가맹점!$J$2:$M$9,D751,E751),0)</f>
        <v/>
      </c>
      <c r="J751" s="2">
        <f>ROUND(I751*(1-할인율),0)</f>
        <v/>
      </c>
      <c r="K751" s="2">
        <f>ROUNDDOWN(I751*할인율,0)</f>
        <v/>
      </c>
      <c r="L751" s="2">
        <f>ROUND(I751*INDEX(미지급률범위,E751),0)</f>
        <v/>
      </c>
      <c r="M751" s="2">
        <f>ROUND(I751*INDEX(과지급률범위,E751),0)</f>
        <v/>
      </c>
      <c r="N751" s="2">
        <f>MAX(0,L751-M751)</f>
        <v/>
      </c>
      <c r="O751" s="2">
        <f>K751-N751</f>
        <v/>
      </c>
      <c r="P751" s="2">
        <f>I751-N751</f>
        <v/>
      </c>
      <c r="Q751" s="5">
        <f>IF(G751&gt;기준일,1,0)</f>
        <v/>
      </c>
      <c r="R751" s="5">
        <f>IF(G751&lt;=기준일,1,0)</f>
        <v/>
      </c>
      <c r="S751" s="2">
        <f>J751*H751</f>
        <v/>
      </c>
      <c r="T751" s="5">
        <f>IF(AND(F751&gt;=표본시작,F751&lt;=표본종료),1,0)</f>
        <v/>
      </c>
      <c r="U751" s="5">
        <f>IF(AND(G751&gt;=조회시작,G751&lt;=조회종료),1,0)</f>
        <v/>
      </c>
    </row>
    <row r="752">
      <c r="A752" s="2">
        <f>ROW()-1</f>
        <v/>
      </c>
      <c r="B752" s="5">
        <f>INDEX(상호범위,D752)</f>
        <v/>
      </c>
      <c r="C752" s="5">
        <f>INDEX(플랫폼명범위,E752)</f>
        <v/>
      </c>
      <c r="D752" s="2">
        <f>MOD(INT((A752-1)/4),8)+1</f>
        <v/>
      </c>
      <c r="E752" s="2">
        <f>MOD(A752-1,4)+1</f>
        <v/>
      </c>
      <c r="F752" s="20">
        <f>축시작+INT((A752-1)/32)</f>
        <v/>
      </c>
      <c r="G752" s="20">
        <f>F752+H752</f>
        <v/>
      </c>
      <c r="H752" s="5" t="n">
        <v>8</v>
      </c>
      <c r="I752" s="2">
        <f>ROUND(INDEX(가맹점!$P$2:$P$9,D752)*INDEX(가맹점!$J$2:$M$9,D752,E752),0)</f>
        <v/>
      </c>
      <c r="J752" s="2">
        <f>ROUND(I752*(1-할인율),0)</f>
        <v/>
      </c>
      <c r="K752" s="2">
        <f>ROUNDDOWN(I752*할인율,0)</f>
        <v/>
      </c>
      <c r="L752" s="2">
        <f>ROUND(I752*INDEX(미지급률범위,E752),0)</f>
        <v/>
      </c>
      <c r="M752" s="2">
        <f>ROUND(I752*INDEX(과지급률범위,E752),0)</f>
        <v/>
      </c>
      <c r="N752" s="2">
        <f>MAX(0,L752-M752)</f>
        <v/>
      </c>
      <c r="O752" s="2">
        <f>K752-N752</f>
        <v/>
      </c>
      <c r="P752" s="2">
        <f>I752-N752</f>
        <v/>
      </c>
      <c r="Q752" s="5">
        <f>IF(G752&gt;기준일,1,0)</f>
        <v/>
      </c>
      <c r="R752" s="5">
        <f>IF(G752&lt;=기준일,1,0)</f>
        <v/>
      </c>
      <c r="S752" s="2">
        <f>J752*H752</f>
        <v/>
      </c>
      <c r="T752" s="5">
        <f>IF(AND(F752&gt;=표본시작,F752&lt;=표본종료),1,0)</f>
        <v/>
      </c>
      <c r="U752" s="5">
        <f>IF(AND(G752&gt;=조회시작,G752&lt;=조회종료),1,0)</f>
        <v/>
      </c>
    </row>
    <row r="753">
      <c r="A753" s="2">
        <f>ROW()-1</f>
        <v/>
      </c>
      <c r="B753" s="5">
        <f>INDEX(상호범위,D753)</f>
        <v/>
      </c>
      <c r="C753" s="5">
        <f>INDEX(플랫폼명범위,E753)</f>
        <v/>
      </c>
      <c r="D753" s="2">
        <f>MOD(INT((A753-1)/4),8)+1</f>
        <v/>
      </c>
      <c r="E753" s="2">
        <f>MOD(A753-1,4)+1</f>
        <v/>
      </c>
      <c r="F753" s="20">
        <f>축시작+INT((A753-1)/32)</f>
        <v/>
      </c>
      <c r="G753" s="20">
        <f>F753+H753</f>
        <v/>
      </c>
      <c r="H753" s="5" t="n">
        <v>9</v>
      </c>
      <c r="I753" s="2">
        <f>ROUND(INDEX(가맹점!$P$2:$P$9,D753)*INDEX(가맹점!$J$2:$M$9,D753,E753),0)</f>
        <v/>
      </c>
      <c r="J753" s="2">
        <f>ROUND(I753*(1-할인율),0)</f>
        <v/>
      </c>
      <c r="K753" s="2">
        <f>ROUNDDOWN(I753*할인율,0)</f>
        <v/>
      </c>
      <c r="L753" s="2">
        <f>ROUND(I753*INDEX(미지급률범위,E753),0)</f>
        <v/>
      </c>
      <c r="M753" s="2">
        <f>ROUND(I753*INDEX(과지급률범위,E753),0)</f>
        <v/>
      </c>
      <c r="N753" s="2">
        <f>MAX(0,L753-M753)</f>
        <v/>
      </c>
      <c r="O753" s="2">
        <f>K753-N753</f>
        <v/>
      </c>
      <c r="P753" s="2">
        <f>I753-N753</f>
        <v/>
      </c>
      <c r="Q753" s="5">
        <f>IF(G753&gt;기준일,1,0)</f>
        <v/>
      </c>
      <c r="R753" s="5">
        <f>IF(G753&lt;=기준일,1,0)</f>
        <v/>
      </c>
      <c r="S753" s="2">
        <f>J753*H753</f>
        <v/>
      </c>
      <c r="T753" s="5">
        <f>IF(AND(F753&gt;=표본시작,F753&lt;=표본종료),1,0)</f>
        <v/>
      </c>
      <c r="U753" s="5">
        <f>IF(AND(G753&gt;=조회시작,G753&lt;=조회종료),1,0)</f>
        <v/>
      </c>
    </row>
    <row r="754">
      <c r="A754" s="2">
        <f>ROW()-1</f>
        <v/>
      </c>
      <c r="B754" s="5">
        <f>INDEX(상호범위,D754)</f>
        <v/>
      </c>
      <c r="C754" s="5">
        <f>INDEX(플랫폼명범위,E754)</f>
        <v/>
      </c>
      <c r="D754" s="2">
        <f>MOD(INT((A754-1)/4),8)+1</f>
        <v/>
      </c>
      <c r="E754" s="2">
        <f>MOD(A754-1,4)+1</f>
        <v/>
      </c>
      <c r="F754" s="20">
        <f>축시작+INT((A754-1)/32)</f>
        <v/>
      </c>
      <c r="G754" s="20">
        <f>F754+H754</f>
        <v/>
      </c>
      <c r="H754" s="5" t="n">
        <v>1</v>
      </c>
      <c r="I754" s="2">
        <f>ROUND(INDEX(가맹점!$P$2:$P$9,D754)*INDEX(가맹점!$J$2:$M$9,D754,E754),0)</f>
        <v/>
      </c>
      <c r="J754" s="2">
        <f>ROUND(I754*(1-할인율),0)</f>
        <v/>
      </c>
      <c r="K754" s="2">
        <f>ROUNDDOWN(I754*할인율,0)</f>
        <v/>
      </c>
      <c r="L754" s="2">
        <f>ROUND(I754*INDEX(미지급률범위,E754),0)</f>
        <v/>
      </c>
      <c r="M754" s="2">
        <f>ROUND(I754*INDEX(과지급률범위,E754),0)</f>
        <v/>
      </c>
      <c r="N754" s="2">
        <f>MAX(0,L754-M754)</f>
        <v/>
      </c>
      <c r="O754" s="2">
        <f>K754-N754</f>
        <v/>
      </c>
      <c r="P754" s="2">
        <f>I754-N754</f>
        <v/>
      </c>
      <c r="Q754" s="5">
        <f>IF(G754&gt;기준일,1,0)</f>
        <v/>
      </c>
      <c r="R754" s="5">
        <f>IF(G754&lt;=기준일,1,0)</f>
        <v/>
      </c>
      <c r="S754" s="2">
        <f>J754*H754</f>
        <v/>
      </c>
      <c r="T754" s="5">
        <f>IF(AND(F754&gt;=표본시작,F754&lt;=표본종료),1,0)</f>
        <v/>
      </c>
      <c r="U754" s="5">
        <f>IF(AND(G754&gt;=조회시작,G754&lt;=조회종료),1,0)</f>
        <v/>
      </c>
    </row>
    <row r="755">
      <c r="A755" s="2">
        <f>ROW()-1</f>
        <v/>
      </c>
      <c r="B755" s="5">
        <f>INDEX(상호범위,D755)</f>
        <v/>
      </c>
      <c r="C755" s="5">
        <f>INDEX(플랫폼명범위,E755)</f>
        <v/>
      </c>
      <c r="D755" s="2">
        <f>MOD(INT((A755-1)/4),8)+1</f>
        <v/>
      </c>
      <c r="E755" s="2">
        <f>MOD(A755-1,4)+1</f>
        <v/>
      </c>
      <c r="F755" s="20">
        <f>축시작+INT((A755-1)/32)</f>
        <v/>
      </c>
      <c r="G755" s="20">
        <f>F755+H755</f>
        <v/>
      </c>
      <c r="H755" s="5" t="n">
        <v>2</v>
      </c>
      <c r="I755" s="2">
        <f>ROUND(INDEX(가맹점!$P$2:$P$9,D755)*INDEX(가맹점!$J$2:$M$9,D755,E755),0)</f>
        <v/>
      </c>
      <c r="J755" s="2">
        <f>ROUND(I755*(1-할인율),0)</f>
        <v/>
      </c>
      <c r="K755" s="2">
        <f>ROUNDDOWN(I755*할인율,0)</f>
        <v/>
      </c>
      <c r="L755" s="2">
        <f>ROUND(I755*INDEX(미지급률범위,E755),0)</f>
        <v/>
      </c>
      <c r="M755" s="2">
        <f>ROUND(I755*INDEX(과지급률범위,E755),0)</f>
        <v/>
      </c>
      <c r="N755" s="2">
        <f>MAX(0,L755-M755)</f>
        <v/>
      </c>
      <c r="O755" s="2">
        <f>K755-N755</f>
        <v/>
      </c>
      <c r="P755" s="2">
        <f>I755-N755</f>
        <v/>
      </c>
      <c r="Q755" s="5">
        <f>IF(G755&gt;기준일,1,0)</f>
        <v/>
      </c>
      <c r="R755" s="5">
        <f>IF(G755&lt;=기준일,1,0)</f>
        <v/>
      </c>
      <c r="S755" s="2">
        <f>J755*H755</f>
        <v/>
      </c>
      <c r="T755" s="5">
        <f>IF(AND(F755&gt;=표본시작,F755&lt;=표본종료),1,0)</f>
        <v/>
      </c>
      <c r="U755" s="5">
        <f>IF(AND(G755&gt;=조회시작,G755&lt;=조회종료),1,0)</f>
        <v/>
      </c>
    </row>
    <row r="756">
      <c r="A756" s="2">
        <f>ROW()-1</f>
        <v/>
      </c>
      <c r="B756" s="5">
        <f>INDEX(상호범위,D756)</f>
        <v/>
      </c>
      <c r="C756" s="5">
        <f>INDEX(플랫폼명범위,E756)</f>
        <v/>
      </c>
      <c r="D756" s="2">
        <f>MOD(INT((A756-1)/4),8)+1</f>
        <v/>
      </c>
      <c r="E756" s="2">
        <f>MOD(A756-1,4)+1</f>
        <v/>
      </c>
      <c r="F756" s="20">
        <f>축시작+INT((A756-1)/32)</f>
        <v/>
      </c>
      <c r="G756" s="20">
        <f>F756+H756</f>
        <v/>
      </c>
      <c r="H756" s="5" t="n">
        <v>9</v>
      </c>
      <c r="I756" s="2">
        <f>ROUND(INDEX(가맹점!$P$2:$P$9,D756)*INDEX(가맹점!$J$2:$M$9,D756,E756),0)</f>
        <v/>
      </c>
      <c r="J756" s="2">
        <f>ROUND(I756*(1-할인율),0)</f>
        <v/>
      </c>
      <c r="K756" s="2">
        <f>ROUNDDOWN(I756*할인율,0)</f>
        <v/>
      </c>
      <c r="L756" s="2">
        <f>ROUND(I756*INDEX(미지급률범위,E756),0)</f>
        <v/>
      </c>
      <c r="M756" s="2">
        <f>ROUND(I756*INDEX(과지급률범위,E756),0)</f>
        <v/>
      </c>
      <c r="N756" s="2">
        <f>MAX(0,L756-M756)</f>
        <v/>
      </c>
      <c r="O756" s="2">
        <f>K756-N756</f>
        <v/>
      </c>
      <c r="P756" s="2">
        <f>I756-N756</f>
        <v/>
      </c>
      <c r="Q756" s="5">
        <f>IF(G756&gt;기준일,1,0)</f>
        <v/>
      </c>
      <c r="R756" s="5">
        <f>IF(G756&lt;=기준일,1,0)</f>
        <v/>
      </c>
      <c r="S756" s="2">
        <f>J756*H756</f>
        <v/>
      </c>
      <c r="T756" s="5">
        <f>IF(AND(F756&gt;=표본시작,F756&lt;=표본종료),1,0)</f>
        <v/>
      </c>
      <c r="U756" s="5">
        <f>IF(AND(G756&gt;=조회시작,G756&lt;=조회종료),1,0)</f>
        <v/>
      </c>
    </row>
    <row r="757">
      <c r="A757" s="2">
        <f>ROW()-1</f>
        <v/>
      </c>
      <c r="B757" s="5">
        <f>INDEX(상호범위,D757)</f>
        <v/>
      </c>
      <c r="C757" s="5">
        <f>INDEX(플랫폼명범위,E757)</f>
        <v/>
      </c>
      <c r="D757" s="2">
        <f>MOD(INT((A757-1)/4),8)+1</f>
        <v/>
      </c>
      <c r="E757" s="2">
        <f>MOD(A757-1,4)+1</f>
        <v/>
      </c>
      <c r="F757" s="20">
        <f>축시작+INT((A757-1)/32)</f>
        <v/>
      </c>
      <c r="G757" s="20">
        <f>F757+H757</f>
        <v/>
      </c>
      <c r="H757" s="5" t="n">
        <v>6</v>
      </c>
      <c r="I757" s="2">
        <f>ROUND(INDEX(가맹점!$P$2:$P$9,D757)*INDEX(가맹점!$J$2:$M$9,D757,E757),0)</f>
        <v/>
      </c>
      <c r="J757" s="2">
        <f>ROUND(I757*(1-할인율),0)</f>
        <v/>
      </c>
      <c r="K757" s="2">
        <f>ROUNDDOWN(I757*할인율,0)</f>
        <v/>
      </c>
      <c r="L757" s="2">
        <f>ROUND(I757*INDEX(미지급률범위,E757),0)</f>
        <v/>
      </c>
      <c r="M757" s="2">
        <f>ROUND(I757*INDEX(과지급률범위,E757),0)</f>
        <v/>
      </c>
      <c r="N757" s="2">
        <f>MAX(0,L757-M757)</f>
        <v/>
      </c>
      <c r="O757" s="2">
        <f>K757-N757</f>
        <v/>
      </c>
      <c r="P757" s="2">
        <f>I757-N757</f>
        <v/>
      </c>
      <c r="Q757" s="5">
        <f>IF(G757&gt;기준일,1,0)</f>
        <v/>
      </c>
      <c r="R757" s="5">
        <f>IF(G757&lt;=기준일,1,0)</f>
        <v/>
      </c>
      <c r="S757" s="2">
        <f>J757*H757</f>
        <v/>
      </c>
      <c r="T757" s="5">
        <f>IF(AND(F757&gt;=표본시작,F757&lt;=표본종료),1,0)</f>
        <v/>
      </c>
      <c r="U757" s="5">
        <f>IF(AND(G757&gt;=조회시작,G757&lt;=조회종료),1,0)</f>
        <v/>
      </c>
    </row>
    <row r="758">
      <c r="A758" s="2">
        <f>ROW()-1</f>
        <v/>
      </c>
      <c r="B758" s="5">
        <f>INDEX(상호범위,D758)</f>
        <v/>
      </c>
      <c r="C758" s="5">
        <f>INDEX(플랫폼명범위,E758)</f>
        <v/>
      </c>
      <c r="D758" s="2">
        <f>MOD(INT((A758-1)/4),8)+1</f>
        <v/>
      </c>
      <c r="E758" s="2">
        <f>MOD(A758-1,4)+1</f>
        <v/>
      </c>
      <c r="F758" s="20">
        <f>축시작+INT((A758-1)/32)</f>
        <v/>
      </c>
      <c r="G758" s="20">
        <f>F758+H758</f>
        <v/>
      </c>
      <c r="H758" s="5" t="n">
        <v>1</v>
      </c>
      <c r="I758" s="2">
        <f>ROUND(INDEX(가맹점!$P$2:$P$9,D758)*INDEX(가맹점!$J$2:$M$9,D758,E758),0)</f>
        <v/>
      </c>
      <c r="J758" s="2">
        <f>ROUND(I758*(1-할인율),0)</f>
        <v/>
      </c>
      <c r="K758" s="2">
        <f>ROUNDDOWN(I758*할인율,0)</f>
        <v/>
      </c>
      <c r="L758" s="2">
        <f>ROUND(I758*INDEX(미지급률범위,E758),0)</f>
        <v/>
      </c>
      <c r="M758" s="2">
        <f>ROUND(I758*INDEX(과지급률범위,E758),0)</f>
        <v/>
      </c>
      <c r="N758" s="2">
        <f>MAX(0,L758-M758)</f>
        <v/>
      </c>
      <c r="O758" s="2">
        <f>K758-N758</f>
        <v/>
      </c>
      <c r="P758" s="2">
        <f>I758-N758</f>
        <v/>
      </c>
      <c r="Q758" s="5">
        <f>IF(G758&gt;기준일,1,0)</f>
        <v/>
      </c>
      <c r="R758" s="5">
        <f>IF(G758&lt;=기준일,1,0)</f>
        <v/>
      </c>
      <c r="S758" s="2">
        <f>J758*H758</f>
        <v/>
      </c>
      <c r="T758" s="5">
        <f>IF(AND(F758&gt;=표본시작,F758&lt;=표본종료),1,0)</f>
        <v/>
      </c>
      <c r="U758" s="5">
        <f>IF(AND(G758&gt;=조회시작,G758&lt;=조회종료),1,0)</f>
        <v/>
      </c>
    </row>
    <row r="759">
      <c r="A759" s="2">
        <f>ROW()-1</f>
        <v/>
      </c>
      <c r="B759" s="5">
        <f>INDEX(상호범위,D759)</f>
        <v/>
      </c>
      <c r="C759" s="5">
        <f>INDEX(플랫폼명범위,E759)</f>
        <v/>
      </c>
      <c r="D759" s="2">
        <f>MOD(INT((A759-1)/4),8)+1</f>
        <v/>
      </c>
      <c r="E759" s="2">
        <f>MOD(A759-1,4)+1</f>
        <v/>
      </c>
      <c r="F759" s="20">
        <f>축시작+INT((A759-1)/32)</f>
        <v/>
      </c>
      <c r="G759" s="20">
        <f>F759+H759</f>
        <v/>
      </c>
      <c r="H759" s="5" t="n">
        <v>2</v>
      </c>
      <c r="I759" s="2">
        <f>ROUND(INDEX(가맹점!$P$2:$P$9,D759)*INDEX(가맹점!$J$2:$M$9,D759,E759),0)</f>
        <v/>
      </c>
      <c r="J759" s="2">
        <f>ROUND(I759*(1-할인율),0)</f>
        <v/>
      </c>
      <c r="K759" s="2">
        <f>ROUNDDOWN(I759*할인율,0)</f>
        <v/>
      </c>
      <c r="L759" s="2">
        <f>ROUND(I759*INDEX(미지급률범위,E759),0)</f>
        <v/>
      </c>
      <c r="M759" s="2">
        <f>ROUND(I759*INDEX(과지급률범위,E759),0)</f>
        <v/>
      </c>
      <c r="N759" s="2">
        <f>MAX(0,L759-M759)</f>
        <v/>
      </c>
      <c r="O759" s="2">
        <f>K759-N759</f>
        <v/>
      </c>
      <c r="P759" s="2">
        <f>I759-N759</f>
        <v/>
      </c>
      <c r="Q759" s="5">
        <f>IF(G759&gt;기준일,1,0)</f>
        <v/>
      </c>
      <c r="R759" s="5">
        <f>IF(G759&lt;=기준일,1,0)</f>
        <v/>
      </c>
      <c r="S759" s="2">
        <f>J759*H759</f>
        <v/>
      </c>
      <c r="T759" s="5">
        <f>IF(AND(F759&gt;=표본시작,F759&lt;=표본종료),1,0)</f>
        <v/>
      </c>
      <c r="U759" s="5">
        <f>IF(AND(G759&gt;=조회시작,G759&lt;=조회종료),1,0)</f>
        <v/>
      </c>
    </row>
    <row r="760">
      <c r="A760" s="2">
        <f>ROW()-1</f>
        <v/>
      </c>
      <c r="B760" s="5">
        <f>INDEX(상호범위,D760)</f>
        <v/>
      </c>
      <c r="C760" s="5">
        <f>INDEX(플랫폼명범위,E760)</f>
        <v/>
      </c>
      <c r="D760" s="2">
        <f>MOD(INT((A760-1)/4),8)+1</f>
        <v/>
      </c>
      <c r="E760" s="2">
        <f>MOD(A760-1,4)+1</f>
        <v/>
      </c>
      <c r="F760" s="20">
        <f>축시작+INT((A760-1)/32)</f>
        <v/>
      </c>
      <c r="G760" s="20">
        <f>F760+H760</f>
        <v/>
      </c>
      <c r="H760" s="5" t="n">
        <v>5</v>
      </c>
      <c r="I760" s="2">
        <f>ROUND(INDEX(가맹점!$P$2:$P$9,D760)*INDEX(가맹점!$J$2:$M$9,D760,E760),0)</f>
        <v/>
      </c>
      <c r="J760" s="2">
        <f>ROUND(I760*(1-할인율),0)</f>
        <v/>
      </c>
      <c r="K760" s="2">
        <f>ROUNDDOWN(I760*할인율,0)</f>
        <v/>
      </c>
      <c r="L760" s="2">
        <f>ROUND(I760*INDEX(미지급률범위,E760),0)</f>
        <v/>
      </c>
      <c r="M760" s="2">
        <f>ROUND(I760*INDEX(과지급률범위,E760),0)</f>
        <v/>
      </c>
      <c r="N760" s="2">
        <f>MAX(0,L760-M760)</f>
        <v/>
      </c>
      <c r="O760" s="2">
        <f>K760-N760</f>
        <v/>
      </c>
      <c r="P760" s="2">
        <f>I760-N760</f>
        <v/>
      </c>
      <c r="Q760" s="5">
        <f>IF(G760&gt;기준일,1,0)</f>
        <v/>
      </c>
      <c r="R760" s="5">
        <f>IF(G760&lt;=기준일,1,0)</f>
        <v/>
      </c>
      <c r="S760" s="2">
        <f>J760*H760</f>
        <v/>
      </c>
      <c r="T760" s="5">
        <f>IF(AND(F760&gt;=표본시작,F760&lt;=표본종료),1,0)</f>
        <v/>
      </c>
      <c r="U760" s="5">
        <f>IF(AND(G760&gt;=조회시작,G760&lt;=조회종료),1,0)</f>
        <v/>
      </c>
    </row>
    <row r="761">
      <c r="A761" s="2">
        <f>ROW()-1</f>
        <v/>
      </c>
      <c r="B761" s="5">
        <f>INDEX(상호범위,D761)</f>
        <v/>
      </c>
      <c r="C761" s="5">
        <f>INDEX(플랫폼명범위,E761)</f>
        <v/>
      </c>
      <c r="D761" s="2">
        <f>MOD(INT((A761-1)/4),8)+1</f>
        <v/>
      </c>
      <c r="E761" s="2">
        <f>MOD(A761-1,4)+1</f>
        <v/>
      </c>
      <c r="F761" s="20">
        <f>축시작+INT((A761-1)/32)</f>
        <v/>
      </c>
      <c r="G761" s="20">
        <f>F761+H761</f>
        <v/>
      </c>
      <c r="H761" s="5" t="n">
        <v>10</v>
      </c>
      <c r="I761" s="2">
        <f>ROUND(INDEX(가맹점!$P$2:$P$9,D761)*INDEX(가맹점!$J$2:$M$9,D761,E761),0)</f>
        <v/>
      </c>
      <c r="J761" s="2">
        <f>ROUND(I761*(1-할인율),0)</f>
        <v/>
      </c>
      <c r="K761" s="2">
        <f>ROUNDDOWN(I761*할인율,0)</f>
        <v/>
      </c>
      <c r="L761" s="2">
        <f>ROUND(I761*INDEX(미지급률범위,E761),0)</f>
        <v/>
      </c>
      <c r="M761" s="2">
        <f>ROUND(I761*INDEX(과지급률범위,E761),0)</f>
        <v/>
      </c>
      <c r="N761" s="2">
        <f>MAX(0,L761-M761)</f>
        <v/>
      </c>
      <c r="O761" s="2">
        <f>K761-N761</f>
        <v/>
      </c>
      <c r="P761" s="2">
        <f>I761-N761</f>
        <v/>
      </c>
      <c r="Q761" s="5">
        <f>IF(G761&gt;기준일,1,0)</f>
        <v/>
      </c>
      <c r="R761" s="5">
        <f>IF(G761&lt;=기준일,1,0)</f>
        <v/>
      </c>
      <c r="S761" s="2">
        <f>J761*H761</f>
        <v/>
      </c>
      <c r="T761" s="5">
        <f>IF(AND(F761&gt;=표본시작,F761&lt;=표본종료),1,0)</f>
        <v/>
      </c>
      <c r="U761" s="5">
        <f>IF(AND(G761&gt;=조회시작,G761&lt;=조회종료),1,0)</f>
        <v/>
      </c>
    </row>
    <row r="762">
      <c r="A762" s="2">
        <f>ROW()-1</f>
        <v/>
      </c>
      <c r="B762" s="5">
        <f>INDEX(상호범위,D762)</f>
        <v/>
      </c>
      <c r="C762" s="5">
        <f>INDEX(플랫폼명범위,E762)</f>
        <v/>
      </c>
      <c r="D762" s="2">
        <f>MOD(INT((A762-1)/4),8)+1</f>
        <v/>
      </c>
      <c r="E762" s="2">
        <f>MOD(A762-1,4)+1</f>
        <v/>
      </c>
      <c r="F762" s="20">
        <f>축시작+INT((A762-1)/32)</f>
        <v/>
      </c>
      <c r="G762" s="20">
        <f>F762+H762</f>
        <v/>
      </c>
      <c r="H762" s="5" t="n">
        <v>1</v>
      </c>
      <c r="I762" s="2">
        <f>ROUND(INDEX(가맹점!$P$2:$P$9,D762)*INDEX(가맹점!$J$2:$M$9,D762,E762),0)</f>
        <v/>
      </c>
      <c r="J762" s="2">
        <f>ROUND(I762*(1-할인율),0)</f>
        <v/>
      </c>
      <c r="K762" s="2">
        <f>ROUNDDOWN(I762*할인율,0)</f>
        <v/>
      </c>
      <c r="L762" s="2">
        <f>ROUND(I762*INDEX(미지급률범위,E762),0)</f>
        <v/>
      </c>
      <c r="M762" s="2">
        <f>ROUND(I762*INDEX(과지급률범위,E762),0)</f>
        <v/>
      </c>
      <c r="N762" s="2">
        <f>MAX(0,L762-M762)</f>
        <v/>
      </c>
      <c r="O762" s="2">
        <f>K762-N762</f>
        <v/>
      </c>
      <c r="P762" s="2">
        <f>I762-N762</f>
        <v/>
      </c>
      <c r="Q762" s="5">
        <f>IF(G762&gt;기준일,1,0)</f>
        <v/>
      </c>
      <c r="R762" s="5">
        <f>IF(G762&lt;=기준일,1,0)</f>
        <v/>
      </c>
      <c r="S762" s="2">
        <f>J762*H762</f>
        <v/>
      </c>
      <c r="T762" s="5">
        <f>IF(AND(F762&gt;=표본시작,F762&lt;=표본종료),1,0)</f>
        <v/>
      </c>
      <c r="U762" s="5">
        <f>IF(AND(G762&gt;=조회시작,G762&lt;=조회종료),1,0)</f>
        <v/>
      </c>
    </row>
    <row r="763">
      <c r="A763" s="2">
        <f>ROW()-1</f>
        <v/>
      </c>
      <c r="B763" s="5">
        <f>INDEX(상호범위,D763)</f>
        <v/>
      </c>
      <c r="C763" s="5">
        <f>INDEX(플랫폼명범위,E763)</f>
        <v/>
      </c>
      <c r="D763" s="2">
        <f>MOD(INT((A763-1)/4),8)+1</f>
        <v/>
      </c>
      <c r="E763" s="2">
        <f>MOD(A763-1,4)+1</f>
        <v/>
      </c>
      <c r="F763" s="20">
        <f>축시작+INT((A763-1)/32)</f>
        <v/>
      </c>
      <c r="G763" s="20">
        <f>F763+H763</f>
        <v/>
      </c>
      <c r="H763" s="5" t="n">
        <v>2</v>
      </c>
      <c r="I763" s="2">
        <f>ROUND(INDEX(가맹점!$P$2:$P$9,D763)*INDEX(가맹점!$J$2:$M$9,D763,E763),0)</f>
        <v/>
      </c>
      <c r="J763" s="2">
        <f>ROUND(I763*(1-할인율),0)</f>
        <v/>
      </c>
      <c r="K763" s="2">
        <f>ROUNDDOWN(I763*할인율,0)</f>
        <v/>
      </c>
      <c r="L763" s="2">
        <f>ROUND(I763*INDEX(미지급률범위,E763),0)</f>
        <v/>
      </c>
      <c r="M763" s="2">
        <f>ROUND(I763*INDEX(과지급률범위,E763),0)</f>
        <v/>
      </c>
      <c r="N763" s="2">
        <f>MAX(0,L763-M763)</f>
        <v/>
      </c>
      <c r="O763" s="2">
        <f>K763-N763</f>
        <v/>
      </c>
      <c r="P763" s="2">
        <f>I763-N763</f>
        <v/>
      </c>
      <c r="Q763" s="5">
        <f>IF(G763&gt;기준일,1,0)</f>
        <v/>
      </c>
      <c r="R763" s="5">
        <f>IF(G763&lt;=기준일,1,0)</f>
        <v/>
      </c>
      <c r="S763" s="2">
        <f>J763*H763</f>
        <v/>
      </c>
      <c r="T763" s="5">
        <f>IF(AND(F763&gt;=표본시작,F763&lt;=표본종료),1,0)</f>
        <v/>
      </c>
      <c r="U763" s="5">
        <f>IF(AND(G763&gt;=조회시작,G763&lt;=조회종료),1,0)</f>
        <v/>
      </c>
    </row>
    <row r="764">
      <c r="A764" s="2">
        <f>ROW()-1</f>
        <v/>
      </c>
      <c r="B764" s="5">
        <f>INDEX(상호범위,D764)</f>
        <v/>
      </c>
      <c r="C764" s="5">
        <f>INDEX(플랫폼명범위,E764)</f>
        <v/>
      </c>
      <c r="D764" s="2">
        <f>MOD(INT((A764-1)/4),8)+1</f>
        <v/>
      </c>
      <c r="E764" s="2">
        <f>MOD(A764-1,4)+1</f>
        <v/>
      </c>
      <c r="F764" s="20">
        <f>축시작+INT((A764-1)/32)</f>
        <v/>
      </c>
      <c r="G764" s="20">
        <f>F764+H764</f>
        <v/>
      </c>
      <c r="H764" s="5" t="n">
        <v>3</v>
      </c>
      <c r="I764" s="2">
        <f>ROUND(INDEX(가맹점!$P$2:$P$9,D764)*INDEX(가맹점!$J$2:$M$9,D764,E764),0)</f>
        <v/>
      </c>
      <c r="J764" s="2">
        <f>ROUND(I764*(1-할인율),0)</f>
        <v/>
      </c>
      <c r="K764" s="2">
        <f>ROUNDDOWN(I764*할인율,0)</f>
        <v/>
      </c>
      <c r="L764" s="2">
        <f>ROUND(I764*INDEX(미지급률범위,E764),0)</f>
        <v/>
      </c>
      <c r="M764" s="2">
        <f>ROUND(I764*INDEX(과지급률범위,E764),0)</f>
        <v/>
      </c>
      <c r="N764" s="2">
        <f>MAX(0,L764-M764)</f>
        <v/>
      </c>
      <c r="O764" s="2">
        <f>K764-N764</f>
        <v/>
      </c>
      <c r="P764" s="2">
        <f>I764-N764</f>
        <v/>
      </c>
      <c r="Q764" s="5">
        <f>IF(G764&gt;기준일,1,0)</f>
        <v/>
      </c>
      <c r="R764" s="5">
        <f>IF(G764&lt;=기준일,1,0)</f>
        <v/>
      </c>
      <c r="S764" s="2">
        <f>J764*H764</f>
        <v/>
      </c>
      <c r="T764" s="5">
        <f>IF(AND(F764&gt;=표본시작,F764&lt;=표본종료),1,0)</f>
        <v/>
      </c>
      <c r="U764" s="5">
        <f>IF(AND(G764&gt;=조회시작,G764&lt;=조회종료),1,0)</f>
        <v/>
      </c>
    </row>
    <row r="765">
      <c r="A765" s="2">
        <f>ROW()-1</f>
        <v/>
      </c>
      <c r="B765" s="5">
        <f>INDEX(상호범위,D765)</f>
        <v/>
      </c>
      <c r="C765" s="5">
        <f>INDEX(플랫폼명범위,E765)</f>
        <v/>
      </c>
      <c r="D765" s="2">
        <f>MOD(INT((A765-1)/4),8)+1</f>
        <v/>
      </c>
      <c r="E765" s="2">
        <f>MOD(A765-1,4)+1</f>
        <v/>
      </c>
      <c r="F765" s="20">
        <f>축시작+INT((A765-1)/32)</f>
        <v/>
      </c>
      <c r="G765" s="20">
        <f>F765+H765</f>
        <v/>
      </c>
      <c r="H765" s="5" t="n">
        <v>6</v>
      </c>
      <c r="I765" s="2">
        <f>ROUND(INDEX(가맹점!$P$2:$P$9,D765)*INDEX(가맹점!$J$2:$M$9,D765,E765),0)</f>
        <v/>
      </c>
      <c r="J765" s="2">
        <f>ROUND(I765*(1-할인율),0)</f>
        <v/>
      </c>
      <c r="K765" s="2">
        <f>ROUNDDOWN(I765*할인율,0)</f>
        <v/>
      </c>
      <c r="L765" s="2">
        <f>ROUND(I765*INDEX(미지급률범위,E765),0)</f>
        <v/>
      </c>
      <c r="M765" s="2">
        <f>ROUND(I765*INDEX(과지급률범위,E765),0)</f>
        <v/>
      </c>
      <c r="N765" s="2">
        <f>MAX(0,L765-M765)</f>
        <v/>
      </c>
      <c r="O765" s="2">
        <f>K765-N765</f>
        <v/>
      </c>
      <c r="P765" s="2">
        <f>I765-N765</f>
        <v/>
      </c>
      <c r="Q765" s="5">
        <f>IF(G765&gt;기준일,1,0)</f>
        <v/>
      </c>
      <c r="R765" s="5">
        <f>IF(G765&lt;=기준일,1,0)</f>
        <v/>
      </c>
      <c r="S765" s="2">
        <f>J765*H765</f>
        <v/>
      </c>
      <c r="T765" s="5">
        <f>IF(AND(F765&gt;=표본시작,F765&lt;=표본종료),1,0)</f>
        <v/>
      </c>
      <c r="U765" s="5">
        <f>IF(AND(G765&gt;=조회시작,G765&lt;=조회종료),1,0)</f>
        <v/>
      </c>
    </row>
    <row r="766">
      <c r="A766" s="2">
        <f>ROW()-1</f>
        <v/>
      </c>
      <c r="B766" s="5">
        <f>INDEX(상호범위,D766)</f>
        <v/>
      </c>
      <c r="C766" s="5">
        <f>INDEX(플랫폼명범위,E766)</f>
        <v/>
      </c>
      <c r="D766" s="2">
        <f>MOD(INT((A766-1)/4),8)+1</f>
        <v/>
      </c>
      <c r="E766" s="2">
        <f>MOD(A766-1,4)+1</f>
        <v/>
      </c>
      <c r="F766" s="20">
        <f>축시작+INT((A766-1)/32)</f>
        <v/>
      </c>
      <c r="G766" s="20">
        <f>F766+H766</f>
        <v/>
      </c>
      <c r="H766" s="5" t="n">
        <v>1</v>
      </c>
      <c r="I766" s="2">
        <f>ROUND(INDEX(가맹점!$P$2:$P$9,D766)*INDEX(가맹점!$J$2:$M$9,D766,E766),0)</f>
        <v/>
      </c>
      <c r="J766" s="2">
        <f>ROUND(I766*(1-할인율),0)</f>
        <v/>
      </c>
      <c r="K766" s="2">
        <f>ROUNDDOWN(I766*할인율,0)</f>
        <v/>
      </c>
      <c r="L766" s="2">
        <f>ROUND(I766*INDEX(미지급률범위,E766),0)</f>
        <v/>
      </c>
      <c r="M766" s="2">
        <f>ROUND(I766*INDEX(과지급률범위,E766),0)</f>
        <v/>
      </c>
      <c r="N766" s="2">
        <f>MAX(0,L766-M766)</f>
        <v/>
      </c>
      <c r="O766" s="2">
        <f>K766-N766</f>
        <v/>
      </c>
      <c r="P766" s="2">
        <f>I766-N766</f>
        <v/>
      </c>
      <c r="Q766" s="5">
        <f>IF(G766&gt;기준일,1,0)</f>
        <v/>
      </c>
      <c r="R766" s="5">
        <f>IF(G766&lt;=기준일,1,0)</f>
        <v/>
      </c>
      <c r="S766" s="2">
        <f>J766*H766</f>
        <v/>
      </c>
      <c r="T766" s="5">
        <f>IF(AND(F766&gt;=표본시작,F766&lt;=표본종료),1,0)</f>
        <v/>
      </c>
      <c r="U766" s="5">
        <f>IF(AND(G766&gt;=조회시작,G766&lt;=조회종료),1,0)</f>
        <v/>
      </c>
    </row>
    <row r="767">
      <c r="A767" s="2">
        <f>ROW()-1</f>
        <v/>
      </c>
      <c r="B767" s="5">
        <f>INDEX(상호범위,D767)</f>
        <v/>
      </c>
      <c r="C767" s="5">
        <f>INDEX(플랫폼명범위,E767)</f>
        <v/>
      </c>
      <c r="D767" s="2">
        <f>MOD(INT((A767-1)/4),8)+1</f>
        <v/>
      </c>
      <c r="E767" s="2">
        <f>MOD(A767-1,4)+1</f>
        <v/>
      </c>
      <c r="F767" s="20">
        <f>축시작+INT((A767-1)/32)</f>
        <v/>
      </c>
      <c r="G767" s="20">
        <f>F767+H767</f>
        <v/>
      </c>
      <c r="H767" s="5" t="n">
        <v>4</v>
      </c>
      <c r="I767" s="2">
        <f>ROUND(INDEX(가맹점!$P$2:$P$9,D767)*INDEX(가맹점!$J$2:$M$9,D767,E767),0)</f>
        <v/>
      </c>
      <c r="J767" s="2">
        <f>ROUND(I767*(1-할인율),0)</f>
        <v/>
      </c>
      <c r="K767" s="2">
        <f>ROUNDDOWN(I767*할인율,0)</f>
        <v/>
      </c>
      <c r="L767" s="2">
        <f>ROUND(I767*INDEX(미지급률범위,E767),0)</f>
        <v/>
      </c>
      <c r="M767" s="2">
        <f>ROUND(I767*INDEX(과지급률범위,E767),0)</f>
        <v/>
      </c>
      <c r="N767" s="2">
        <f>MAX(0,L767-M767)</f>
        <v/>
      </c>
      <c r="O767" s="2">
        <f>K767-N767</f>
        <v/>
      </c>
      <c r="P767" s="2">
        <f>I767-N767</f>
        <v/>
      </c>
      <c r="Q767" s="5">
        <f>IF(G767&gt;기준일,1,0)</f>
        <v/>
      </c>
      <c r="R767" s="5">
        <f>IF(G767&lt;=기준일,1,0)</f>
        <v/>
      </c>
      <c r="S767" s="2">
        <f>J767*H767</f>
        <v/>
      </c>
      <c r="T767" s="5">
        <f>IF(AND(F767&gt;=표본시작,F767&lt;=표본종료),1,0)</f>
        <v/>
      </c>
      <c r="U767" s="5">
        <f>IF(AND(G767&gt;=조회시작,G767&lt;=조회종료),1,0)</f>
        <v/>
      </c>
    </row>
    <row r="768">
      <c r="A768" s="2">
        <f>ROW()-1</f>
        <v/>
      </c>
      <c r="B768" s="5">
        <f>INDEX(상호범위,D768)</f>
        <v/>
      </c>
      <c r="C768" s="5">
        <f>INDEX(플랫폼명범위,E768)</f>
        <v/>
      </c>
      <c r="D768" s="2">
        <f>MOD(INT((A768-1)/4),8)+1</f>
        <v/>
      </c>
      <c r="E768" s="2">
        <f>MOD(A768-1,4)+1</f>
        <v/>
      </c>
      <c r="F768" s="20">
        <f>축시작+INT((A768-1)/32)</f>
        <v/>
      </c>
      <c r="G768" s="20">
        <f>F768+H768</f>
        <v/>
      </c>
      <c r="H768" s="5" t="n">
        <v>5</v>
      </c>
      <c r="I768" s="2">
        <f>ROUND(INDEX(가맹점!$P$2:$P$9,D768)*INDEX(가맹점!$J$2:$M$9,D768,E768),0)</f>
        <v/>
      </c>
      <c r="J768" s="2">
        <f>ROUND(I768*(1-할인율),0)</f>
        <v/>
      </c>
      <c r="K768" s="2">
        <f>ROUNDDOWN(I768*할인율,0)</f>
        <v/>
      </c>
      <c r="L768" s="2">
        <f>ROUND(I768*INDEX(미지급률범위,E768),0)</f>
        <v/>
      </c>
      <c r="M768" s="2">
        <f>ROUND(I768*INDEX(과지급률범위,E768),0)</f>
        <v/>
      </c>
      <c r="N768" s="2">
        <f>MAX(0,L768-M768)</f>
        <v/>
      </c>
      <c r="O768" s="2">
        <f>K768-N768</f>
        <v/>
      </c>
      <c r="P768" s="2">
        <f>I768-N768</f>
        <v/>
      </c>
      <c r="Q768" s="5">
        <f>IF(G768&gt;기준일,1,0)</f>
        <v/>
      </c>
      <c r="R768" s="5">
        <f>IF(G768&lt;=기준일,1,0)</f>
        <v/>
      </c>
      <c r="S768" s="2">
        <f>J768*H768</f>
        <v/>
      </c>
      <c r="T768" s="5">
        <f>IF(AND(F768&gt;=표본시작,F768&lt;=표본종료),1,0)</f>
        <v/>
      </c>
      <c r="U768" s="5">
        <f>IF(AND(G768&gt;=조회시작,G768&lt;=조회종료),1,0)</f>
        <v/>
      </c>
    </row>
    <row r="769">
      <c r="A769" s="2">
        <f>ROW()-1</f>
        <v/>
      </c>
      <c r="B769" s="5">
        <f>INDEX(상호범위,D769)</f>
        <v/>
      </c>
      <c r="C769" s="5">
        <f>INDEX(플랫폼명범위,E769)</f>
        <v/>
      </c>
      <c r="D769" s="2">
        <f>MOD(INT((A769-1)/4),8)+1</f>
        <v/>
      </c>
      <c r="E769" s="2">
        <f>MOD(A769-1,4)+1</f>
        <v/>
      </c>
      <c r="F769" s="20">
        <f>축시작+INT((A769-1)/32)</f>
        <v/>
      </c>
      <c r="G769" s="20">
        <f>F769+H769</f>
        <v/>
      </c>
      <c r="H769" s="5" t="n">
        <v>10</v>
      </c>
      <c r="I769" s="2">
        <f>ROUND(INDEX(가맹점!$P$2:$P$9,D769)*INDEX(가맹점!$J$2:$M$9,D769,E769),0)</f>
        <v/>
      </c>
      <c r="J769" s="2">
        <f>ROUND(I769*(1-할인율),0)</f>
        <v/>
      </c>
      <c r="K769" s="2">
        <f>ROUNDDOWN(I769*할인율,0)</f>
        <v/>
      </c>
      <c r="L769" s="2">
        <f>ROUND(I769*INDEX(미지급률범위,E769),0)</f>
        <v/>
      </c>
      <c r="M769" s="2">
        <f>ROUND(I769*INDEX(과지급률범위,E769),0)</f>
        <v/>
      </c>
      <c r="N769" s="2">
        <f>MAX(0,L769-M769)</f>
        <v/>
      </c>
      <c r="O769" s="2">
        <f>K769-N769</f>
        <v/>
      </c>
      <c r="P769" s="2">
        <f>I769-N769</f>
        <v/>
      </c>
      <c r="Q769" s="5">
        <f>IF(G769&gt;기준일,1,0)</f>
        <v/>
      </c>
      <c r="R769" s="5">
        <f>IF(G769&lt;=기준일,1,0)</f>
        <v/>
      </c>
      <c r="S769" s="2">
        <f>J769*H769</f>
        <v/>
      </c>
      <c r="T769" s="5">
        <f>IF(AND(F769&gt;=표본시작,F769&lt;=표본종료),1,0)</f>
        <v/>
      </c>
      <c r="U769" s="5">
        <f>IF(AND(G769&gt;=조회시작,G769&lt;=조회종료),1,0)</f>
        <v/>
      </c>
    </row>
    <row r="770">
      <c r="A770" s="2">
        <f>ROW()-1</f>
        <v/>
      </c>
      <c r="B770" s="5">
        <f>INDEX(상호범위,D770)</f>
        <v/>
      </c>
      <c r="C770" s="5">
        <f>INDEX(플랫폼명범위,E770)</f>
        <v/>
      </c>
      <c r="D770" s="2">
        <f>MOD(INT((A770-1)/4),8)+1</f>
        <v/>
      </c>
      <c r="E770" s="2">
        <f>MOD(A770-1,4)+1</f>
        <v/>
      </c>
      <c r="F770" s="20">
        <f>축시작+INT((A770-1)/32)</f>
        <v/>
      </c>
      <c r="G770" s="20">
        <f>F770+H770</f>
        <v/>
      </c>
      <c r="H770" s="5" t="n">
        <v>1</v>
      </c>
      <c r="I770" s="2">
        <f>ROUND(INDEX(가맹점!$P$2:$P$9,D770)*INDEX(가맹점!$J$2:$M$9,D770,E770),0)</f>
        <v/>
      </c>
      <c r="J770" s="2">
        <f>ROUND(I770*(1-할인율),0)</f>
        <v/>
      </c>
      <c r="K770" s="2">
        <f>ROUNDDOWN(I770*할인율,0)</f>
        <v/>
      </c>
      <c r="L770" s="2">
        <f>ROUND(I770*INDEX(미지급률범위,E770),0)</f>
        <v/>
      </c>
      <c r="M770" s="2">
        <f>ROUND(I770*INDEX(과지급률범위,E770),0)</f>
        <v/>
      </c>
      <c r="N770" s="2">
        <f>MAX(0,L770-M770)</f>
        <v/>
      </c>
      <c r="O770" s="2">
        <f>K770-N770</f>
        <v/>
      </c>
      <c r="P770" s="2">
        <f>I770-N770</f>
        <v/>
      </c>
      <c r="Q770" s="5">
        <f>IF(G770&gt;기준일,1,0)</f>
        <v/>
      </c>
      <c r="R770" s="5">
        <f>IF(G770&lt;=기준일,1,0)</f>
        <v/>
      </c>
      <c r="S770" s="2">
        <f>J770*H770</f>
        <v/>
      </c>
      <c r="T770" s="5">
        <f>IF(AND(F770&gt;=표본시작,F770&lt;=표본종료),1,0)</f>
        <v/>
      </c>
      <c r="U770" s="5">
        <f>IF(AND(G770&gt;=조회시작,G770&lt;=조회종료),1,0)</f>
        <v/>
      </c>
    </row>
    <row r="771">
      <c r="A771" s="2">
        <f>ROW()-1</f>
        <v/>
      </c>
      <c r="B771" s="5">
        <f>INDEX(상호범위,D771)</f>
        <v/>
      </c>
      <c r="C771" s="5">
        <f>INDEX(플랫폼명범위,E771)</f>
        <v/>
      </c>
      <c r="D771" s="2">
        <f>MOD(INT((A771-1)/4),8)+1</f>
        <v/>
      </c>
      <c r="E771" s="2">
        <f>MOD(A771-1,4)+1</f>
        <v/>
      </c>
      <c r="F771" s="20">
        <f>축시작+INT((A771-1)/32)</f>
        <v/>
      </c>
      <c r="G771" s="20">
        <f>F771+H771</f>
        <v/>
      </c>
      <c r="H771" s="5" t="n">
        <v>2</v>
      </c>
      <c r="I771" s="2">
        <f>ROUND(INDEX(가맹점!$P$2:$P$9,D771)*INDEX(가맹점!$J$2:$M$9,D771,E771),0)</f>
        <v/>
      </c>
      <c r="J771" s="2">
        <f>ROUND(I771*(1-할인율),0)</f>
        <v/>
      </c>
      <c r="K771" s="2">
        <f>ROUNDDOWN(I771*할인율,0)</f>
        <v/>
      </c>
      <c r="L771" s="2">
        <f>ROUND(I771*INDEX(미지급률범위,E771),0)</f>
        <v/>
      </c>
      <c r="M771" s="2">
        <f>ROUND(I771*INDEX(과지급률범위,E771),0)</f>
        <v/>
      </c>
      <c r="N771" s="2">
        <f>MAX(0,L771-M771)</f>
        <v/>
      </c>
      <c r="O771" s="2">
        <f>K771-N771</f>
        <v/>
      </c>
      <c r="P771" s="2">
        <f>I771-N771</f>
        <v/>
      </c>
      <c r="Q771" s="5">
        <f>IF(G771&gt;기준일,1,0)</f>
        <v/>
      </c>
      <c r="R771" s="5">
        <f>IF(G771&lt;=기준일,1,0)</f>
        <v/>
      </c>
      <c r="S771" s="2">
        <f>J771*H771</f>
        <v/>
      </c>
      <c r="T771" s="5">
        <f>IF(AND(F771&gt;=표본시작,F771&lt;=표본종료),1,0)</f>
        <v/>
      </c>
      <c r="U771" s="5">
        <f>IF(AND(G771&gt;=조회시작,G771&lt;=조회종료),1,0)</f>
        <v/>
      </c>
    </row>
    <row r="772">
      <c r="A772" s="2">
        <f>ROW()-1</f>
        <v/>
      </c>
      <c r="B772" s="5">
        <f>INDEX(상호범위,D772)</f>
        <v/>
      </c>
      <c r="C772" s="5">
        <f>INDEX(플랫폼명범위,E772)</f>
        <v/>
      </c>
      <c r="D772" s="2">
        <f>MOD(INT((A772-1)/4),8)+1</f>
        <v/>
      </c>
      <c r="E772" s="2">
        <f>MOD(A772-1,4)+1</f>
        <v/>
      </c>
      <c r="F772" s="20">
        <f>축시작+INT((A772-1)/32)</f>
        <v/>
      </c>
      <c r="G772" s="20">
        <f>F772+H772</f>
        <v/>
      </c>
      <c r="H772" s="5" t="n">
        <v>7</v>
      </c>
      <c r="I772" s="2">
        <f>ROUND(INDEX(가맹점!$P$2:$P$9,D772)*INDEX(가맹점!$J$2:$M$9,D772,E772),0)</f>
        <v/>
      </c>
      <c r="J772" s="2">
        <f>ROUND(I772*(1-할인율),0)</f>
        <v/>
      </c>
      <c r="K772" s="2">
        <f>ROUNDDOWN(I772*할인율,0)</f>
        <v/>
      </c>
      <c r="L772" s="2">
        <f>ROUND(I772*INDEX(미지급률범위,E772),0)</f>
        <v/>
      </c>
      <c r="M772" s="2">
        <f>ROUND(I772*INDEX(과지급률범위,E772),0)</f>
        <v/>
      </c>
      <c r="N772" s="2">
        <f>MAX(0,L772-M772)</f>
        <v/>
      </c>
      <c r="O772" s="2">
        <f>K772-N772</f>
        <v/>
      </c>
      <c r="P772" s="2">
        <f>I772-N772</f>
        <v/>
      </c>
      <c r="Q772" s="5">
        <f>IF(G772&gt;기준일,1,0)</f>
        <v/>
      </c>
      <c r="R772" s="5">
        <f>IF(G772&lt;=기준일,1,0)</f>
        <v/>
      </c>
      <c r="S772" s="2">
        <f>J772*H772</f>
        <v/>
      </c>
      <c r="T772" s="5">
        <f>IF(AND(F772&gt;=표본시작,F772&lt;=표본종료),1,0)</f>
        <v/>
      </c>
      <c r="U772" s="5">
        <f>IF(AND(G772&gt;=조회시작,G772&lt;=조회종료),1,0)</f>
        <v/>
      </c>
    </row>
    <row r="773">
      <c r="A773" s="2">
        <f>ROW()-1</f>
        <v/>
      </c>
      <c r="B773" s="5">
        <f>INDEX(상호범위,D773)</f>
        <v/>
      </c>
      <c r="C773" s="5">
        <f>INDEX(플랫폼명범위,E773)</f>
        <v/>
      </c>
      <c r="D773" s="2">
        <f>MOD(INT((A773-1)/4),8)+1</f>
        <v/>
      </c>
      <c r="E773" s="2">
        <f>MOD(A773-1,4)+1</f>
        <v/>
      </c>
      <c r="F773" s="20">
        <f>축시작+INT((A773-1)/32)</f>
        <v/>
      </c>
      <c r="G773" s="20">
        <f>F773+H773</f>
        <v/>
      </c>
      <c r="H773" s="5" t="n">
        <v>6</v>
      </c>
      <c r="I773" s="2">
        <f>ROUND(INDEX(가맹점!$P$2:$P$9,D773)*INDEX(가맹점!$J$2:$M$9,D773,E773),0)</f>
        <v/>
      </c>
      <c r="J773" s="2">
        <f>ROUND(I773*(1-할인율),0)</f>
        <v/>
      </c>
      <c r="K773" s="2">
        <f>ROUNDDOWN(I773*할인율,0)</f>
        <v/>
      </c>
      <c r="L773" s="2">
        <f>ROUND(I773*INDEX(미지급률범위,E773),0)</f>
        <v/>
      </c>
      <c r="M773" s="2">
        <f>ROUND(I773*INDEX(과지급률범위,E773),0)</f>
        <v/>
      </c>
      <c r="N773" s="2">
        <f>MAX(0,L773-M773)</f>
        <v/>
      </c>
      <c r="O773" s="2">
        <f>K773-N773</f>
        <v/>
      </c>
      <c r="P773" s="2">
        <f>I773-N773</f>
        <v/>
      </c>
      <c r="Q773" s="5">
        <f>IF(G773&gt;기준일,1,0)</f>
        <v/>
      </c>
      <c r="R773" s="5">
        <f>IF(G773&lt;=기준일,1,0)</f>
        <v/>
      </c>
      <c r="S773" s="2">
        <f>J773*H773</f>
        <v/>
      </c>
      <c r="T773" s="5">
        <f>IF(AND(F773&gt;=표본시작,F773&lt;=표본종료),1,0)</f>
        <v/>
      </c>
      <c r="U773" s="5">
        <f>IF(AND(G773&gt;=조회시작,G773&lt;=조회종료),1,0)</f>
        <v/>
      </c>
    </row>
    <row r="774">
      <c r="A774" s="2">
        <f>ROW()-1</f>
        <v/>
      </c>
      <c r="B774" s="5">
        <f>INDEX(상호범위,D774)</f>
        <v/>
      </c>
      <c r="C774" s="5">
        <f>INDEX(플랫폼명범위,E774)</f>
        <v/>
      </c>
      <c r="D774" s="2">
        <f>MOD(INT((A774-1)/4),8)+1</f>
        <v/>
      </c>
      <c r="E774" s="2">
        <f>MOD(A774-1,4)+1</f>
        <v/>
      </c>
      <c r="F774" s="20">
        <f>축시작+INT((A774-1)/32)</f>
        <v/>
      </c>
      <c r="G774" s="20">
        <f>F774+H774</f>
        <v/>
      </c>
      <c r="H774" s="5" t="n">
        <v>1</v>
      </c>
      <c r="I774" s="2">
        <f>ROUND(INDEX(가맹점!$P$2:$P$9,D774)*INDEX(가맹점!$J$2:$M$9,D774,E774),0)</f>
        <v/>
      </c>
      <c r="J774" s="2">
        <f>ROUND(I774*(1-할인율),0)</f>
        <v/>
      </c>
      <c r="K774" s="2">
        <f>ROUNDDOWN(I774*할인율,0)</f>
        <v/>
      </c>
      <c r="L774" s="2">
        <f>ROUND(I774*INDEX(미지급률범위,E774),0)</f>
        <v/>
      </c>
      <c r="M774" s="2">
        <f>ROUND(I774*INDEX(과지급률범위,E774),0)</f>
        <v/>
      </c>
      <c r="N774" s="2">
        <f>MAX(0,L774-M774)</f>
        <v/>
      </c>
      <c r="O774" s="2">
        <f>K774-N774</f>
        <v/>
      </c>
      <c r="P774" s="2">
        <f>I774-N774</f>
        <v/>
      </c>
      <c r="Q774" s="5">
        <f>IF(G774&gt;기준일,1,0)</f>
        <v/>
      </c>
      <c r="R774" s="5">
        <f>IF(G774&lt;=기준일,1,0)</f>
        <v/>
      </c>
      <c r="S774" s="2">
        <f>J774*H774</f>
        <v/>
      </c>
      <c r="T774" s="5">
        <f>IF(AND(F774&gt;=표본시작,F774&lt;=표본종료),1,0)</f>
        <v/>
      </c>
      <c r="U774" s="5">
        <f>IF(AND(G774&gt;=조회시작,G774&lt;=조회종료),1,0)</f>
        <v/>
      </c>
    </row>
    <row r="775">
      <c r="A775" s="2">
        <f>ROW()-1</f>
        <v/>
      </c>
      <c r="B775" s="5">
        <f>INDEX(상호범위,D775)</f>
        <v/>
      </c>
      <c r="C775" s="5">
        <f>INDEX(플랫폼명범위,E775)</f>
        <v/>
      </c>
      <c r="D775" s="2">
        <f>MOD(INT((A775-1)/4),8)+1</f>
        <v/>
      </c>
      <c r="E775" s="2">
        <f>MOD(A775-1,4)+1</f>
        <v/>
      </c>
      <c r="F775" s="20">
        <f>축시작+INT((A775-1)/32)</f>
        <v/>
      </c>
      <c r="G775" s="20">
        <f>F775+H775</f>
        <v/>
      </c>
      <c r="H775" s="5" t="n">
        <v>3</v>
      </c>
      <c r="I775" s="2">
        <f>ROUND(INDEX(가맹점!$P$2:$P$9,D775)*INDEX(가맹점!$J$2:$M$9,D775,E775),0)</f>
        <v/>
      </c>
      <c r="J775" s="2">
        <f>ROUND(I775*(1-할인율),0)</f>
        <v/>
      </c>
      <c r="K775" s="2">
        <f>ROUNDDOWN(I775*할인율,0)</f>
        <v/>
      </c>
      <c r="L775" s="2">
        <f>ROUND(I775*INDEX(미지급률범위,E775),0)</f>
        <v/>
      </c>
      <c r="M775" s="2">
        <f>ROUND(I775*INDEX(과지급률범위,E775),0)</f>
        <v/>
      </c>
      <c r="N775" s="2">
        <f>MAX(0,L775-M775)</f>
        <v/>
      </c>
      <c r="O775" s="2">
        <f>K775-N775</f>
        <v/>
      </c>
      <c r="P775" s="2">
        <f>I775-N775</f>
        <v/>
      </c>
      <c r="Q775" s="5">
        <f>IF(G775&gt;기준일,1,0)</f>
        <v/>
      </c>
      <c r="R775" s="5">
        <f>IF(G775&lt;=기준일,1,0)</f>
        <v/>
      </c>
      <c r="S775" s="2">
        <f>J775*H775</f>
        <v/>
      </c>
      <c r="T775" s="5">
        <f>IF(AND(F775&gt;=표본시작,F775&lt;=표본종료),1,0)</f>
        <v/>
      </c>
      <c r="U775" s="5">
        <f>IF(AND(G775&gt;=조회시작,G775&lt;=조회종료),1,0)</f>
        <v/>
      </c>
    </row>
    <row r="776">
      <c r="A776" s="2">
        <f>ROW()-1</f>
        <v/>
      </c>
      <c r="B776" s="5">
        <f>INDEX(상호범위,D776)</f>
        <v/>
      </c>
      <c r="C776" s="5">
        <f>INDEX(플랫폼명범위,E776)</f>
        <v/>
      </c>
      <c r="D776" s="2">
        <f>MOD(INT((A776-1)/4),8)+1</f>
        <v/>
      </c>
      <c r="E776" s="2">
        <f>MOD(A776-1,4)+1</f>
        <v/>
      </c>
      <c r="F776" s="20">
        <f>축시작+INT((A776-1)/32)</f>
        <v/>
      </c>
      <c r="G776" s="20">
        <f>F776+H776</f>
        <v/>
      </c>
      <c r="H776" s="5" t="n">
        <v>8</v>
      </c>
      <c r="I776" s="2">
        <f>ROUND(INDEX(가맹점!$P$2:$P$9,D776)*INDEX(가맹점!$J$2:$M$9,D776,E776),0)</f>
        <v/>
      </c>
      <c r="J776" s="2">
        <f>ROUND(I776*(1-할인율),0)</f>
        <v/>
      </c>
      <c r="K776" s="2">
        <f>ROUNDDOWN(I776*할인율,0)</f>
        <v/>
      </c>
      <c r="L776" s="2">
        <f>ROUND(I776*INDEX(미지급률범위,E776),0)</f>
        <v/>
      </c>
      <c r="M776" s="2">
        <f>ROUND(I776*INDEX(과지급률범위,E776),0)</f>
        <v/>
      </c>
      <c r="N776" s="2">
        <f>MAX(0,L776-M776)</f>
        <v/>
      </c>
      <c r="O776" s="2">
        <f>K776-N776</f>
        <v/>
      </c>
      <c r="P776" s="2">
        <f>I776-N776</f>
        <v/>
      </c>
      <c r="Q776" s="5">
        <f>IF(G776&gt;기준일,1,0)</f>
        <v/>
      </c>
      <c r="R776" s="5">
        <f>IF(G776&lt;=기준일,1,0)</f>
        <v/>
      </c>
      <c r="S776" s="2">
        <f>J776*H776</f>
        <v/>
      </c>
      <c r="T776" s="5">
        <f>IF(AND(F776&gt;=표본시작,F776&lt;=표본종료),1,0)</f>
        <v/>
      </c>
      <c r="U776" s="5">
        <f>IF(AND(G776&gt;=조회시작,G776&lt;=조회종료),1,0)</f>
        <v/>
      </c>
    </row>
    <row r="777">
      <c r="A777" s="2">
        <f>ROW()-1</f>
        <v/>
      </c>
      <c r="B777" s="5">
        <f>INDEX(상호범위,D777)</f>
        <v/>
      </c>
      <c r="C777" s="5">
        <f>INDEX(플랫폼명범위,E777)</f>
        <v/>
      </c>
      <c r="D777" s="2">
        <f>MOD(INT((A777-1)/4),8)+1</f>
        <v/>
      </c>
      <c r="E777" s="2">
        <f>MOD(A777-1,4)+1</f>
        <v/>
      </c>
      <c r="F777" s="20">
        <f>축시작+INT((A777-1)/32)</f>
        <v/>
      </c>
      <c r="G777" s="20">
        <f>F777+H777</f>
        <v/>
      </c>
      <c r="H777" s="5" t="n">
        <v>6</v>
      </c>
      <c r="I777" s="2">
        <f>ROUND(INDEX(가맹점!$P$2:$P$9,D777)*INDEX(가맹점!$J$2:$M$9,D777,E777),0)</f>
        <v/>
      </c>
      <c r="J777" s="2">
        <f>ROUND(I777*(1-할인율),0)</f>
        <v/>
      </c>
      <c r="K777" s="2">
        <f>ROUNDDOWN(I777*할인율,0)</f>
        <v/>
      </c>
      <c r="L777" s="2">
        <f>ROUND(I777*INDEX(미지급률범위,E777),0)</f>
        <v/>
      </c>
      <c r="M777" s="2">
        <f>ROUND(I777*INDEX(과지급률범위,E777),0)</f>
        <v/>
      </c>
      <c r="N777" s="2">
        <f>MAX(0,L777-M777)</f>
        <v/>
      </c>
      <c r="O777" s="2">
        <f>K777-N777</f>
        <v/>
      </c>
      <c r="P777" s="2">
        <f>I777-N777</f>
        <v/>
      </c>
      <c r="Q777" s="5">
        <f>IF(G777&gt;기준일,1,0)</f>
        <v/>
      </c>
      <c r="R777" s="5">
        <f>IF(G777&lt;=기준일,1,0)</f>
        <v/>
      </c>
      <c r="S777" s="2">
        <f>J777*H777</f>
        <v/>
      </c>
      <c r="T777" s="5">
        <f>IF(AND(F777&gt;=표본시작,F777&lt;=표본종료),1,0)</f>
        <v/>
      </c>
      <c r="U777" s="5">
        <f>IF(AND(G777&gt;=조회시작,G777&lt;=조회종료),1,0)</f>
        <v/>
      </c>
    </row>
    <row r="778">
      <c r="A778" s="2">
        <f>ROW()-1</f>
        <v/>
      </c>
      <c r="B778" s="5">
        <f>INDEX(상호범위,D778)</f>
        <v/>
      </c>
      <c r="C778" s="5">
        <f>INDEX(플랫폼명범위,E778)</f>
        <v/>
      </c>
      <c r="D778" s="2">
        <f>MOD(INT((A778-1)/4),8)+1</f>
        <v/>
      </c>
      <c r="E778" s="2">
        <f>MOD(A778-1,4)+1</f>
        <v/>
      </c>
      <c r="F778" s="20">
        <f>축시작+INT((A778-1)/32)</f>
        <v/>
      </c>
      <c r="G778" s="20">
        <f>F778+H778</f>
        <v/>
      </c>
      <c r="H778" s="5" t="n">
        <v>1</v>
      </c>
      <c r="I778" s="2">
        <f>ROUND(INDEX(가맹점!$P$2:$P$9,D778)*INDEX(가맹점!$J$2:$M$9,D778,E778),0)</f>
        <v/>
      </c>
      <c r="J778" s="2">
        <f>ROUND(I778*(1-할인율),0)</f>
        <v/>
      </c>
      <c r="K778" s="2">
        <f>ROUNDDOWN(I778*할인율,0)</f>
        <v/>
      </c>
      <c r="L778" s="2">
        <f>ROUND(I778*INDEX(미지급률범위,E778),0)</f>
        <v/>
      </c>
      <c r="M778" s="2">
        <f>ROUND(I778*INDEX(과지급률범위,E778),0)</f>
        <v/>
      </c>
      <c r="N778" s="2">
        <f>MAX(0,L778-M778)</f>
        <v/>
      </c>
      <c r="O778" s="2">
        <f>K778-N778</f>
        <v/>
      </c>
      <c r="P778" s="2">
        <f>I778-N778</f>
        <v/>
      </c>
      <c r="Q778" s="5">
        <f>IF(G778&gt;기준일,1,0)</f>
        <v/>
      </c>
      <c r="R778" s="5">
        <f>IF(G778&lt;=기준일,1,0)</f>
        <v/>
      </c>
      <c r="S778" s="2">
        <f>J778*H778</f>
        <v/>
      </c>
      <c r="T778" s="5">
        <f>IF(AND(F778&gt;=표본시작,F778&lt;=표본종료),1,0)</f>
        <v/>
      </c>
      <c r="U778" s="5">
        <f>IF(AND(G778&gt;=조회시작,G778&lt;=조회종료),1,0)</f>
        <v/>
      </c>
    </row>
    <row r="779">
      <c r="A779" s="2">
        <f>ROW()-1</f>
        <v/>
      </c>
      <c r="B779" s="5">
        <f>INDEX(상호범위,D779)</f>
        <v/>
      </c>
      <c r="C779" s="5">
        <f>INDEX(플랫폼명범위,E779)</f>
        <v/>
      </c>
      <c r="D779" s="2">
        <f>MOD(INT((A779-1)/4),8)+1</f>
        <v/>
      </c>
      <c r="E779" s="2">
        <f>MOD(A779-1,4)+1</f>
        <v/>
      </c>
      <c r="F779" s="20">
        <f>축시작+INT((A779-1)/32)</f>
        <v/>
      </c>
      <c r="G779" s="20">
        <f>F779+H779</f>
        <v/>
      </c>
      <c r="H779" s="5" t="n">
        <v>3</v>
      </c>
      <c r="I779" s="2">
        <f>ROUND(INDEX(가맹점!$P$2:$P$9,D779)*INDEX(가맹점!$J$2:$M$9,D779,E779),0)</f>
        <v/>
      </c>
      <c r="J779" s="2">
        <f>ROUND(I779*(1-할인율),0)</f>
        <v/>
      </c>
      <c r="K779" s="2">
        <f>ROUNDDOWN(I779*할인율,0)</f>
        <v/>
      </c>
      <c r="L779" s="2">
        <f>ROUND(I779*INDEX(미지급률범위,E779),0)</f>
        <v/>
      </c>
      <c r="M779" s="2">
        <f>ROUND(I779*INDEX(과지급률범위,E779),0)</f>
        <v/>
      </c>
      <c r="N779" s="2">
        <f>MAX(0,L779-M779)</f>
        <v/>
      </c>
      <c r="O779" s="2">
        <f>K779-N779</f>
        <v/>
      </c>
      <c r="P779" s="2">
        <f>I779-N779</f>
        <v/>
      </c>
      <c r="Q779" s="5">
        <f>IF(G779&gt;기준일,1,0)</f>
        <v/>
      </c>
      <c r="R779" s="5">
        <f>IF(G779&lt;=기준일,1,0)</f>
        <v/>
      </c>
      <c r="S779" s="2">
        <f>J779*H779</f>
        <v/>
      </c>
      <c r="T779" s="5">
        <f>IF(AND(F779&gt;=표본시작,F779&lt;=표본종료),1,0)</f>
        <v/>
      </c>
      <c r="U779" s="5">
        <f>IF(AND(G779&gt;=조회시작,G779&lt;=조회종료),1,0)</f>
        <v/>
      </c>
    </row>
    <row r="780">
      <c r="A780" s="2">
        <f>ROW()-1</f>
        <v/>
      </c>
      <c r="B780" s="5">
        <f>INDEX(상호범위,D780)</f>
        <v/>
      </c>
      <c r="C780" s="5">
        <f>INDEX(플랫폼명범위,E780)</f>
        <v/>
      </c>
      <c r="D780" s="2">
        <f>MOD(INT((A780-1)/4),8)+1</f>
        <v/>
      </c>
      <c r="E780" s="2">
        <f>MOD(A780-1,4)+1</f>
        <v/>
      </c>
      <c r="F780" s="20">
        <f>축시작+INT((A780-1)/32)</f>
        <v/>
      </c>
      <c r="G780" s="20">
        <f>F780+H780</f>
        <v/>
      </c>
      <c r="H780" s="5" t="n">
        <v>5</v>
      </c>
      <c r="I780" s="2">
        <f>ROUND(INDEX(가맹점!$P$2:$P$9,D780)*INDEX(가맹점!$J$2:$M$9,D780,E780),0)</f>
        <v/>
      </c>
      <c r="J780" s="2">
        <f>ROUND(I780*(1-할인율),0)</f>
        <v/>
      </c>
      <c r="K780" s="2">
        <f>ROUNDDOWN(I780*할인율,0)</f>
        <v/>
      </c>
      <c r="L780" s="2">
        <f>ROUND(I780*INDEX(미지급률범위,E780),0)</f>
        <v/>
      </c>
      <c r="M780" s="2">
        <f>ROUND(I780*INDEX(과지급률범위,E780),0)</f>
        <v/>
      </c>
      <c r="N780" s="2">
        <f>MAX(0,L780-M780)</f>
        <v/>
      </c>
      <c r="O780" s="2">
        <f>K780-N780</f>
        <v/>
      </c>
      <c r="P780" s="2">
        <f>I780-N780</f>
        <v/>
      </c>
      <c r="Q780" s="5">
        <f>IF(G780&gt;기준일,1,0)</f>
        <v/>
      </c>
      <c r="R780" s="5">
        <f>IF(G780&lt;=기준일,1,0)</f>
        <v/>
      </c>
      <c r="S780" s="2">
        <f>J780*H780</f>
        <v/>
      </c>
      <c r="T780" s="5">
        <f>IF(AND(F780&gt;=표본시작,F780&lt;=표본종료),1,0)</f>
        <v/>
      </c>
      <c r="U780" s="5">
        <f>IF(AND(G780&gt;=조회시작,G780&lt;=조회종료),1,0)</f>
        <v/>
      </c>
    </row>
    <row r="781">
      <c r="A781" s="2">
        <f>ROW()-1</f>
        <v/>
      </c>
      <c r="B781" s="5">
        <f>INDEX(상호범위,D781)</f>
        <v/>
      </c>
      <c r="C781" s="5">
        <f>INDEX(플랫폼명범위,E781)</f>
        <v/>
      </c>
      <c r="D781" s="2">
        <f>MOD(INT((A781-1)/4),8)+1</f>
        <v/>
      </c>
      <c r="E781" s="2">
        <f>MOD(A781-1,4)+1</f>
        <v/>
      </c>
      <c r="F781" s="20">
        <f>축시작+INT((A781-1)/32)</f>
        <v/>
      </c>
      <c r="G781" s="20">
        <f>F781+H781</f>
        <v/>
      </c>
      <c r="H781" s="5" t="n">
        <v>6</v>
      </c>
      <c r="I781" s="2">
        <f>ROUND(INDEX(가맹점!$P$2:$P$9,D781)*INDEX(가맹점!$J$2:$M$9,D781,E781),0)</f>
        <v/>
      </c>
      <c r="J781" s="2">
        <f>ROUND(I781*(1-할인율),0)</f>
        <v/>
      </c>
      <c r="K781" s="2">
        <f>ROUNDDOWN(I781*할인율,0)</f>
        <v/>
      </c>
      <c r="L781" s="2">
        <f>ROUND(I781*INDEX(미지급률범위,E781),0)</f>
        <v/>
      </c>
      <c r="M781" s="2">
        <f>ROUND(I781*INDEX(과지급률범위,E781),0)</f>
        <v/>
      </c>
      <c r="N781" s="2">
        <f>MAX(0,L781-M781)</f>
        <v/>
      </c>
      <c r="O781" s="2">
        <f>K781-N781</f>
        <v/>
      </c>
      <c r="P781" s="2">
        <f>I781-N781</f>
        <v/>
      </c>
      <c r="Q781" s="5">
        <f>IF(G781&gt;기준일,1,0)</f>
        <v/>
      </c>
      <c r="R781" s="5">
        <f>IF(G781&lt;=기준일,1,0)</f>
        <v/>
      </c>
      <c r="S781" s="2">
        <f>J781*H781</f>
        <v/>
      </c>
      <c r="T781" s="5">
        <f>IF(AND(F781&gt;=표본시작,F781&lt;=표본종료),1,0)</f>
        <v/>
      </c>
      <c r="U781" s="5">
        <f>IF(AND(G781&gt;=조회시작,G781&lt;=조회종료),1,0)</f>
        <v/>
      </c>
    </row>
    <row r="782">
      <c r="A782" s="2">
        <f>ROW()-1</f>
        <v/>
      </c>
      <c r="B782" s="5">
        <f>INDEX(상호범위,D782)</f>
        <v/>
      </c>
      <c r="C782" s="5">
        <f>INDEX(플랫폼명범위,E782)</f>
        <v/>
      </c>
      <c r="D782" s="2">
        <f>MOD(INT((A782-1)/4),8)+1</f>
        <v/>
      </c>
      <c r="E782" s="2">
        <f>MOD(A782-1,4)+1</f>
        <v/>
      </c>
      <c r="F782" s="20">
        <f>축시작+INT((A782-1)/32)</f>
        <v/>
      </c>
      <c r="G782" s="20">
        <f>F782+H782</f>
        <v/>
      </c>
      <c r="H782" s="5" t="n">
        <v>1</v>
      </c>
      <c r="I782" s="2">
        <f>ROUND(INDEX(가맹점!$P$2:$P$9,D782)*INDEX(가맹점!$J$2:$M$9,D782,E782),0)</f>
        <v/>
      </c>
      <c r="J782" s="2">
        <f>ROUND(I782*(1-할인율),0)</f>
        <v/>
      </c>
      <c r="K782" s="2">
        <f>ROUNDDOWN(I782*할인율,0)</f>
        <v/>
      </c>
      <c r="L782" s="2">
        <f>ROUND(I782*INDEX(미지급률범위,E782),0)</f>
        <v/>
      </c>
      <c r="M782" s="2">
        <f>ROUND(I782*INDEX(과지급률범위,E782),0)</f>
        <v/>
      </c>
      <c r="N782" s="2">
        <f>MAX(0,L782-M782)</f>
        <v/>
      </c>
      <c r="O782" s="2">
        <f>K782-N782</f>
        <v/>
      </c>
      <c r="P782" s="2">
        <f>I782-N782</f>
        <v/>
      </c>
      <c r="Q782" s="5">
        <f>IF(G782&gt;기준일,1,0)</f>
        <v/>
      </c>
      <c r="R782" s="5">
        <f>IF(G782&lt;=기준일,1,0)</f>
        <v/>
      </c>
      <c r="S782" s="2">
        <f>J782*H782</f>
        <v/>
      </c>
      <c r="T782" s="5">
        <f>IF(AND(F782&gt;=표본시작,F782&lt;=표본종료),1,0)</f>
        <v/>
      </c>
      <c r="U782" s="5">
        <f>IF(AND(G782&gt;=조회시작,G782&lt;=조회종료),1,0)</f>
        <v/>
      </c>
    </row>
    <row r="783">
      <c r="A783" s="2">
        <f>ROW()-1</f>
        <v/>
      </c>
      <c r="B783" s="5">
        <f>INDEX(상호범위,D783)</f>
        <v/>
      </c>
      <c r="C783" s="5">
        <f>INDEX(플랫폼명범위,E783)</f>
        <v/>
      </c>
      <c r="D783" s="2">
        <f>MOD(INT((A783-1)/4),8)+1</f>
        <v/>
      </c>
      <c r="E783" s="2">
        <f>MOD(A783-1,4)+1</f>
        <v/>
      </c>
      <c r="F783" s="20">
        <f>축시작+INT((A783-1)/32)</f>
        <v/>
      </c>
      <c r="G783" s="20">
        <f>F783+H783</f>
        <v/>
      </c>
      <c r="H783" s="5" t="n">
        <v>2</v>
      </c>
      <c r="I783" s="2">
        <f>ROUND(INDEX(가맹점!$P$2:$P$9,D783)*INDEX(가맹점!$J$2:$M$9,D783,E783),0)</f>
        <v/>
      </c>
      <c r="J783" s="2">
        <f>ROUND(I783*(1-할인율),0)</f>
        <v/>
      </c>
      <c r="K783" s="2">
        <f>ROUNDDOWN(I783*할인율,0)</f>
        <v/>
      </c>
      <c r="L783" s="2">
        <f>ROUND(I783*INDEX(미지급률범위,E783),0)</f>
        <v/>
      </c>
      <c r="M783" s="2">
        <f>ROUND(I783*INDEX(과지급률범위,E783),0)</f>
        <v/>
      </c>
      <c r="N783" s="2">
        <f>MAX(0,L783-M783)</f>
        <v/>
      </c>
      <c r="O783" s="2">
        <f>K783-N783</f>
        <v/>
      </c>
      <c r="P783" s="2">
        <f>I783-N783</f>
        <v/>
      </c>
      <c r="Q783" s="5">
        <f>IF(G783&gt;기준일,1,0)</f>
        <v/>
      </c>
      <c r="R783" s="5">
        <f>IF(G783&lt;=기준일,1,0)</f>
        <v/>
      </c>
      <c r="S783" s="2">
        <f>J783*H783</f>
        <v/>
      </c>
      <c r="T783" s="5">
        <f>IF(AND(F783&gt;=표본시작,F783&lt;=표본종료),1,0)</f>
        <v/>
      </c>
      <c r="U783" s="5">
        <f>IF(AND(G783&gt;=조회시작,G783&lt;=조회종료),1,0)</f>
        <v/>
      </c>
    </row>
    <row r="784">
      <c r="A784" s="2">
        <f>ROW()-1</f>
        <v/>
      </c>
      <c r="B784" s="5">
        <f>INDEX(상호범위,D784)</f>
        <v/>
      </c>
      <c r="C784" s="5">
        <f>INDEX(플랫폼명범위,E784)</f>
        <v/>
      </c>
      <c r="D784" s="2">
        <f>MOD(INT((A784-1)/4),8)+1</f>
        <v/>
      </c>
      <c r="E784" s="2">
        <f>MOD(A784-1,4)+1</f>
        <v/>
      </c>
      <c r="F784" s="20">
        <f>축시작+INT((A784-1)/32)</f>
        <v/>
      </c>
      <c r="G784" s="20">
        <f>F784+H784</f>
        <v/>
      </c>
      <c r="H784" s="5" t="n">
        <v>6</v>
      </c>
      <c r="I784" s="2">
        <f>ROUND(INDEX(가맹점!$P$2:$P$9,D784)*INDEX(가맹점!$J$2:$M$9,D784,E784),0)</f>
        <v/>
      </c>
      <c r="J784" s="2">
        <f>ROUND(I784*(1-할인율),0)</f>
        <v/>
      </c>
      <c r="K784" s="2">
        <f>ROUNDDOWN(I784*할인율,0)</f>
        <v/>
      </c>
      <c r="L784" s="2">
        <f>ROUND(I784*INDEX(미지급률범위,E784),0)</f>
        <v/>
      </c>
      <c r="M784" s="2">
        <f>ROUND(I784*INDEX(과지급률범위,E784),0)</f>
        <v/>
      </c>
      <c r="N784" s="2">
        <f>MAX(0,L784-M784)</f>
        <v/>
      </c>
      <c r="O784" s="2">
        <f>K784-N784</f>
        <v/>
      </c>
      <c r="P784" s="2">
        <f>I784-N784</f>
        <v/>
      </c>
      <c r="Q784" s="5">
        <f>IF(G784&gt;기준일,1,0)</f>
        <v/>
      </c>
      <c r="R784" s="5">
        <f>IF(G784&lt;=기준일,1,0)</f>
        <v/>
      </c>
      <c r="S784" s="2">
        <f>J784*H784</f>
        <v/>
      </c>
      <c r="T784" s="5">
        <f>IF(AND(F784&gt;=표본시작,F784&lt;=표본종료),1,0)</f>
        <v/>
      </c>
      <c r="U784" s="5">
        <f>IF(AND(G784&gt;=조회시작,G784&lt;=조회종료),1,0)</f>
        <v/>
      </c>
    </row>
    <row r="785">
      <c r="A785" s="2">
        <f>ROW()-1</f>
        <v/>
      </c>
      <c r="B785" s="5">
        <f>INDEX(상호범위,D785)</f>
        <v/>
      </c>
      <c r="C785" s="5">
        <f>INDEX(플랫폼명범위,E785)</f>
        <v/>
      </c>
      <c r="D785" s="2">
        <f>MOD(INT((A785-1)/4),8)+1</f>
        <v/>
      </c>
      <c r="E785" s="2">
        <f>MOD(A785-1,4)+1</f>
        <v/>
      </c>
      <c r="F785" s="20">
        <f>축시작+INT((A785-1)/32)</f>
        <v/>
      </c>
      <c r="G785" s="20">
        <f>F785+H785</f>
        <v/>
      </c>
      <c r="H785" s="5" t="n">
        <v>6</v>
      </c>
      <c r="I785" s="2">
        <f>ROUND(INDEX(가맹점!$P$2:$P$9,D785)*INDEX(가맹점!$J$2:$M$9,D785,E785),0)</f>
        <v/>
      </c>
      <c r="J785" s="2">
        <f>ROUND(I785*(1-할인율),0)</f>
        <v/>
      </c>
      <c r="K785" s="2">
        <f>ROUNDDOWN(I785*할인율,0)</f>
        <v/>
      </c>
      <c r="L785" s="2">
        <f>ROUND(I785*INDEX(미지급률범위,E785),0)</f>
        <v/>
      </c>
      <c r="M785" s="2">
        <f>ROUND(I785*INDEX(과지급률범위,E785),0)</f>
        <v/>
      </c>
      <c r="N785" s="2">
        <f>MAX(0,L785-M785)</f>
        <v/>
      </c>
      <c r="O785" s="2">
        <f>K785-N785</f>
        <v/>
      </c>
      <c r="P785" s="2">
        <f>I785-N785</f>
        <v/>
      </c>
      <c r="Q785" s="5">
        <f>IF(G785&gt;기준일,1,0)</f>
        <v/>
      </c>
      <c r="R785" s="5">
        <f>IF(G785&lt;=기준일,1,0)</f>
        <v/>
      </c>
      <c r="S785" s="2">
        <f>J785*H785</f>
        <v/>
      </c>
      <c r="T785" s="5">
        <f>IF(AND(F785&gt;=표본시작,F785&lt;=표본종료),1,0)</f>
        <v/>
      </c>
      <c r="U785" s="5">
        <f>IF(AND(G785&gt;=조회시작,G785&lt;=조회종료),1,0)</f>
        <v/>
      </c>
    </row>
    <row r="786">
      <c r="A786" s="2">
        <f>ROW()-1</f>
        <v/>
      </c>
      <c r="B786" s="5">
        <f>INDEX(상호범위,D786)</f>
        <v/>
      </c>
      <c r="C786" s="5">
        <f>INDEX(플랫폼명범위,E786)</f>
        <v/>
      </c>
      <c r="D786" s="2">
        <f>MOD(INT((A786-1)/4),8)+1</f>
        <v/>
      </c>
      <c r="E786" s="2">
        <f>MOD(A786-1,4)+1</f>
        <v/>
      </c>
      <c r="F786" s="20">
        <f>축시작+INT((A786-1)/32)</f>
        <v/>
      </c>
      <c r="G786" s="20">
        <f>F786+H786</f>
        <v/>
      </c>
      <c r="H786" s="5" t="n">
        <v>1</v>
      </c>
      <c r="I786" s="2">
        <f>ROUND(INDEX(가맹점!$P$2:$P$9,D786)*INDEX(가맹점!$J$2:$M$9,D786,E786),0)</f>
        <v/>
      </c>
      <c r="J786" s="2">
        <f>ROUND(I786*(1-할인율),0)</f>
        <v/>
      </c>
      <c r="K786" s="2">
        <f>ROUNDDOWN(I786*할인율,0)</f>
        <v/>
      </c>
      <c r="L786" s="2">
        <f>ROUND(I786*INDEX(미지급률범위,E786),0)</f>
        <v/>
      </c>
      <c r="M786" s="2">
        <f>ROUND(I786*INDEX(과지급률범위,E786),0)</f>
        <v/>
      </c>
      <c r="N786" s="2">
        <f>MAX(0,L786-M786)</f>
        <v/>
      </c>
      <c r="O786" s="2">
        <f>K786-N786</f>
        <v/>
      </c>
      <c r="P786" s="2">
        <f>I786-N786</f>
        <v/>
      </c>
      <c r="Q786" s="5">
        <f>IF(G786&gt;기준일,1,0)</f>
        <v/>
      </c>
      <c r="R786" s="5">
        <f>IF(G786&lt;=기준일,1,0)</f>
        <v/>
      </c>
      <c r="S786" s="2">
        <f>J786*H786</f>
        <v/>
      </c>
      <c r="T786" s="5">
        <f>IF(AND(F786&gt;=표본시작,F786&lt;=표본종료),1,0)</f>
        <v/>
      </c>
      <c r="U786" s="5">
        <f>IF(AND(G786&gt;=조회시작,G786&lt;=조회종료),1,0)</f>
        <v/>
      </c>
    </row>
    <row r="787">
      <c r="A787" s="2">
        <f>ROW()-1</f>
        <v/>
      </c>
      <c r="B787" s="5">
        <f>INDEX(상호범위,D787)</f>
        <v/>
      </c>
      <c r="C787" s="5">
        <f>INDEX(플랫폼명범위,E787)</f>
        <v/>
      </c>
      <c r="D787" s="2">
        <f>MOD(INT((A787-1)/4),8)+1</f>
        <v/>
      </c>
      <c r="E787" s="2">
        <f>MOD(A787-1,4)+1</f>
        <v/>
      </c>
      <c r="F787" s="20">
        <f>축시작+INT((A787-1)/32)</f>
        <v/>
      </c>
      <c r="G787" s="20">
        <f>F787+H787</f>
        <v/>
      </c>
      <c r="H787" s="5" t="n">
        <v>4</v>
      </c>
      <c r="I787" s="2">
        <f>ROUND(INDEX(가맹점!$P$2:$P$9,D787)*INDEX(가맹점!$J$2:$M$9,D787,E787),0)</f>
        <v/>
      </c>
      <c r="J787" s="2">
        <f>ROUND(I787*(1-할인율),0)</f>
        <v/>
      </c>
      <c r="K787" s="2">
        <f>ROUNDDOWN(I787*할인율,0)</f>
        <v/>
      </c>
      <c r="L787" s="2">
        <f>ROUND(I787*INDEX(미지급률범위,E787),0)</f>
        <v/>
      </c>
      <c r="M787" s="2">
        <f>ROUND(I787*INDEX(과지급률범위,E787),0)</f>
        <v/>
      </c>
      <c r="N787" s="2">
        <f>MAX(0,L787-M787)</f>
        <v/>
      </c>
      <c r="O787" s="2">
        <f>K787-N787</f>
        <v/>
      </c>
      <c r="P787" s="2">
        <f>I787-N787</f>
        <v/>
      </c>
      <c r="Q787" s="5">
        <f>IF(G787&gt;기준일,1,0)</f>
        <v/>
      </c>
      <c r="R787" s="5">
        <f>IF(G787&lt;=기준일,1,0)</f>
        <v/>
      </c>
      <c r="S787" s="2">
        <f>J787*H787</f>
        <v/>
      </c>
      <c r="T787" s="5">
        <f>IF(AND(F787&gt;=표본시작,F787&lt;=표본종료),1,0)</f>
        <v/>
      </c>
      <c r="U787" s="5">
        <f>IF(AND(G787&gt;=조회시작,G787&lt;=조회종료),1,0)</f>
        <v/>
      </c>
    </row>
    <row r="788">
      <c r="A788" s="2">
        <f>ROW()-1</f>
        <v/>
      </c>
      <c r="B788" s="5">
        <f>INDEX(상호범위,D788)</f>
        <v/>
      </c>
      <c r="C788" s="5">
        <f>INDEX(플랫폼명범위,E788)</f>
        <v/>
      </c>
      <c r="D788" s="2">
        <f>MOD(INT((A788-1)/4),8)+1</f>
        <v/>
      </c>
      <c r="E788" s="2">
        <f>MOD(A788-1,4)+1</f>
        <v/>
      </c>
      <c r="F788" s="20">
        <f>축시작+INT((A788-1)/32)</f>
        <v/>
      </c>
      <c r="G788" s="20">
        <f>F788+H788</f>
        <v/>
      </c>
      <c r="H788" s="5" t="n">
        <v>4</v>
      </c>
      <c r="I788" s="2">
        <f>ROUND(INDEX(가맹점!$P$2:$P$9,D788)*INDEX(가맹점!$J$2:$M$9,D788,E788),0)</f>
        <v/>
      </c>
      <c r="J788" s="2">
        <f>ROUND(I788*(1-할인율),0)</f>
        <v/>
      </c>
      <c r="K788" s="2">
        <f>ROUNDDOWN(I788*할인율,0)</f>
        <v/>
      </c>
      <c r="L788" s="2">
        <f>ROUND(I788*INDEX(미지급률범위,E788),0)</f>
        <v/>
      </c>
      <c r="M788" s="2">
        <f>ROUND(I788*INDEX(과지급률범위,E788),0)</f>
        <v/>
      </c>
      <c r="N788" s="2">
        <f>MAX(0,L788-M788)</f>
        <v/>
      </c>
      <c r="O788" s="2">
        <f>K788-N788</f>
        <v/>
      </c>
      <c r="P788" s="2">
        <f>I788-N788</f>
        <v/>
      </c>
      <c r="Q788" s="5">
        <f>IF(G788&gt;기준일,1,0)</f>
        <v/>
      </c>
      <c r="R788" s="5">
        <f>IF(G788&lt;=기준일,1,0)</f>
        <v/>
      </c>
      <c r="S788" s="2">
        <f>J788*H788</f>
        <v/>
      </c>
      <c r="T788" s="5">
        <f>IF(AND(F788&gt;=표본시작,F788&lt;=표본종료),1,0)</f>
        <v/>
      </c>
      <c r="U788" s="5">
        <f>IF(AND(G788&gt;=조회시작,G788&lt;=조회종료),1,0)</f>
        <v/>
      </c>
    </row>
    <row r="789">
      <c r="A789" s="2">
        <f>ROW()-1</f>
        <v/>
      </c>
      <c r="B789" s="5">
        <f>INDEX(상호범위,D789)</f>
        <v/>
      </c>
      <c r="C789" s="5">
        <f>INDEX(플랫폼명범위,E789)</f>
        <v/>
      </c>
      <c r="D789" s="2">
        <f>MOD(INT((A789-1)/4),8)+1</f>
        <v/>
      </c>
      <c r="E789" s="2">
        <f>MOD(A789-1,4)+1</f>
        <v/>
      </c>
      <c r="F789" s="20">
        <f>축시작+INT((A789-1)/32)</f>
        <v/>
      </c>
      <c r="G789" s="20">
        <f>F789+H789</f>
        <v/>
      </c>
      <c r="H789" s="5" t="n">
        <v>6</v>
      </c>
      <c r="I789" s="2">
        <f>ROUND(INDEX(가맹점!$P$2:$P$9,D789)*INDEX(가맹점!$J$2:$M$9,D789,E789),0)</f>
        <v/>
      </c>
      <c r="J789" s="2">
        <f>ROUND(I789*(1-할인율),0)</f>
        <v/>
      </c>
      <c r="K789" s="2">
        <f>ROUNDDOWN(I789*할인율,0)</f>
        <v/>
      </c>
      <c r="L789" s="2">
        <f>ROUND(I789*INDEX(미지급률범위,E789),0)</f>
        <v/>
      </c>
      <c r="M789" s="2">
        <f>ROUND(I789*INDEX(과지급률범위,E789),0)</f>
        <v/>
      </c>
      <c r="N789" s="2">
        <f>MAX(0,L789-M789)</f>
        <v/>
      </c>
      <c r="O789" s="2">
        <f>K789-N789</f>
        <v/>
      </c>
      <c r="P789" s="2">
        <f>I789-N789</f>
        <v/>
      </c>
      <c r="Q789" s="5">
        <f>IF(G789&gt;기준일,1,0)</f>
        <v/>
      </c>
      <c r="R789" s="5">
        <f>IF(G789&lt;=기준일,1,0)</f>
        <v/>
      </c>
      <c r="S789" s="2">
        <f>J789*H789</f>
        <v/>
      </c>
      <c r="T789" s="5">
        <f>IF(AND(F789&gt;=표본시작,F789&lt;=표본종료),1,0)</f>
        <v/>
      </c>
      <c r="U789" s="5">
        <f>IF(AND(G789&gt;=조회시작,G789&lt;=조회종료),1,0)</f>
        <v/>
      </c>
    </row>
    <row r="790">
      <c r="A790" s="2">
        <f>ROW()-1</f>
        <v/>
      </c>
      <c r="B790" s="5">
        <f>INDEX(상호범위,D790)</f>
        <v/>
      </c>
      <c r="C790" s="5">
        <f>INDEX(플랫폼명범위,E790)</f>
        <v/>
      </c>
      <c r="D790" s="2">
        <f>MOD(INT((A790-1)/4),8)+1</f>
        <v/>
      </c>
      <c r="E790" s="2">
        <f>MOD(A790-1,4)+1</f>
        <v/>
      </c>
      <c r="F790" s="20">
        <f>축시작+INT((A790-1)/32)</f>
        <v/>
      </c>
      <c r="G790" s="20">
        <f>F790+H790</f>
        <v/>
      </c>
      <c r="H790" s="5" t="n">
        <v>1</v>
      </c>
      <c r="I790" s="2">
        <f>ROUND(INDEX(가맹점!$P$2:$P$9,D790)*INDEX(가맹점!$J$2:$M$9,D790,E790),0)</f>
        <v/>
      </c>
      <c r="J790" s="2">
        <f>ROUND(I790*(1-할인율),0)</f>
        <v/>
      </c>
      <c r="K790" s="2">
        <f>ROUNDDOWN(I790*할인율,0)</f>
        <v/>
      </c>
      <c r="L790" s="2">
        <f>ROUND(I790*INDEX(미지급률범위,E790),0)</f>
        <v/>
      </c>
      <c r="M790" s="2">
        <f>ROUND(I790*INDEX(과지급률범위,E790),0)</f>
        <v/>
      </c>
      <c r="N790" s="2">
        <f>MAX(0,L790-M790)</f>
        <v/>
      </c>
      <c r="O790" s="2">
        <f>K790-N790</f>
        <v/>
      </c>
      <c r="P790" s="2">
        <f>I790-N790</f>
        <v/>
      </c>
      <c r="Q790" s="5">
        <f>IF(G790&gt;기준일,1,0)</f>
        <v/>
      </c>
      <c r="R790" s="5">
        <f>IF(G790&lt;=기준일,1,0)</f>
        <v/>
      </c>
      <c r="S790" s="2">
        <f>J790*H790</f>
        <v/>
      </c>
      <c r="T790" s="5">
        <f>IF(AND(F790&gt;=표본시작,F790&lt;=표본종료),1,0)</f>
        <v/>
      </c>
      <c r="U790" s="5">
        <f>IF(AND(G790&gt;=조회시작,G790&lt;=조회종료),1,0)</f>
        <v/>
      </c>
    </row>
    <row r="791">
      <c r="A791" s="2">
        <f>ROW()-1</f>
        <v/>
      </c>
      <c r="B791" s="5">
        <f>INDEX(상호범위,D791)</f>
        <v/>
      </c>
      <c r="C791" s="5">
        <f>INDEX(플랫폼명범위,E791)</f>
        <v/>
      </c>
      <c r="D791" s="2">
        <f>MOD(INT((A791-1)/4),8)+1</f>
        <v/>
      </c>
      <c r="E791" s="2">
        <f>MOD(A791-1,4)+1</f>
        <v/>
      </c>
      <c r="F791" s="20">
        <f>축시작+INT((A791-1)/32)</f>
        <v/>
      </c>
      <c r="G791" s="20">
        <f>F791+H791</f>
        <v/>
      </c>
      <c r="H791" s="5" t="n">
        <v>2</v>
      </c>
      <c r="I791" s="2">
        <f>ROUND(INDEX(가맹점!$P$2:$P$9,D791)*INDEX(가맹점!$J$2:$M$9,D791,E791),0)</f>
        <v/>
      </c>
      <c r="J791" s="2">
        <f>ROUND(I791*(1-할인율),0)</f>
        <v/>
      </c>
      <c r="K791" s="2">
        <f>ROUNDDOWN(I791*할인율,0)</f>
        <v/>
      </c>
      <c r="L791" s="2">
        <f>ROUND(I791*INDEX(미지급률범위,E791),0)</f>
        <v/>
      </c>
      <c r="M791" s="2">
        <f>ROUND(I791*INDEX(과지급률범위,E791),0)</f>
        <v/>
      </c>
      <c r="N791" s="2">
        <f>MAX(0,L791-M791)</f>
        <v/>
      </c>
      <c r="O791" s="2">
        <f>K791-N791</f>
        <v/>
      </c>
      <c r="P791" s="2">
        <f>I791-N791</f>
        <v/>
      </c>
      <c r="Q791" s="5">
        <f>IF(G791&gt;기준일,1,0)</f>
        <v/>
      </c>
      <c r="R791" s="5">
        <f>IF(G791&lt;=기준일,1,0)</f>
        <v/>
      </c>
      <c r="S791" s="2">
        <f>J791*H791</f>
        <v/>
      </c>
      <c r="T791" s="5">
        <f>IF(AND(F791&gt;=표본시작,F791&lt;=표본종료),1,0)</f>
        <v/>
      </c>
      <c r="U791" s="5">
        <f>IF(AND(G791&gt;=조회시작,G791&lt;=조회종료),1,0)</f>
        <v/>
      </c>
    </row>
    <row r="792">
      <c r="A792" s="2">
        <f>ROW()-1</f>
        <v/>
      </c>
      <c r="B792" s="5">
        <f>INDEX(상호범위,D792)</f>
        <v/>
      </c>
      <c r="C792" s="5">
        <f>INDEX(플랫폼명범위,E792)</f>
        <v/>
      </c>
      <c r="D792" s="2">
        <f>MOD(INT((A792-1)/4),8)+1</f>
        <v/>
      </c>
      <c r="E792" s="2">
        <f>MOD(A792-1,4)+1</f>
        <v/>
      </c>
      <c r="F792" s="20">
        <f>축시작+INT((A792-1)/32)</f>
        <v/>
      </c>
      <c r="G792" s="20">
        <f>F792+H792</f>
        <v/>
      </c>
      <c r="H792" s="5" t="n">
        <v>5</v>
      </c>
      <c r="I792" s="2">
        <f>ROUND(INDEX(가맹점!$P$2:$P$9,D792)*INDEX(가맹점!$J$2:$M$9,D792,E792),0)</f>
        <v/>
      </c>
      <c r="J792" s="2">
        <f>ROUND(I792*(1-할인율),0)</f>
        <v/>
      </c>
      <c r="K792" s="2">
        <f>ROUNDDOWN(I792*할인율,0)</f>
        <v/>
      </c>
      <c r="L792" s="2">
        <f>ROUND(I792*INDEX(미지급률범위,E792),0)</f>
        <v/>
      </c>
      <c r="M792" s="2">
        <f>ROUND(I792*INDEX(과지급률범위,E792),0)</f>
        <v/>
      </c>
      <c r="N792" s="2">
        <f>MAX(0,L792-M792)</f>
        <v/>
      </c>
      <c r="O792" s="2">
        <f>K792-N792</f>
        <v/>
      </c>
      <c r="P792" s="2">
        <f>I792-N792</f>
        <v/>
      </c>
      <c r="Q792" s="5">
        <f>IF(G792&gt;기준일,1,0)</f>
        <v/>
      </c>
      <c r="R792" s="5">
        <f>IF(G792&lt;=기준일,1,0)</f>
        <v/>
      </c>
      <c r="S792" s="2">
        <f>J792*H792</f>
        <v/>
      </c>
      <c r="T792" s="5">
        <f>IF(AND(F792&gt;=표본시작,F792&lt;=표본종료),1,0)</f>
        <v/>
      </c>
      <c r="U792" s="5">
        <f>IF(AND(G792&gt;=조회시작,G792&lt;=조회종료),1,0)</f>
        <v/>
      </c>
    </row>
    <row r="793">
      <c r="A793" s="2">
        <f>ROW()-1</f>
        <v/>
      </c>
      <c r="B793" s="5">
        <f>INDEX(상호범위,D793)</f>
        <v/>
      </c>
      <c r="C793" s="5">
        <f>INDEX(플랫폼명범위,E793)</f>
        <v/>
      </c>
      <c r="D793" s="2">
        <f>MOD(INT((A793-1)/4),8)+1</f>
        <v/>
      </c>
      <c r="E793" s="2">
        <f>MOD(A793-1,4)+1</f>
        <v/>
      </c>
      <c r="F793" s="20">
        <f>축시작+INT((A793-1)/32)</f>
        <v/>
      </c>
      <c r="G793" s="20">
        <f>F793+H793</f>
        <v/>
      </c>
      <c r="H793" s="5" t="n">
        <v>6</v>
      </c>
      <c r="I793" s="2">
        <f>ROUND(INDEX(가맹점!$P$2:$P$9,D793)*INDEX(가맹점!$J$2:$M$9,D793,E793),0)</f>
        <v/>
      </c>
      <c r="J793" s="2">
        <f>ROUND(I793*(1-할인율),0)</f>
        <v/>
      </c>
      <c r="K793" s="2">
        <f>ROUNDDOWN(I793*할인율,0)</f>
        <v/>
      </c>
      <c r="L793" s="2">
        <f>ROUND(I793*INDEX(미지급률범위,E793),0)</f>
        <v/>
      </c>
      <c r="M793" s="2">
        <f>ROUND(I793*INDEX(과지급률범위,E793),0)</f>
        <v/>
      </c>
      <c r="N793" s="2">
        <f>MAX(0,L793-M793)</f>
        <v/>
      </c>
      <c r="O793" s="2">
        <f>K793-N793</f>
        <v/>
      </c>
      <c r="P793" s="2">
        <f>I793-N793</f>
        <v/>
      </c>
      <c r="Q793" s="5">
        <f>IF(G793&gt;기준일,1,0)</f>
        <v/>
      </c>
      <c r="R793" s="5">
        <f>IF(G793&lt;=기준일,1,0)</f>
        <v/>
      </c>
      <c r="S793" s="2">
        <f>J793*H793</f>
        <v/>
      </c>
      <c r="T793" s="5">
        <f>IF(AND(F793&gt;=표본시작,F793&lt;=표본종료),1,0)</f>
        <v/>
      </c>
      <c r="U793" s="5">
        <f>IF(AND(G793&gt;=조회시작,G793&lt;=조회종료),1,0)</f>
        <v/>
      </c>
    </row>
    <row r="794">
      <c r="A794" s="2">
        <f>ROW()-1</f>
        <v/>
      </c>
      <c r="B794" s="5">
        <f>INDEX(상호범위,D794)</f>
        <v/>
      </c>
      <c r="C794" s="5">
        <f>INDEX(플랫폼명범위,E794)</f>
        <v/>
      </c>
      <c r="D794" s="2">
        <f>MOD(INT((A794-1)/4),8)+1</f>
        <v/>
      </c>
      <c r="E794" s="2">
        <f>MOD(A794-1,4)+1</f>
        <v/>
      </c>
      <c r="F794" s="20">
        <f>축시작+INT((A794-1)/32)</f>
        <v/>
      </c>
      <c r="G794" s="20">
        <f>F794+H794</f>
        <v/>
      </c>
      <c r="H794" s="5" t="n">
        <v>1</v>
      </c>
      <c r="I794" s="2">
        <f>ROUND(INDEX(가맹점!$P$2:$P$9,D794)*INDEX(가맹점!$J$2:$M$9,D794,E794),0)</f>
        <v/>
      </c>
      <c r="J794" s="2">
        <f>ROUND(I794*(1-할인율),0)</f>
        <v/>
      </c>
      <c r="K794" s="2">
        <f>ROUNDDOWN(I794*할인율,0)</f>
        <v/>
      </c>
      <c r="L794" s="2">
        <f>ROUND(I794*INDEX(미지급률범위,E794),0)</f>
        <v/>
      </c>
      <c r="M794" s="2">
        <f>ROUND(I794*INDEX(과지급률범위,E794),0)</f>
        <v/>
      </c>
      <c r="N794" s="2">
        <f>MAX(0,L794-M794)</f>
        <v/>
      </c>
      <c r="O794" s="2">
        <f>K794-N794</f>
        <v/>
      </c>
      <c r="P794" s="2">
        <f>I794-N794</f>
        <v/>
      </c>
      <c r="Q794" s="5">
        <f>IF(G794&gt;기준일,1,0)</f>
        <v/>
      </c>
      <c r="R794" s="5">
        <f>IF(G794&lt;=기준일,1,0)</f>
        <v/>
      </c>
      <c r="S794" s="2">
        <f>J794*H794</f>
        <v/>
      </c>
      <c r="T794" s="5">
        <f>IF(AND(F794&gt;=표본시작,F794&lt;=표본종료),1,0)</f>
        <v/>
      </c>
      <c r="U794" s="5">
        <f>IF(AND(G794&gt;=조회시작,G794&lt;=조회종료),1,0)</f>
        <v/>
      </c>
    </row>
    <row r="795">
      <c r="A795" s="2">
        <f>ROW()-1</f>
        <v/>
      </c>
      <c r="B795" s="5">
        <f>INDEX(상호범위,D795)</f>
        <v/>
      </c>
      <c r="C795" s="5">
        <f>INDEX(플랫폼명범위,E795)</f>
        <v/>
      </c>
      <c r="D795" s="2">
        <f>MOD(INT((A795-1)/4),8)+1</f>
        <v/>
      </c>
      <c r="E795" s="2">
        <f>MOD(A795-1,4)+1</f>
        <v/>
      </c>
      <c r="F795" s="20">
        <f>축시작+INT((A795-1)/32)</f>
        <v/>
      </c>
      <c r="G795" s="20">
        <f>F795+H795</f>
        <v/>
      </c>
      <c r="H795" s="5" t="n">
        <v>2</v>
      </c>
      <c r="I795" s="2">
        <f>ROUND(INDEX(가맹점!$P$2:$P$9,D795)*INDEX(가맹점!$J$2:$M$9,D795,E795),0)</f>
        <v/>
      </c>
      <c r="J795" s="2">
        <f>ROUND(I795*(1-할인율),0)</f>
        <v/>
      </c>
      <c r="K795" s="2">
        <f>ROUNDDOWN(I795*할인율,0)</f>
        <v/>
      </c>
      <c r="L795" s="2">
        <f>ROUND(I795*INDEX(미지급률범위,E795),0)</f>
        <v/>
      </c>
      <c r="M795" s="2">
        <f>ROUND(I795*INDEX(과지급률범위,E795),0)</f>
        <v/>
      </c>
      <c r="N795" s="2">
        <f>MAX(0,L795-M795)</f>
        <v/>
      </c>
      <c r="O795" s="2">
        <f>K795-N795</f>
        <v/>
      </c>
      <c r="P795" s="2">
        <f>I795-N795</f>
        <v/>
      </c>
      <c r="Q795" s="5">
        <f>IF(G795&gt;기준일,1,0)</f>
        <v/>
      </c>
      <c r="R795" s="5">
        <f>IF(G795&lt;=기준일,1,0)</f>
        <v/>
      </c>
      <c r="S795" s="2">
        <f>J795*H795</f>
        <v/>
      </c>
      <c r="T795" s="5">
        <f>IF(AND(F795&gt;=표본시작,F795&lt;=표본종료),1,0)</f>
        <v/>
      </c>
      <c r="U795" s="5">
        <f>IF(AND(G795&gt;=조회시작,G795&lt;=조회종료),1,0)</f>
        <v/>
      </c>
    </row>
    <row r="796">
      <c r="A796" s="2">
        <f>ROW()-1</f>
        <v/>
      </c>
      <c r="B796" s="5">
        <f>INDEX(상호범위,D796)</f>
        <v/>
      </c>
      <c r="C796" s="5">
        <f>INDEX(플랫폼명범위,E796)</f>
        <v/>
      </c>
      <c r="D796" s="2">
        <f>MOD(INT((A796-1)/4),8)+1</f>
        <v/>
      </c>
      <c r="E796" s="2">
        <f>MOD(A796-1,4)+1</f>
        <v/>
      </c>
      <c r="F796" s="20">
        <f>축시작+INT((A796-1)/32)</f>
        <v/>
      </c>
      <c r="G796" s="20">
        <f>F796+H796</f>
        <v/>
      </c>
      <c r="H796" s="5" t="n">
        <v>7</v>
      </c>
      <c r="I796" s="2">
        <f>ROUND(INDEX(가맹점!$P$2:$P$9,D796)*INDEX(가맹점!$J$2:$M$9,D796,E796),0)</f>
        <v/>
      </c>
      <c r="J796" s="2">
        <f>ROUND(I796*(1-할인율),0)</f>
        <v/>
      </c>
      <c r="K796" s="2">
        <f>ROUNDDOWN(I796*할인율,0)</f>
        <v/>
      </c>
      <c r="L796" s="2">
        <f>ROUND(I796*INDEX(미지급률범위,E796),0)</f>
        <v/>
      </c>
      <c r="M796" s="2">
        <f>ROUND(I796*INDEX(과지급률범위,E796),0)</f>
        <v/>
      </c>
      <c r="N796" s="2">
        <f>MAX(0,L796-M796)</f>
        <v/>
      </c>
      <c r="O796" s="2">
        <f>K796-N796</f>
        <v/>
      </c>
      <c r="P796" s="2">
        <f>I796-N796</f>
        <v/>
      </c>
      <c r="Q796" s="5">
        <f>IF(G796&gt;기준일,1,0)</f>
        <v/>
      </c>
      <c r="R796" s="5">
        <f>IF(G796&lt;=기준일,1,0)</f>
        <v/>
      </c>
      <c r="S796" s="2">
        <f>J796*H796</f>
        <v/>
      </c>
      <c r="T796" s="5">
        <f>IF(AND(F796&gt;=표본시작,F796&lt;=표본종료),1,0)</f>
        <v/>
      </c>
      <c r="U796" s="5">
        <f>IF(AND(G796&gt;=조회시작,G796&lt;=조회종료),1,0)</f>
        <v/>
      </c>
    </row>
    <row r="797">
      <c r="A797" s="2">
        <f>ROW()-1</f>
        <v/>
      </c>
      <c r="B797" s="5">
        <f>INDEX(상호범위,D797)</f>
        <v/>
      </c>
      <c r="C797" s="5">
        <f>INDEX(플랫폼명범위,E797)</f>
        <v/>
      </c>
      <c r="D797" s="2">
        <f>MOD(INT((A797-1)/4),8)+1</f>
        <v/>
      </c>
      <c r="E797" s="2">
        <f>MOD(A797-1,4)+1</f>
        <v/>
      </c>
      <c r="F797" s="20">
        <f>축시작+INT((A797-1)/32)</f>
        <v/>
      </c>
      <c r="G797" s="20">
        <f>F797+H797</f>
        <v/>
      </c>
      <c r="H797" s="5" t="n">
        <v>6</v>
      </c>
      <c r="I797" s="2">
        <f>ROUND(INDEX(가맹점!$P$2:$P$9,D797)*INDEX(가맹점!$J$2:$M$9,D797,E797),0)</f>
        <v/>
      </c>
      <c r="J797" s="2">
        <f>ROUND(I797*(1-할인율),0)</f>
        <v/>
      </c>
      <c r="K797" s="2">
        <f>ROUNDDOWN(I797*할인율,0)</f>
        <v/>
      </c>
      <c r="L797" s="2">
        <f>ROUND(I797*INDEX(미지급률범위,E797),0)</f>
        <v/>
      </c>
      <c r="M797" s="2">
        <f>ROUND(I797*INDEX(과지급률범위,E797),0)</f>
        <v/>
      </c>
      <c r="N797" s="2">
        <f>MAX(0,L797-M797)</f>
        <v/>
      </c>
      <c r="O797" s="2">
        <f>K797-N797</f>
        <v/>
      </c>
      <c r="P797" s="2">
        <f>I797-N797</f>
        <v/>
      </c>
      <c r="Q797" s="5">
        <f>IF(G797&gt;기준일,1,0)</f>
        <v/>
      </c>
      <c r="R797" s="5">
        <f>IF(G797&lt;=기준일,1,0)</f>
        <v/>
      </c>
      <c r="S797" s="2">
        <f>J797*H797</f>
        <v/>
      </c>
      <c r="T797" s="5">
        <f>IF(AND(F797&gt;=표본시작,F797&lt;=표본종료),1,0)</f>
        <v/>
      </c>
      <c r="U797" s="5">
        <f>IF(AND(G797&gt;=조회시작,G797&lt;=조회종료),1,0)</f>
        <v/>
      </c>
    </row>
    <row r="798">
      <c r="A798" s="2">
        <f>ROW()-1</f>
        <v/>
      </c>
      <c r="B798" s="5">
        <f>INDEX(상호범위,D798)</f>
        <v/>
      </c>
      <c r="C798" s="5">
        <f>INDEX(플랫폼명범위,E798)</f>
        <v/>
      </c>
      <c r="D798" s="2">
        <f>MOD(INT((A798-1)/4),8)+1</f>
        <v/>
      </c>
      <c r="E798" s="2">
        <f>MOD(A798-1,4)+1</f>
        <v/>
      </c>
      <c r="F798" s="20">
        <f>축시작+INT((A798-1)/32)</f>
        <v/>
      </c>
      <c r="G798" s="20">
        <f>F798+H798</f>
        <v/>
      </c>
      <c r="H798" s="5" t="n">
        <v>1</v>
      </c>
      <c r="I798" s="2">
        <f>ROUND(INDEX(가맹점!$P$2:$P$9,D798)*INDEX(가맹점!$J$2:$M$9,D798,E798),0)</f>
        <v/>
      </c>
      <c r="J798" s="2">
        <f>ROUND(I798*(1-할인율),0)</f>
        <v/>
      </c>
      <c r="K798" s="2">
        <f>ROUNDDOWN(I798*할인율,0)</f>
        <v/>
      </c>
      <c r="L798" s="2">
        <f>ROUND(I798*INDEX(미지급률범위,E798),0)</f>
        <v/>
      </c>
      <c r="M798" s="2">
        <f>ROUND(I798*INDEX(과지급률범위,E798),0)</f>
        <v/>
      </c>
      <c r="N798" s="2">
        <f>MAX(0,L798-M798)</f>
        <v/>
      </c>
      <c r="O798" s="2">
        <f>K798-N798</f>
        <v/>
      </c>
      <c r="P798" s="2">
        <f>I798-N798</f>
        <v/>
      </c>
      <c r="Q798" s="5">
        <f>IF(G798&gt;기준일,1,0)</f>
        <v/>
      </c>
      <c r="R798" s="5">
        <f>IF(G798&lt;=기준일,1,0)</f>
        <v/>
      </c>
      <c r="S798" s="2">
        <f>J798*H798</f>
        <v/>
      </c>
      <c r="T798" s="5">
        <f>IF(AND(F798&gt;=표본시작,F798&lt;=표본종료),1,0)</f>
        <v/>
      </c>
      <c r="U798" s="5">
        <f>IF(AND(G798&gt;=조회시작,G798&lt;=조회종료),1,0)</f>
        <v/>
      </c>
    </row>
    <row r="799">
      <c r="A799" s="2">
        <f>ROW()-1</f>
        <v/>
      </c>
      <c r="B799" s="5">
        <f>INDEX(상호범위,D799)</f>
        <v/>
      </c>
      <c r="C799" s="5">
        <f>INDEX(플랫폼명범위,E799)</f>
        <v/>
      </c>
      <c r="D799" s="2">
        <f>MOD(INT((A799-1)/4),8)+1</f>
        <v/>
      </c>
      <c r="E799" s="2">
        <f>MOD(A799-1,4)+1</f>
        <v/>
      </c>
      <c r="F799" s="20">
        <f>축시작+INT((A799-1)/32)</f>
        <v/>
      </c>
      <c r="G799" s="20">
        <f>F799+H799</f>
        <v/>
      </c>
      <c r="H799" s="5" t="n">
        <v>2</v>
      </c>
      <c r="I799" s="2">
        <f>ROUND(INDEX(가맹점!$P$2:$P$9,D799)*INDEX(가맹점!$J$2:$M$9,D799,E799),0)</f>
        <v/>
      </c>
      <c r="J799" s="2">
        <f>ROUND(I799*(1-할인율),0)</f>
        <v/>
      </c>
      <c r="K799" s="2">
        <f>ROUNDDOWN(I799*할인율,0)</f>
        <v/>
      </c>
      <c r="L799" s="2">
        <f>ROUND(I799*INDEX(미지급률범위,E799),0)</f>
        <v/>
      </c>
      <c r="M799" s="2">
        <f>ROUND(I799*INDEX(과지급률범위,E799),0)</f>
        <v/>
      </c>
      <c r="N799" s="2">
        <f>MAX(0,L799-M799)</f>
        <v/>
      </c>
      <c r="O799" s="2">
        <f>K799-N799</f>
        <v/>
      </c>
      <c r="P799" s="2">
        <f>I799-N799</f>
        <v/>
      </c>
      <c r="Q799" s="5">
        <f>IF(G799&gt;기준일,1,0)</f>
        <v/>
      </c>
      <c r="R799" s="5">
        <f>IF(G799&lt;=기준일,1,0)</f>
        <v/>
      </c>
      <c r="S799" s="2">
        <f>J799*H799</f>
        <v/>
      </c>
      <c r="T799" s="5">
        <f>IF(AND(F799&gt;=표본시작,F799&lt;=표본종료),1,0)</f>
        <v/>
      </c>
      <c r="U799" s="5">
        <f>IF(AND(G799&gt;=조회시작,G799&lt;=조회종료),1,0)</f>
        <v/>
      </c>
    </row>
    <row r="800">
      <c r="A800" s="2">
        <f>ROW()-1</f>
        <v/>
      </c>
      <c r="B800" s="5">
        <f>INDEX(상호범위,D800)</f>
        <v/>
      </c>
      <c r="C800" s="5">
        <f>INDEX(플랫폼명범위,E800)</f>
        <v/>
      </c>
      <c r="D800" s="2">
        <f>MOD(INT((A800-1)/4),8)+1</f>
        <v/>
      </c>
      <c r="E800" s="2">
        <f>MOD(A800-1,4)+1</f>
        <v/>
      </c>
      <c r="F800" s="20">
        <f>축시작+INT((A800-1)/32)</f>
        <v/>
      </c>
      <c r="G800" s="20">
        <f>F800+H800</f>
        <v/>
      </c>
      <c r="H800" s="5" t="n">
        <v>5</v>
      </c>
      <c r="I800" s="2">
        <f>ROUND(INDEX(가맹점!$P$2:$P$9,D800)*INDEX(가맹점!$J$2:$M$9,D800,E800),0)</f>
        <v/>
      </c>
      <c r="J800" s="2">
        <f>ROUND(I800*(1-할인율),0)</f>
        <v/>
      </c>
      <c r="K800" s="2">
        <f>ROUNDDOWN(I800*할인율,0)</f>
        <v/>
      </c>
      <c r="L800" s="2">
        <f>ROUND(I800*INDEX(미지급률범위,E800),0)</f>
        <v/>
      </c>
      <c r="M800" s="2">
        <f>ROUND(I800*INDEX(과지급률범위,E800),0)</f>
        <v/>
      </c>
      <c r="N800" s="2">
        <f>MAX(0,L800-M800)</f>
        <v/>
      </c>
      <c r="O800" s="2">
        <f>K800-N800</f>
        <v/>
      </c>
      <c r="P800" s="2">
        <f>I800-N800</f>
        <v/>
      </c>
      <c r="Q800" s="5">
        <f>IF(G800&gt;기준일,1,0)</f>
        <v/>
      </c>
      <c r="R800" s="5">
        <f>IF(G800&lt;=기준일,1,0)</f>
        <v/>
      </c>
      <c r="S800" s="2">
        <f>J800*H800</f>
        <v/>
      </c>
      <c r="T800" s="5">
        <f>IF(AND(F800&gt;=표본시작,F800&lt;=표본종료),1,0)</f>
        <v/>
      </c>
      <c r="U800" s="5">
        <f>IF(AND(G800&gt;=조회시작,G800&lt;=조회종료),1,0)</f>
        <v/>
      </c>
    </row>
    <row r="801">
      <c r="A801" s="2">
        <f>ROW()-1</f>
        <v/>
      </c>
      <c r="B801" s="5">
        <f>INDEX(상호범위,D801)</f>
        <v/>
      </c>
      <c r="C801" s="5">
        <f>INDEX(플랫폼명범위,E801)</f>
        <v/>
      </c>
      <c r="D801" s="2">
        <f>MOD(INT((A801-1)/4),8)+1</f>
        <v/>
      </c>
      <c r="E801" s="2">
        <f>MOD(A801-1,4)+1</f>
        <v/>
      </c>
      <c r="F801" s="20">
        <f>축시작+INT((A801-1)/32)</f>
        <v/>
      </c>
      <c r="G801" s="20">
        <f>F801+H801</f>
        <v/>
      </c>
      <c r="H801" s="5" t="n">
        <v>4</v>
      </c>
      <c r="I801" s="2">
        <f>ROUND(INDEX(가맹점!$P$2:$P$9,D801)*INDEX(가맹점!$J$2:$M$9,D801,E801),0)</f>
        <v/>
      </c>
      <c r="J801" s="2">
        <f>ROUND(I801*(1-할인율),0)</f>
        <v/>
      </c>
      <c r="K801" s="2">
        <f>ROUNDDOWN(I801*할인율,0)</f>
        <v/>
      </c>
      <c r="L801" s="2">
        <f>ROUND(I801*INDEX(미지급률범위,E801),0)</f>
        <v/>
      </c>
      <c r="M801" s="2">
        <f>ROUND(I801*INDEX(과지급률범위,E801),0)</f>
        <v/>
      </c>
      <c r="N801" s="2">
        <f>MAX(0,L801-M801)</f>
        <v/>
      </c>
      <c r="O801" s="2">
        <f>K801-N801</f>
        <v/>
      </c>
      <c r="P801" s="2">
        <f>I801-N801</f>
        <v/>
      </c>
      <c r="Q801" s="5">
        <f>IF(G801&gt;기준일,1,0)</f>
        <v/>
      </c>
      <c r="R801" s="5">
        <f>IF(G801&lt;=기준일,1,0)</f>
        <v/>
      </c>
      <c r="S801" s="2">
        <f>J801*H801</f>
        <v/>
      </c>
      <c r="T801" s="5">
        <f>IF(AND(F801&gt;=표본시작,F801&lt;=표본종료),1,0)</f>
        <v/>
      </c>
      <c r="U801" s="5">
        <f>IF(AND(G801&gt;=조회시작,G801&lt;=조회종료),1,0)</f>
        <v/>
      </c>
    </row>
    <row r="802">
      <c r="A802" s="2">
        <f>ROW()-1</f>
        <v/>
      </c>
      <c r="B802" s="5">
        <f>INDEX(상호범위,D802)</f>
        <v/>
      </c>
      <c r="C802" s="5">
        <f>INDEX(플랫폼명범위,E802)</f>
        <v/>
      </c>
      <c r="D802" s="2">
        <f>MOD(INT((A802-1)/4),8)+1</f>
        <v/>
      </c>
      <c r="E802" s="2">
        <f>MOD(A802-1,4)+1</f>
        <v/>
      </c>
      <c r="F802" s="20">
        <f>축시작+INT((A802-1)/32)</f>
        <v/>
      </c>
      <c r="G802" s="20">
        <f>F802+H802</f>
        <v/>
      </c>
      <c r="H802" s="5" t="n">
        <v>1</v>
      </c>
      <c r="I802" s="2">
        <f>ROUND(INDEX(가맹점!$P$2:$P$9,D802)*INDEX(가맹점!$J$2:$M$9,D802,E802),0)</f>
        <v/>
      </c>
      <c r="J802" s="2">
        <f>ROUND(I802*(1-할인율),0)</f>
        <v/>
      </c>
      <c r="K802" s="2">
        <f>ROUNDDOWN(I802*할인율,0)</f>
        <v/>
      </c>
      <c r="L802" s="2">
        <f>ROUND(I802*INDEX(미지급률범위,E802),0)</f>
        <v/>
      </c>
      <c r="M802" s="2">
        <f>ROUND(I802*INDEX(과지급률범위,E802),0)</f>
        <v/>
      </c>
      <c r="N802" s="2">
        <f>MAX(0,L802-M802)</f>
        <v/>
      </c>
      <c r="O802" s="2">
        <f>K802-N802</f>
        <v/>
      </c>
      <c r="P802" s="2">
        <f>I802-N802</f>
        <v/>
      </c>
      <c r="Q802" s="5">
        <f>IF(G802&gt;기준일,1,0)</f>
        <v/>
      </c>
      <c r="R802" s="5">
        <f>IF(G802&lt;=기준일,1,0)</f>
        <v/>
      </c>
      <c r="S802" s="2">
        <f>J802*H802</f>
        <v/>
      </c>
      <c r="T802" s="5">
        <f>IF(AND(F802&gt;=표본시작,F802&lt;=표본종료),1,0)</f>
        <v/>
      </c>
      <c r="U802" s="5">
        <f>IF(AND(G802&gt;=조회시작,G802&lt;=조회종료),1,0)</f>
        <v/>
      </c>
    </row>
    <row r="803">
      <c r="A803" s="2">
        <f>ROW()-1</f>
        <v/>
      </c>
      <c r="B803" s="5">
        <f>INDEX(상호범위,D803)</f>
        <v/>
      </c>
      <c r="C803" s="5">
        <f>INDEX(플랫폼명범위,E803)</f>
        <v/>
      </c>
      <c r="D803" s="2">
        <f>MOD(INT((A803-1)/4),8)+1</f>
        <v/>
      </c>
      <c r="E803" s="2">
        <f>MOD(A803-1,4)+1</f>
        <v/>
      </c>
      <c r="F803" s="20">
        <f>축시작+INT((A803-1)/32)</f>
        <v/>
      </c>
      <c r="G803" s="20">
        <f>F803+H803</f>
        <v/>
      </c>
      <c r="H803" s="5" t="n">
        <v>4</v>
      </c>
      <c r="I803" s="2">
        <f>ROUND(INDEX(가맹점!$P$2:$P$9,D803)*INDEX(가맹점!$J$2:$M$9,D803,E803),0)</f>
        <v/>
      </c>
      <c r="J803" s="2">
        <f>ROUND(I803*(1-할인율),0)</f>
        <v/>
      </c>
      <c r="K803" s="2">
        <f>ROUNDDOWN(I803*할인율,0)</f>
        <v/>
      </c>
      <c r="L803" s="2">
        <f>ROUND(I803*INDEX(미지급률범위,E803),0)</f>
        <v/>
      </c>
      <c r="M803" s="2">
        <f>ROUND(I803*INDEX(과지급률범위,E803),0)</f>
        <v/>
      </c>
      <c r="N803" s="2">
        <f>MAX(0,L803-M803)</f>
        <v/>
      </c>
      <c r="O803" s="2">
        <f>K803-N803</f>
        <v/>
      </c>
      <c r="P803" s="2">
        <f>I803-N803</f>
        <v/>
      </c>
      <c r="Q803" s="5">
        <f>IF(G803&gt;기준일,1,0)</f>
        <v/>
      </c>
      <c r="R803" s="5">
        <f>IF(G803&lt;=기준일,1,0)</f>
        <v/>
      </c>
      <c r="S803" s="2">
        <f>J803*H803</f>
        <v/>
      </c>
      <c r="T803" s="5">
        <f>IF(AND(F803&gt;=표본시작,F803&lt;=표본종료),1,0)</f>
        <v/>
      </c>
      <c r="U803" s="5">
        <f>IF(AND(G803&gt;=조회시작,G803&lt;=조회종료),1,0)</f>
        <v/>
      </c>
    </row>
    <row r="804">
      <c r="A804" s="2">
        <f>ROW()-1</f>
        <v/>
      </c>
      <c r="B804" s="5">
        <f>INDEX(상호범위,D804)</f>
        <v/>
      </c>
      <c r="C804" s="5">
        <f>INDEX(플랫폼명범위,E804)</f>
        <v/>
      </c>
      <c r="D804" s="2">
        <f>MOD(INT((A804-1)/4),8)+1</f>
        <v/>
      </c>
      <c r="E804" s="2">
        <f>MOD(A804-1,4)+1</f>
        <v/>
      </c>
      <c r="F804" s="20">
        <f>축시작+INT((A804-1)/32)</f>
        <v/>
      </c>
      <c r="G804" s="20">
        <f>F804+H804</f>
        <v/>
      </c>
      <c r="H804" s="5" t="n">
        <v>3</v>
      </c>
      <c r="I804" s="2">
        <f>ROUND(INDEX(가맹점!$P$2:$P$9,D804)*INDEX(가맹점!$J$2:$M$9,D804,E804),0)</f>
        <v/>
      </c>
      <c r="J804" s="2">
        <f>ROUND(I804*(1-할인율),0)</f>
        <v/>
      </c>
      <c r="K804" s="2">
        <f>ROUNDDOWN(I804*할인율,0)</f>
        <v/>
      </c>
      <c r="L804" s="2">
        <f>ROUND(I804*INDEX(미지급률범위,E804),0)</f>
        <v/>
      </c>
      <c r="M804" s="2">
        <f>ROUND(I804*INDEX(과지급률범위,E804),0)</f>
        <v/>
      </c>
      <c r="N804" s="2">
        <f>MAX(0,L804-M804)</f>
        <v/>
      </c>
      <c r="O804" s="2">
        <f>K804-N804</f>
        <v/>
      </c>
      <c r="P804" s="2">
        <f>I804-N804</f>
        <v/>
      </c>
      <c r="Q804" s="5">
        <f>IF(G804&gt;기준일,1,0)</f>
        <v/>
      </c>
      <c r="R804" s="5">
        <f>IF(G804&lt;=기준일,1,0)</f>
        <v/>
      </c>
      <c r="S804" s="2">
        <f>J804*H804</f>
        <v/>
      </c>
      <c r="T804" s="5">
        <f>IF(AND(F804&gt;=표본시작,F804&lt;=표본종료),1,0)</f>
        <v/>
      </c>
      <c r="U804" s="5">
        <f>IF(AND(G804&gt;=조회시작,G804&lt;=조회종료),1,0)</f>
        <v/>
      </c>
    </row>
    <row r="805">
      <c r="A805" s="2">
        <f>ROW()-1</f>
        <v/>
      </c>
      <c r="B805" s="5">
        <f>INDEX(상호범위,D805)</f>
        <v/>
      </c>
      <c r="C805" s="5">
        <f>INDEX(플랫폼명범위,E805)</f>
        <v/>
      </c>
      <c r="D805" s="2">
        <f>MOD(INT((A805-1)/4),8)+1</f>
        <v/>
      </c>
      <c r="E805" s="2">
        <f>MOD(A805-1,4)+1</f>
        <v/>
      </c>
      <c r="F805" s="20">
        <f>축시작+INT((A805-1)/32)</f>
        <v/>
      </c>
      <c r="G805" s="20">
        <f>F805+H805</f>
        <v/>
      </c>
      <c r="H805" s="5" t="n">
        <v>6</v>
      </c>
      <c r="I805" s="2">
        <f>ROUND(INDEX(가맹점!$P$2:$P$9,D805)*INDEX(가맹점!$J$2:$M$9,D805,E805),0)</f>
        <v/>
      </c>
      <c r="J805" s="2">
        <f>ROUND(I805*(1-할인율),0)</f>
        <v/>
      </c>
      <c r="K805" s="2">
        <f>ROUNDDOWN(I805*할인율,0)</f>
        <v/>
      </c>
      <c r="L805" s="2">
        <f>ROUND(I805*INDEX(미지급률범위,E805),0)</f>
        <v/>
      </c>
      <c r="M805" s="2">
        <f>ROUND(I805*INDEX(과지급률범위,E805),0)</f>
        <v/>
      </c>
      <c r="N805" s="2">
        <f>MAX(0,L805-M805)</f>
        <v/>
      </c>
      <c r="O805" s="2">
        <f>K805-N805</f>
        <v/>
      </c>
      <c r="P805" s="2">
        <f>I805-N805</f>
        <v/>
      </c>
      <c r="Q805" s="5">
        <f>IF(G805&gt;기준일,1,0)</f>
        <v/>
      </c>
      <c r="R805" s="5">
        <f>IF(G805&lt;=기준일,1,0)</f>
        <v/>
      </c>
      <c r="S805" s="2">
        <f>J805*H805</f>
        <v/>
      </c>
      <c r="T805" s="5">
        <f>IF(AND(F805&gt;=표본시작,F805&lt;=표본종료),1,0)</f>
        <v/>
      </c>
      <c r="U805" s="5">
        <f>IF(AND(G805&gt;=조회시작,G805&lt;=조회종료),1,0)</f>
        <v/>
      </c>
    </row>
    <row r="806">
      <c r="A806" s="2">
        <f>ROW()-1</f>
        <v/>
      </c>
      <c r="B806" s="5">
        <f>INDEX(상호범위,D806)</f>
        <v/>
      </c>
      <c r="C806" s="5">
        <f>INDEX(플랫폼명범위,E806)</f>
        <v/>
      </c>
      <c r="D806" s="2">
        <f>MOD(INT((A806-1)/4),8)+1</f>
        <v/>
      </c>
      <c r="E806" s="2">
        <f>MOD(A806-1,4)+1</f>
        <v/>
      </c>
      <c r="F806" s="20">
        <f>축시작+INT((A806-1)/32)</f>
        <v/>
      </c>
      <c r="G806" s="20">
        <f>F806+H806</f>
        <v/>
      </c>
      <c r="H806" s="5" t="n">
        <v>1</v>
      </c>
      <c r="I806" s="2">
        <f>ROUND(INDEX(가맹점!$P$2:$P$9,D806)*INDEX(가맹점!$J$2:$M$9,D806,E806),0)</f>
        <v/>
      </c>
      <c r="J806" s="2">
        <f>ROUND(I806*(1-할인율),0)</f>
        <v/>
      </c>
      <c r="K806" s="2">
        <f>ROUNDDOWN(I806*할인율,0)</f>
        <v/>
      </c>
      <c r="L806" s="2">
        <f>ROUND(I806*INDEX(미지급률범위,E806),0)</f>
        <v/>
      </c>
      <c r="M806" s="2">
        <f>ROUND(I806*INDEX(과지급률범위,E806),0)</f>
        <v/>
      </c>
      <c r="N806" s="2">
        <f>MAX(0,L806-M806)</f>
        <v/>
      </c>
      <c r="O806" s="2">
        <f>K806-N806</f>
        <v/>
      </c>
      <c r="P806" s="2">
        <f>I806-N806</f>
        <v/>
      </c>
      <c r="Q806" s="5">
        <f>IF(G806&gt;기준일,1,0)</f>
        <v/>
      </c>
      <c r="R806" s="5">
        <f>IF(G806&lt;=기준일,1,0)</f>
        <v/>
      </c>
      <c r="S806" s="2">
        <f>J806*H806</f>
        <v/>
      </c>
      <c r="T806" s="5">
        <f>IF(AND(F806&gt;=표본시작,F806&lt;=표본종료),1,0)</f>
        <v/>
      </c>
      <c r="U806" s="5">
        <f>IF(AND(G806&gt;=조회시작,G806&lt;=조회종료),1,0)</f>
        <v/>
      </c>
    </row>
    <row r="807">
      <c r="A807" s="2">
        <f>ROW()-1</f>
        <v/>
      </c>
      <c r="B807" s="5">
        <f>INDEX(상호범위,D807)</f>
        <v/>
      </c>
      <c r="C807" s="5">
        <f>INDEX(플랫폼명범위,E807)</f>
        <v/>
      </c>
      <c r="D807" s="2">
        <f>MOD(INT((A807-1)/4),8)+1</f>
        <v/>
      </c>
      <c r="E807" s="2">
        <f>MOD(A807-1,4)+1</f>
        <v/>
      </c>
      <c r="F807" s="20">
        <f>축시작+INT((A807-1)/32)</f>
        <v/>
      </c>
      <c r="G807" s="20">
        <f>F807+H807</f>
        <v/>
      </c>
      <c r="H807" s="5" t="n">
        <v>3</v>
      </c>
      <c r="I807" s="2">
        <f>ROUND(INDEX(가맹점!$P$2:$P$9,D807)*INDEX(가맹점!$J$2:$M$9,D807,E807),0)</f>
        <v/>
      </c>
      <c r="J807" s="2">
        <f>ROUND(I807*(1-할인율),0)</f>
        <v/>
      </c>
      <c r="K807" s="2">
        <f>ROUNDDOWN(I807*할인율,0)</f>
        <v/>
      </c>
      <c r="L807" s="2">
        <f>ROUND(I807*INDEX(미지급률범위,E807),0)</f>
        <v/>
      </c>
      <c r="M807" s="2">
        <f>ROUND(I807*INDEX(과지급률범위,E807),0)</f>
        <v/>
      </c>
      <c r="N807" s="2">
        <f>MAX(0,L807-M807)</f>
        <v/>
      </c>
      <c r="O807" s="2">
        <f>K807-N807</f>
        <v/>
      </c>
      <c r="P807" s="2">
        <f>I807-N807</f>
        <v/>
      </c>
      <c r="Q807" s="5">
        <f>IF(G807&gt;기준일,1,0)</f>
        <v/>
      </c>
      <c r="R807" s="5">
        <f>IF(G807&lt;=기준일,1,0)</f>
        <v/>
      </c>
      <c r="S807" s="2">
        <f>J807*H807</f>
        <v/>
      </c>
      <c r="T807" s="5">
        <f>IF(AND(F807&gt;=표본시작,F807&lt;=표본종료),1,0)</f>
        <v/>
      </c>
      <c r="U807" s="5">
        <f>IF(AND(G807&gt;=조회시작,G807&lt;=조회종료),1,0)</f>
        <v/>
      </c>
    </row>
    <row r="808">
      <c r="A808" s="2">
        <f>ROW()-1</f>
        <v/>
      </c>
      <c r="B808" s="5">
        <f>INDEX(상호범위,D808)</f>
        <v/>
      </c>
      <c r="C808" s="5">
        <f>INDEX(플랫폼명범위,E808)</f>
        <v/>
      </c>
      <c r="D808" s="2">
        <f>MOD(INT((A808-1)/4),8)+1</f>
        <v/>
      </c>
      <c r="E808" s="2">
        <f>MOD(A808-1,4)+1</f>
        <v/>
      </c>
      <c r="F808" s="20">
        <f>축시작+INT((A808-1)/32)</f>
        <v/>
      </c>
      <c r="G808" s="20">
        <f>F808+H808</f>
        <v/>
      </c>
      <c r="H808" s="5" t="n">
        <v>5</v>
      </c>
      <c r="I808" s="2">
        <f>ROUND(INDEX(가맹점!$P$2:$P$9,D808)*INDEX(가맹점!$J$2:$M$9,D808,E808),0)</f>
        <v/>
      </c>
      <c r="J808" s="2">
        <f>ROUND(I808*(1-할인율),0)</f>
        <v/>
      </c>
      <c r="K808" s="2">
        <f>ROUNDDOWN(I808*할인율,0)</f>
        <v/>
      </c>
      <c r="L808" s="2">
        <f>ROUND(I808*INDEX(미지급률범위,E808),0)</f>
        <v/>
      </c>
      <c r="M808" s="2">
        <f>ROUND(I808*INDEX(과지급률범위,E808),0)</f>
        <v/>
      </c>
      <c r="N808" s="2">
        <f>MAX(0,L808-M808)</f>
        <v/>
      </c>
      <c r="O808" s="2">
        <f>K808-N808</f>
        <v/>
      </c>
      <c r="P808" s="2">
        <f>I808-N808</f>
        <v/>
      </c>
      <c r="Q808" s="5">
        <f>IF(G808&gt;기준일,1,0)</f>
        <v/>
      </c>
      <c r="R808" s="5">
        <f>IF(G808&lt;=기준일,1,0)</f>
        <v/>
      </c>
      <c r="S808" s="2">
        <f>J808*H808</f>
        <v/>
      </c>
      <c r="T808" s="5">
        <f>IF(AND(F808&gt;=표본시작,F808&lt;=표본종료),1,0)</f>
        <v/>
      </c>
      <c r="U808" s="5">
        <f>IF(AND(G808&gt;=조회시작,G808&lt;=조회종료),1,0)</f>
        <v/>
      </c>
    </row>
    <row r="809">
      <c r="A809" s="2">
        <f>ROW()-1</f>
        <v/>
      </c>
      <c r="B809" s="5">
        <f>INDEX(상호범위,D809)</f>
        <v/>
      </c>
      <c r="C809" s="5">
        <f>INDEX(플랫폼명범위,E809)</f>
        <v/>
      </c>
      <c r="D809" s="2">
        <f>MOD(INT((A809-1)/4),8)+1</f>
        <v/>
      </c>
      <c r="E809" s="2">
        <f>MOD(A809-1,4)+1</f>
        <v/>
      </c>
      <c r="F809" s="20">
        <f>축시작+INT((A809-1)/32)</f>
        <v/>
      </c>
      <c r="G809" s="20">
        <f>F809+H809</f>
        <v/>
      </c>
      <c r="H809" s="5" t="n">
        <v>6</v>
      </c>
      <c r="I809" s="2">
        <f>ROUND(INDEX(가맹점!$P$2:$P$9,D809)*INDEX(가맹점!$J$2:$M$9,D809,E809),0)</f>
        <v/>
      </c>
      <c r="J809" s="2">
        <f>ROUND(I809*(1-할인율),0)</f>
        <v/>
      </c>
      <c r="K809" s="2">
        <f>ROUNDDOWN(I809*할인율,0)</f>
        <v/>
      </c>
      <c r="L809" s="2">
        <f>ROUND(I809*INDEX(미지급률범위,E809),0)</f>
        <v/>
      </c>
      <c r="M809" s="2">
        <f>ROUND(I809*INDEX(과지급률범위,E809),0)</f>
        <v/>
      </c>
      <c r="N809" s="2">
        <f>MAX(0,L809-M809)</f>
        <v/>
      </c>
      <c r="O809" s="2">
        <f>K809-N809</f>
        <v/>
      </c>
      <c r="P809" s="2">
        <f>I809-N809</f>
        <v/>
      </c>
      <c r="Q809" s="5">
        <f>IF(G809&gt;기준일,1,0)</f>
        <v/>
      </c>
      <c r="R809" s="5">
        <f>IF(G809&lt;=기준일,1,0)</f>
        <v/>
      </c>
      <c r="S809" s="2">
        <f>J809*H809</f>
        <v/>
      </c>
      <c r="T809" s="5">
        <f>IF(AND(F809&gt;=표본시작,F809&lt;=표본종료),1,0)</f>
        <v/>
      </c>
      <c r="U809" s="5">
        <f>IF(AND(G809&gt;=조회시작,G809&lt;=조회종료),1,0)</f>
        <v/>
      </c>
    </row>
    <row r="810">
      <c r="A810" s="2">
        <f>ROW()-1</f>
        <v/>
      </c>
      <c r="B810" s="5">
        <f>INDEX(상호범위,D810)</f>
        <v/>
      </c>
      <c r="C810" s="5">
        <f>INDEX(플랫폼명범위,E810)</f>
        <v/>
      </c>
      <c r="D810" s="2">
        <f>MOD(INT((A810-1)/4),8)+1</f>
        <v/>
      </c>
      <c r="E810" s="2">
        <f>MOD(A810-1,4)+1</f>
        <v/>
      </c>
      <c r="F810" s="20">
        <f>축시작+INT((A810-1)/32)</f>
        <v/>
      </c>
      <c r="G810" s="20">
        <f>F810+H810</f>
        <v/>
      </c>
      <c r="H810" s="5" t="n">
        <v>1</v>
      </c>
      <c r="I810" s="2">
        <f>ROUND(INDEX(가맹점!$P$2:$P$9,D810)*INDEX(가맹점!$J$2:$M$9,D810,E810),0)</f>
        <v/>
      </c>
      <c r="J810" s="2">
        <f>ROUND(I810*(1-할인율),0)</f>
        <v/>
      </c>
      <c r="K810" s="2">
        <f>ROUNDDOWN(I810*할인율,0)</f>
        <v/>
      </c>
      <c r="L810" s="2">
        <f>ROUND(I810*INDEX(미지급률범위,E810),0)</f>
        <v/>
      </c>
      <c r="M810" s="2">
        <f>ROUND(I810*INDEX(과지급률범위,E810),0)</f>
        <v/>
      </c>
      <c r="N810" s="2">
        <f>MAX(0,L810-M810)</f>
        <v/>
      </c>
      <c r="O810" s="2">
        <f>K810-N810</f>
        <v/>
      </c>
      <c r="P810" s="2">
        <f>I810-N810</f>
        <v/>
      </c>
      <c r="Q810" s="5">
        <f>IF(G810&gt;기준일,1,0)</f>
        <v/>
      </c>
      <c r="R810" s="5">
        <f>IF(G810&lt;=기준일,1,0)</f>
        <v/>
      </c>
      <c r="S810" s="2">
        <f>J810*H810</f>
        <v/>
      </c>
      <c r="T810" s="5">
        <f>IF(AND(F810&gt;=표본시작,F810&lt;=표본종료),1,0)</f>
        <v/>
      </c>
      <c r="U810" s="5">
        <f>IF(AND(G810&gt;=조회시작,G810&lt;=조회종료),1,0)</f>
        <v/>
      </c>
    </row>
    <row r="811">
      <c r="A811" s="2">
        <f>ROW()-1</f>
        <v/>
      </c>
      <c r="B811" s="5">
        <f>INDEX(상호범위,D811)</f>
        <v/>
      </c>
      <c r="C811" s="5">
        <f>INDEX(플랫폼명범위,E811)</f>
        <v/>
      </c>
      <c r="D811" s="2">
        <f>MOD(INT((A811-1)/4),8)+1</f>
        <v/>
      </c>
      <c r="E811" s="2">
        <f>MOD(A811-1,4)+1</f>
        <v/>
      </c>
      <c r="F811" s="20">
        <f>축시작+INT((A811-1)/32)</f>
        <v/>
      </c>
      <c r="G811" s="20">
        <f>F811+H811</f>
        <v/>
      </c>
      <c r="H811" s="5" t="n">
        <v>3</v>
      </c>
      <c r="I811" s="2">
        <f>ROUND(INDEX(가맹점!$P$2:$P$9,D811)*INDEX(가맹점!$J$2:$M$9,D811,E811),0)</f>
        <v/>
      </c>
      <c r="J811" s="2">
        <f>ROUND(I811*(1-할인율),0)</f>
        <v/>
      </c>
      <c r="K811" s="2">
        <f>ROUNDDOWN(I811*할인율,0)</f>
        <v/>
      </c>
      <c r="L811" s="2">
        <f>ROUND(I811*INDEX(미지급률범위,E811),0)</f>
        <v/>
      </c>
      <c r="M811" s="2">
        <f>ROUND(I811*INDEX(과지급률범위,E811),0)</f>
        <v/>
      </c>
      <c r="N811" s="2">
        <f>MAX(0,L811-M811)</f>
        <v/>
      </c>
      <c r="O811" s="2">
        <f>K811-N811</f>
        <v/>
      </c>
      <c r="P811" s="2">
        <f>I811-N811</f>
        <v/>
      </c>
      <c r="Q811" s="5">
        <f>IF(G811&gt;기준일,1,0)</f>
        <v/>
      </c>
      <c r="R811" s="5">
        <f>IF(G811&lt;=기준일,1,0)</f>
        <v/>
      </c>
      <c r="S811" s="2">
        <f>J811*H811</f>
        <v/>
      </c>
      <c r="T811" s="5">
        <f>IF(AND(F811&gt;=표본시작,F811&lt;=표본종료),1,0)</f>
        <v/>
      </c>
      <c r="U811" s="5">
        <f>IF(AND(G811&gt;=조회시작,G811&lt;=조회종료),1,0)</f>
        <v/>
      </c>
    </row>
    <row r="812">
      <c r="A812" s="2">
        <f>ROW()-1</f>
        <v/>
      </c>
      <c r="B812" s="5">
        <f>INDEX(상호범위,D812)</f>
        <v/>
      </c>
      <c r="C812" s="5">
        <f>INDEX(플랫폼명범위,E812)</f>
        <v/>
      </c>
      <c r="D812" s="2">
        <f>MOD(INT((A812-1)/4),8)+1</f>
        <v/>
      </c>
      <c r="E812" s="2">
        <f>MOD(A812-1,4)+1</f>
        <v/>
      </c>
      <c r="F812" s="20">
        <f>축시작+INT((A812-1)/32)</f>
        <v/>
      </c>
      <c r="G812" s="20">
        <f>F812+H812</f>
        <v/>
      </c>
      <c r="H812" s="5" t="n">
        <v>3</v>
      </c>
      <c r="I812" s="2">
        <f>ROUND(INDEX(가맹점!$P$2:$P$9,D812)*INDEX(가맹점!$J$2:$M$9,D812,E812),0)</f>
        <v/>
      </c>
      <c r="J812" s="2">
        <f>ROUND(I812*(1-할인율),0)</f>
        <v/>
      </c>
      <c r="K812" s="2">
        <f>ROUNDDOWN(I812*할인율,0)</f>
        <v/>
      </c>
      <c r="L812" s="2">
        <f>ROUND(I812*INDEX(미지급률범위,E812),0)</f>
        <v/>
      </c>
      <c r="M812" s="2">
        <f>ROUND(I812*INDEX(과지급률범위,E812),0)</f>
        <v/>
      </c>
      <c r="N812" s="2">
        <f>MAX(0,L812-M812)</f>
        <v/>
      </c>
      <c r="O812" s="2">
        <f>K812-N812</f>
        <v/>
      </c>
      <c r="P812" s="2">
        <f>I812-N812</f>
        <v/>
      </c>
      <c r="Q812" s="5">
        <f>IF(G812&gt;기준일,1,0)</f>
        <v/>
      </c>
      <c r="R812" s="5">
        <f>IF(G812&lt;=기준일,1,0)</f>
        <v/>
      </c>
      <c r="S812" s="2">
        <f>J812*H812</f>
        <v/>
      </c>
      <c r="T812" s="5">
        <f>IF(AND(F812&gt;=표본시작,F812&lt;=표본종료),1,0)</f>
        <v/>
      </c>
      <c r="U812" s="5">
        <f>IF(AND(G812&gt;=조회시작,G812&lt;=조회종료),1,0)</f>
        <v/>
      </c>
    </row>
    <row r="813">
      <c r="A813" s="2">
        <f>ROW()-1</f>
        <v/>
      </c>
      <c r="B813" s="5">
        <f>INDEX(상호범위,D813)</f>
        <v/>
      </c>
      <c r="C813" s="5">
        <f>INDEX(플랫폼명범위,E813)</f>
        <v/>
      </c>
      <c r="D813" s="2">
        <f>MOD(INT((A813-1)/4),8)+1</f>
        <v/>
      </c>
      <c r="E813" s="2">
        <f>MOD(A813-1,4)+1</f>
        <v/>
      </c>
      <c r="F813" s="20">
        <f>축시작+INT((A813-1)/32)</f>
        <v/>
      </c>
      <c r="G813" s="20">
        <f>F813+H813</f>
        <v/>
      </c>
      <c r="H813" s="5" t="n">
        <v>6</v>
      </c>
      <c r="I813" s="2">
        <f>ROUND(INDEX(가맹점!$P$2:$P$9,D813)*INDEX(가맹점!$J$2:$M$9,D813,E813),0)</f>
        <v/>
      </c>
      <c r="J813" s="2">
        <f>ROUND(I813*(1-할인율),0)</f>
        <v/>
      </c>
      <c r="K813" s="2">
        <f>ROUNDDOWN(I813*할인율,0)</f>
        <v/>
      </c>
      <c r="L813" s="2">
        <f>ROUND(I813*INDEX(미지급률범위,E813),0)</f>
        <v/>
      </c>
      <c r="M813" s="2">
        <f>ROUND(I813*INDEX(과지급률범위,E813),0)</f>
        <v/>
      </c>
      <c r="N813" s="2">
        <f>MAX(0,L813-M813)</f>
        <v/>
      </c>
      <c r="O813" s="2">
        <f>K813-N813</f>
        <v/>
      </c>
      <c r="P813" s="2">
        <f>I813-N813</f>
        <v/>
      </c>
      <c r="Q813" s="5">
        <f>IF(G813&gt;기준일,1,0)</f>
        <v/>
      </c>
      <c r="R813" s="5">
        <f>IF(G813&lt;=기준일,1,0)</f>
        <v/>
      </c>
      <c r="S813" s="2">
        <f>J813*H813</f>
        <v/>
      </c>
      <c r="T813" s="5">
        <f>IF(AND(F813&gt;=표본시작,F813&lt;=표본종료),1,0)</f>
        <v/>
      </c>
      <c r="U813" s="5">
        <f>IF(AND(G813&gt;=조회시작,G813&lt;=조회종료),1,0)</f>
        <v/>
      </c>
    </row>
    <row r="814">
      <c r="A814" s="2">
        <f>ROW()-1</f>
        <v/>
      </c>
      <c r="B814" s="5">
        <f>INDEX(상호범위,D814)</f>
        <v/>
      </c>
      <c r="C814" s="5">
        <f>INDEX(플랫폼명범위,E814)</f>
        <v/>
      </c>
      <c r="D814" s="2">
        <f>MOD(INT((A814-1)/4),8)+1</f>
        <v/>
      </c>
      <c r="E814" s="2">
        <f>MOD(A814-1,4)+1</f>
        <v/>
      </c>
      <c r="F814" s="20">
        <f>축시작+INT((A814-1)/32)</f>
        <v/>
      </c>
      <c r="G814" s="20">
        <f>F814+H814</f>
        <v/>
      </c>
      <c r="H814" s="5" t="n">
        <v>1</v>
      </c>
      <c r="I814" s="2">
        <f>ROUND(INDEX(가맹점!$P$2:$P$9,D814)*INDEX(가맹점!$J$2:$M$9,D814,E814),0)</f>
        <v/>
      </c>
      <c r="J814" s="2">
        <f>ROUND(I814*(1-할인율),0)</f>
        <v/>
      </c>
      <c r="K814" s="2">
        <f>ROUNDDOWN(I814*할인율,0)</f>
        <v/>
      </c>
      <c r="L814" s="2">
        <f>ROUND(I814*INDEX(미지급률범위,E814),0)</f>
        <v/>
      </c>
      <c r="M814" s="2">
        <f>ROUND(I814*INDEX(과지급률범위,E814),0)</f>
        <v/>
      </c>
      <c r="N814" s="2">
        <f>MAX(0,L814-M814)</f>
        <v/>
      </c>
      <c r="O814" s="2">
        <f>K814-N814</f>
        <v/>
      </c>
      <c r="P814" s="2">
        <f>I814-N814</f>
        <v/>
      </c>
      <c r="Q814" s="5">
        <f>IF(G814&gt;기준일,1,0)</f>
        <v/>
      </c>
      <c r="R814" s="5">
        <f>IF(G814&lt;=기준일,1,0)</f>
        <v/>
      </c>
      <c r="S814" s="2">
        <f>J814*H814</f>
        <v/>
      </c>
      <c r="T814" s="5">
        <f>IF(AND(F814&gt;=표본시작,F814&lt;=표본종료),1,0)</f>
        <v/>
      </c>
      <c r="U814" s="5">
        <f>IF(AND(G814&gt;=조회시작,G814&lt;=조회종료),1,0)</f>
        <v/>
      </c>
    </row>
    <row r="815">
      <c r="A815" s="2">
        <f>ROW()-1</f>
        <v/>
      </c>
      <c r="B815" s="5">
        <f>INDEX(상호범위,D815)</f>
        <v/>
      </c>
      <c r="C815" s="5">
        <f>INDEX(플랫폼명범위,E815)</f>
        <v/>
      </c>
      <c r="D815" s="2">
        <f>MOD(INT((A815-1)/4),8)+1</f>
        <v/>
      </c>
      <c r="E815" s="2">
        <f>MOD(A815-1,4)+1</f>
        <v/>
      </c>
      <c r="F815" s="20">
        <f>축시작+INT((A815-1)/32)</f>
        <v/>
      </c>
      <c r="G815" s="20">
        <f>F815+H815</f>
        <v/>
      </c>
      <c r="H815" s="5" t="n">
        <v>5</v>
      </c>
      <c r="I815" s="2">
        <f>ROUND(INDEX(가맹점!$P$2:$P$9,D815)*INDEX(가맹점!$J$2:$M$9,D815,E815),0)</f>
        <v/>
      </c>
      <c r="J815" s="2">
        <f>ROUND(I815*(1-할인율),0)</f>
        <v/>
      </c>
      <c r="K815" s="2">
        <f>ROUNDDOWN(I815*할인율,0)</f>
        <v/>
      </c>
      <c r="L815" s="2">
        <f>ROUND(I815*INDEX(미지급률범위,E815),0)</f>
        <v/>
      </c>
      <c r="M815" s="2">
        <f>ROUND(I815*INDEX(과지급률범위,E815),0)</f>
        <v/>
      </c>
      <c r="N815" s="2">
        <f>MAX(0,L815-M815)</f>
        <v/>
      </c>
      <c r="O815" s="2">
        <f>K815-N815</f>
        <v/>
      </c>
      <c r="P815" s="2">
        <f>I815-N815</f>
        <v/>
      </c>
      <c r="Q815" s="5">
        <f>IF(G815&gt;기준일,1,0)</f>
        <v/>
      </c>
      <c r="R815" s="5">
        <f>IF(G815&lt;=기준일,1,0)</f>
        <v/>
      </c>
      <c r="S815" s="2">
        <f>J815*H815</f>
        <v/>
      </c>
      <c r="T815" s="5">
        <f>IF(AND(F815&gt;=표본시작,F815&lt;=표본종료),1,0)</f>
        <v/>
      </c>
      <c r="U815" s="5">
        <f>IF(AND(G815&gt;=조회시작,G815&lt;=조회종료),1,0)</f>
        <v/>
      </c>
    </row>
    <row r="816">
      <c r="A816" s="2">
        <f>ROW()-1</f>
        <v/>
      </c>
      <c r="B816" s="5">
        <f>INDEX(상호범위,D816)</f>
        <v/>
      </c>
      <c r="C816" s="5">
        <f>INDEX(플랫폼명범위,E816)</f>
        <v/>
      </c>
      <c r="D816" s="2">
        <f>MOD(INT((A816-1)/4),8)+1</f>
        <v/>
      </c>
      <c r="E816" s="2">
        <f>MOD(A816-1,4)+1</f>
        <v/>
      </c>
      <c r="F816" s="20">
        <f>축시작+INT((A816-1)/32)</f>
        <v/>
      </c>
      <c r="G816" s="20">
        <f>F816+H816</f>
        <v/>
      </c>
      <c r="H816" s="5" t="n">
        <v>3</v>
      </c>
      <c r="I816" s="2">
        <f>ROUND(INDEX(가맹점!$P$2:$P$9,D816)*INDEX(가맹점!$J$2:$M$9,D816,E816),0)</f>
        <v/>
      </c>
      <c r="J816" s="2">
        <f>ROUND(I816*(1-할인율),0)</f>
        <v/>
      </c>
      <c r="K816" s="2">
        <f>ROUNDDOWN(I816*할인율,0)</f>
        <v/>
      </c>
      <c r="L816" s="2">
        <f>ROUND(I816*INDEX(미지급률범위,E816),0)</f>
        <v/>
      </c>
      <c r="M816" s="2">
        <f>ROUND(I816*INDEX(과지급률범위,E816),0)</f>
        <v/>
      </c>
      <c r="N816" s="2">
        <f>MAX(0,L816-M816)</f>
        <v/>
      </c>
      <c r="O816" s="2">
        <f>K816-N816</f>
        <v/>
      </c>
      <c r="P816" s="2">
        <f>I816-N816</f>
        <v/>
      </c>
      <c r="Q816" s="5">
        <f>IF(G816&gt;기준일,1,0)</f>
        <v/>
      </c>
      <c r="R816" s="5">
        <f>IF(G816&lt;=기준일,1,0)</f>
        <v/>
      </c>
      <c r="S816" s="2">
        <f>J816*H816</f>
        <v/>
      </c>
      <c r="T816" s="5">
        <f>IF(AND(F816&gt;=표본시작,F816&lt;=표본종료),1,0)</f>
        <v/>
      </c>
      <c r="U816" s="5">
        <f>IF(AND(G816&gt;=조회시작,G816&lt;=조회종료),1,0)</f>
        <v/>
      </c>
    </row>
    <row r="817">
      <c r="A817" s="2">
        <f>ROW()-1</f>
        <v/>
      </c>
      <c r="B817" s="5">
        <f>INDEX(상호범위,D817)</f>
        <v/>
      </c>
      <c r="C817" s="5">
        <f>INDEX(플랫폼명범위,E817)</f>
        <v/>
      </c>
      <c r="D817" s="2">
        <f>MOD(INT((A817-1)/4),8)+1</f>
        <v/>
      </c>
      <c r="E817" s="2">
        <f>MOD(A817-1,4)+1</f>
        <v/>
      </c>
      <c r="F817" s="20">
        <f>축시작+INT((A817-1)/32)</f>
        <v/>
      </c>
      <c r="G817" s="20">
        <f>F817+H817</f>
        <v/>
      </c>
      <c r="H817" s="5" t="n">
        <v>6</v>
      </c>
      <c r="I817" s="2">
        <f>ROUND(INDEX(가맹점!$P$2:$P$9,D817)*INDEX(가맹점!$J$2:$M$9,D817,E817),0)</f>
        <v/>
      </c>
      <c r="J817" s="2">
        <f>ROUND(I817*(1-할인율),0)</f>
        <v/>
      </c>
      <c r="K817" s="2">
        <f>ROUNDDOWN(I817*할인율,0)</f>
        <v/>
      </c>
      <c r="L817" s="2">
        <f>ROUND(I817*INDEX(미지급률범위,E817),0)</f>
        <v/>
      </c>
      <c r="M817" s="2">
        <f>ROUND(I817*INDEX(과지급률범위,E817),0)</f>
        <v/>
      </c>
      <c r="N817" s="2">
        <f>MAX(0,L817-M817)</f>
        <v/>
      </c>
      <c r="O817" s="2">
        <f>K817-N817</f>
        <v/>
      </c>
      <c r="P817" s="2">
        <f>I817-N817</f>
        <v/>
      </c>
      <c r="Q817" s="5">
        <f>IF(G817&gt;기준일,1,0)</f>
        <v/>
      </c>
      <c r="R817" s="5">
        <f>IF(G817&lt;=기준일,1,0)</f>
        <v/>
      </c>
      <c r="S817" s="2">
        <f>J817*H817</f>
        <v/>
      </c>
      <c r="T817" s="5">
        <f>IF(AND(F817&gt;=표본시작,F817&lt;=표본종료),1,0)</f>
        <v/>
      </c>
      <c r="U817" s="5">
        <f>IF(AND(G817&gt;=조회시작,G817&lt;=조회종료),1,0)</f>
        <v/>
      </c>
    </row>
    <row r="818">
      <c r="A818" s="2">
        <f>ROW()-1</f>
        <v/>
      </c>
      <c r="B818" s="5">
        <f>INDEX(상호범위,D818)</f>
        <v/>
      </c>
      <c r="C818" s="5">
        <f>INDEX(플랫폼명범위,E818)</f>
        <v/>
      </c>
      <c r="D818" s="2">
        <f>MOD(INT((A818-1)/4),8)+1</f>
        <v/>
      </c>
      <c r="E818" s="2">
        <f>MOD(A818-1,4)+1</f>
        <v/>
      </c>
      <c r="F818" s="20">
        <f>축시작+INT((A818-1)/32)</f>
        <v/>
      </c>
      <c r="G818" s="20">
        <f>F818+H818</f>
        <v/>
      </c>
      <c r="H818" s="5" t="n">
        <v>1</v>
      </c>
      <c r="I818" s="2">
        <f>ROUND(INDEX(가맹점!$P$2:$P$9,D818)*INDEX(가맹점!$J$2:$M$9,D818,E818),0)</f>
        <v/>
      </c>
      <c r="J818" s="2">
        <f>ROUND(I818*(1-할인율),0)</f>
        <v/>
      </c>
      <c r="K818" s="2">
        <f>ROUNDDOWN(I818*할인율,0)</f>
        <v/>
      </c>
      <c r="L818" s="2">
        <f>ROUND(I818*INDEX(미지급률범위,E818),0)</f>
        <v/>
      </c>
      <c r="M818" s="2">
        <f>ROUND(I818*INDEX(과지급률범위,E818),0)</f>
        <v/>
      </c>
      <c r="N818" s="2">
        <f>MAX(0,L818-M818)</f>
        <v/>
      </c>
      <c r="O818" s="2">
        <f>K818-N818</f>
        <v/>
      </c>
      <c r="P818" s="2">
        <f>I818-N818</f>
        <v/>
      </c>
      <c r="Q818" s="5">
        <f>IF(G818&gt;기준일,1,0)</f>
        <v/>
      </c>
      <c r="R818" s="5">
        <f>IF(G818&lt;=기준일,1,0)</f>
        <v/>
      </c>
      <c r="S818" s="2">
        <f>J818*H818</f>
        <v/>
      </c>
      <c r="T818" s="5">
        <f>IF(AND(F818&gt;=표본시작,F818&lt;=표본종료),1,0)</f>
        <v/>
      </c>
      <c r="U818" s="5">
        <f>IF(AND(G818&gt;=조회시작,G818&lt;=조회종료),1,0)</f>
        <v/>
      </c>
    </row>
    <row r="819">
      <c r="A819" s="2">
        <f>ROW()-1</f>
        <v/>
      </c>
      <c r="B819" s="5">
        <f>INDEX(상호범위,D819)</f>
        <v/>
      </c>
      <c r="C819" s="5">
        <f>INDEX(플랫폼명범위,E819)</f>
        <v/>
      </c>
      <c r="D819" s="2">
        <f>MOD(INT((A819-1)/4),8)+1</f>
        <v/>
      </c>
      <c r="E819" s="2">
        <f>MOD(A819-1,4)+1</f>
        <v/>
      </c>
      <c r="F819" s="20">
        <f>축시작+INT((A819-1)/32)</f>
        <v/>
      </c>
      <c r="G819" s="20">
        <f>F819+H819</f>
        <v/>
      </c>
      <c r="H819" s="5" t="n">
        <v>2</v>
      </c>
      <c r="I819" s="2">
        <f>ROUND(INDEX(가맹점!$P$2:$P$9,D819)*INDEX(가맹점!$J$2:$M$9,D819,E819),0)</f>
        <v/>
      </c>
      <c r="J819" s="2">
        <f>ROUND(I819*(1-할인율),0)</f>
        <v/>
      </c>
      <c r="K819" s="2">
        <f>ROUNDDOWN(I819*할인율,0)</f>
        <v/>
      </c>
      <c r="L819" s="2">
        <f>ROUND(I819*INDEX(미지급률범위,E819),0)</f>
        <v/>
      </c>
      <c r="M819" s="2">
        <f>ROUND(I819*INDEX(과지급률범위,E819),0)</f>
        <v/>
      </c>
      <c r="N819" s="2">
        <f>MAX(0,L819-M819)</f>
        <v/>
      </c>
      <c r="O819" s="2">
        <f>K819-N819</f>
        <v/>
      </c>
      <c r="P819" s="2">
        <f>I819-N819</f>
        <v/>
      </c>
      <c r="Q819" s="5">
        <f>IF(G819&gt;기준일,1,0)</f>
        <v/>
      </c>
      <c r="R819" s="5">
        <f>IF(G819&lt;=기준일,1,0)</f>
        <v/>
      </c>
      <c r="S819" s="2">
        <f>J819*H819</f>
        <v/>
      </c>
      <c r="T819" s="5">
        <f>IF(AND(F819&gt;=표본시작,F819&lt;=표본종료),1,0)</f>
        <v/>
      </c>
      <c r="U819" s="5">
        <f>IF(AND(G819&gt;=조회시작,G819&lt;=조회종료),1,0)</f>
        <v/>
      </c>
    </row>
    <row r="820">
      <c r="A820" s="2">
        <f>ROW()-1</f>
        <v/>
      </c>
      <c r="B820" s="5">
        <f>INDEX(상호범위,D820)</f>
        <v/>
      </c>
      <c r="C820" s="5">
        <f>INDEX(플랫폼명범위,E820)</f>
        <v/>
      </c>
      <c r="D820" s="2">
        <f>MOD(INT((A820-1)/4),8)+1</f>
        <v/>
      </c>
      <c r="E820" s="2">
        <f>MOD(A820-1,4)+1</f>
        <v/>
      </c>
      <c r="F820" s="20">
        <f>축시작+INT((A820-1)/32)</f>
        <v/>
      </c>
      <c r="G820" s="20">
        <f>F820+H820</f>
        <v/>
      </c>
      <c r="H820" s="5" t="n">
        <v>5</v>
      </c>
      <c r="I820" s="2">
        <f>ROUND(INDEX(가맹점!$P$2:$P$9,D820)*INDEX(가맹점!$J$2:$M$9,D820,E820),0)</f>
        <v/>
      </c>
      <c r="J820" s="2">
        <f>ROUND(I820*(1-할인율),0)</f>
        <v/>
      </c>
      <c r="K820" s="2">
        <f>ROUNDDOWN(I820*할인율,0)</f>
        <v/>
      </c>
      <c r="L820" s="2">
        <f>ROUND(I820*INDEX(미지급률범위,E820),0)</f>
        <v/>
      </c>
      <c r="M820" s="2">
        <f>ROUND(I820*INDEX(과지급률범위,E820),0)</f>
        <v/>
      </c>
      <c r="N820" s="2">
        <f>MAX(0,L820-M820)</f>
        <v/>
      </c>
      <c r="O820" s="2">
        <f>K820-N820</f>
        <v/>
      </c>
      <c r="P820" s="2">
        <f>I820-N820</f>
        <v/>
      </c>
      <c r="Q820" s="5">
        <f>IF(G820&gt;기준일,1,0)</f>
        <v/>
      </c>
      <c r="R820" s="5">
        <f>IF(G820&lt;=기준일,1,0)</f>
        <v/>
      </c>
      <c r="S820" s="2">
        <f>J820*H820</f>
        <v/>
      </c>
      <c r="T820" s="5">
        <f>IF(AND(F820&gt;=표본시작,F820&lt;=표본종료),1,0)</f>
        <v/>
      </c>
      <c r="U820" s="5">
        <f>IF(AND(G820&gt;=조회시작,G820&lt;=조회종료),1,0)</f>
        <v/>
      </c>
    </row>
    <row r="821">
      <c r="A821" s="2">
        <f>ROW()-1</f>
        <v/>
      </c>
      <c r="B821" s="5">
        <f>INDEX(상호범위,D821)</f>
        <v/>
      </c>
      <c r="C821" s="5">
        <f>INDEX(플랫폼명범위,E821)</f>
        <v/>
      </c>
      <c r="D821" s="2">
        <f>MOD(INT((A821-1)/4),8)+1</f>
        <v/>
      </c>
      <c r="E821" s="2">
        <f>MOD(A821-1,4)+1</f>
        <v/>
      </c>
      <c r="F821" s="20">
        <f>축시작+INT((A821-1)/32)</f>
        <v/>
      </c>
      <c r="G821" s="20">
        <f>F821+H821</f>
        <v/>
      </c>
      <c r="H821" s="5" t="n">
        <v>6</v>
      </c>
      <c r="I821" s="2">
        <f>ROUND(INDEX(가맹점!$P$2:$P$9,D821)*INDEX(가맹점!$J$2:$M$9,D821,E821),0)</f>
        <v/>
      </c>
      <c r="J821" s="2">
        <f>ROUND(I821*(1-할인율),0)</f>
        <v/>
      </c>
      <c r="K821" s="2">
        <f>ROUNDDOWN(I821*할인율,0)</f>
        <v/>
      </c>
      <c r="L821" s="2">
        <f>ROUND(I821*INDEX(미지급률범위,E821),0)</f>
        <v/>
      </c>
      <c r="M821" s="2">
        <f>ROUND(I821*INDEX(과지급률범위,E821),0)</f>
        <v/>
      </c>
      <c r="N821" s="2">
        <f>MAX(0,L821-M821)</f>
        <v/>
      </c>
      <c r="O821" s="2">
        <f>K821-N821</f>
        <v/>
      </c>
      <c r="P821" s="2">
        <f>I821-N821</f>
        <v/>
      </c>
      <c r="Q821" s="5">
        <f>IF(G821&gt;기준일,1,0)</f>
        <v/>
      </c>
      <c r="R821" s="5">
        <f>IF(G821&lt;=기준일,1,0)</f>
        <v/>
      </c>
      <c r="S821" s="2">
        <f>J821*H821</f>
        <v/>
      </c>
      <c r="T821" s="5">
        <f>IF(AND(F821&gt;=표본시작,F821&lt;=표본종료),1,0)</f>
        <v/>
      </c>
      <c r="U821" s="5">
        <f>IF(AND(G821&gt;=조회시작,G821&lt;=조회종료),1,0)</f>
        <v/>
      </c>
    </row>
    <row r="822">
      <c r="A822" s="2">
        <f>ROW()-1</f>
        <v/>
      </c>
      <c r="B822" s="5">
        <f>INDEX(상호범위,D822)</f>
        <v/>
      </c>
      <c r="C822" s="5">
        <f>INDEX(플랫폼명범위,E822)</f>
        <v/>
      </c>
      <c r="D822" s="2">
        <f>MOD(INT((A822-1)/4),8)+1</f>
        <v/>
      </c>
      <c r="E822" s="2">
        <f>MOD(A822-1,4)+1</f>
        <v/>
      </c>
      <c r="F822" s="20">
        <f>축시작+INT((A822-1)/32)</f>
        <v/>
      </c>
      <c r="G822" s="20">
        <f>F822+H822</f>
        <v/>
      </c>
      <c r="H822" s="5" t="n">
        <v>1</v>
      </c>
      <c r="I822" s="2">
        <f>ROUND(INDEX(가맹점!$P$2:$P$9,D822)*INDEX(가맹점!$J$2:$M$9,D822,E822),0)</f>
        <v/>
      </c>
      <c r="J822" s="2">
        <f>ROUND(I822*(1-할인율),0)</f>
        <v/>
      </c>
      <c r="K822" s="2">
        <f>ROUNDDOWN(I822*할인율,0)</f>
        <v/>
      </c>
      <c r="L822" s="2">
        <f>ROUND(I822*INDEX(미지급률범위,E822),0)</f>
        <v/>
      </c>
      <c r="M822" s="2">
        <f>ROUND(I822*INDEX(과지급률범위,E822),0)</f>
        <v/>
      </c>
      <c r="N822" s="2">
        <f>MAX(0,L822-M822)</f>
        <v/>
      </c>
      <c r="O822" s="2">
        <f>K822-N822</f>
        <v/>
      </c>
      <c r="P822" s="2">
        <f>I822-N822</f>
        <v/>
      </c>
      <c r="Q822" s="5">
        <f>IF(G822&gt;기준일,1,0)</f>
        <v/>
      </c>
      <c r="R822" s="5">
        <f>IF(G822&lt;=기준일,1,0)</f>
        <v/>
      </c>
      <c r="S822" s="2">
        <f>J822*H822</f>
        <v/>
      </c>
      <c r="T822" s="5">
        <f>IF(AND(F822&gt;=표본시작,F822&lt;=표본종료),1,0)</f>
        <v/>
      </c>
      <c r="U822" s="5">
        <f>IF(AND(G822&gt;=조회시작,G822&lt;=조회종료),1,0)</f>
        <v/>
      </c>
    </row>
    <row r="823">
      <c r="A823" s="2">
        <f>ROW()-1</f>
        <v/>
      </c>
      <c r="B823" s="5">
        <f>INDEX(상호범위,D823)</f>
        <v/>
      </c>
      <c r="C823" s="5">
        <f>INDEX(플랫폼명범위,E823)</f>
        <v/>
      </c>
      <c r="D823" s="2">
        <f>MOD(INT((A823-1)/4),8)+1</f>
        <v/>
      </c>
      <c r="E823" s="2">
        <f>MOD(A823-1,4)+1</f>
        <v/>
      </c>
      <c r="F823" s="20">
        <f>축시작+INT((A823-1)/32)</f>
        <v/>
      </c>
      <c r="G823" s="20">
        <f>F823+H823</f>
        <v/>
      </c>
      <c r="H823" s="5" t="n">
        <v>5</v>
      </c>
      <c r="I823" s="2">
        <f>ROUND(INDEX(가맹점!$P$2:$P$9,D823)*INDEX(가맹점!$J$2:$M$9,D823,E823),0)</f>
        <v/>
      </c>
      <c r="J823" s="2">
        <f>ROUND(I823*(1-할인율),0)</f>
        <v/>
      </c>
      <c r="K823" s="2">
        <f>ROUNDDOWN(I823*할인율,0)</f>
        <v/>
      </c>
      <c r="L823" s="2">
        <f>ROUND(I823*INDEX(미지급률범위,E823),0)</f>
        <v/>
      </c>
      <c r="M823" s="2">
        <f>ROUND(I823*INDEX(과지급률범위,E823),0)</f>
        <v/>
      </c>
      <c r="N823" s="2">
        <f>MAX(0,L823-M823)</f>
        <v/>
      </c>
      <c r="O823" s="2">
        <f>K823-N823</f>
        <v/>
      </c>
      <c r="P823" s="2">
        <f>I823-N823</f>
        <v/>
      </c>
      <c r="Q823" s="5">
        <f>IF(G823&gt;기준일,1,0)</f>
        <v/>
      </c>
      <c r="R823" s="5">
        <f>IF(G823&lt;=기준일,1,0)</f>
        <v/>
      </c>
      <c r="S823" s="2">
        <f>J823*H823</f>
        <v/>
      </c>
      <c r="T823" s="5">
        <f>IF(AND(F823&gt;=표본시작,F823&lt;=표본종료),1,0)</f>
        <v/>
      </c>
      <c r="U823" s="5">
        <f>IF(AND(G823&gt;=조회시작,G823&lt;=조회종료),1,0)</f>
        <v/>
      </c>
    </row>
    <row r="824">
      <c r="A824" s="2">
        <f>ROW()-1</f>
        <v/>
      </c>
      <c r="B824" s="5">
        <f>INDEX(상호범위,D824)</f>
        <v/>
      </c>
      <c r="C824" s="5">
        <f>INDEX(플랫폼명범위,E824)</f>
        <v/>
      </c>
      <c r="D824" s="2">
        <f>MOD(INT((A824-1)/4),8)+1</f>
        <v/>
      </c>
      <c r="E824" s="2">
        <f>MOD(A824-1,4)+1</f>
        <v/>
      </c>
      <c r="F824" s="20">
        <f>축시작+INT((A824-1)/32)</f>
        <v/>
      </c>
      <c r="G824" s="20">
        <f>F824+H824</f>
        <v/>
      </c>
      <c r="H824" s="5" t="n">
        <v>5</v>
      </c>
      <c r="I824" s="2">
        <f>ROUND(INDEX(가맹점!$P$2:$P$9,D824)*INDEX(가맹점!$J$2:$M$9,D824,E824),0)</f>
        <v/>
      </c>
      <c r="J824" s="2">
        <f>ROUND(I824*(1-할인율),0)</f>
        <v/>
      </c>
      <c r="K824" s="2">
        <f>ROUNDDOWN(I824*할인율,0)</f>
        <v/>
      </c>
      <c r="L824" s="2">
        <f>ROUND(I824*INDEX(미지급률범위,E824),0)</f>
        <v/>
      </c>
      <c r="M824" s="2">
        <f>ROUND(I824*INDEX(과지급률범위,E824),0)</f>
        <v/>
      </c>
      <c r="N824" s="2">
        <f>MAX(0,L824-M824)</f>
        <v/>
      </c>
      <c r="O824" s="2">
        <f>K824-N824</f>
        <v/>
      </c>
      <c r="P824" s="2">
        <f>I824-N824</f>
        <v/>
      </c>
      <c r="Q824" s="5">
        <f>IF(G824&gt;기준일,1,0)</f>
        <v/>
      </c>
      <c r="R824" s="5">
        <f>IF(G824&lt;=기준일,1,0)</f>
        <v/>
      </c>
      <c r="S824" s="2">
        <f>J824*H824</f>
        <v/>
      </c>
      <c r="T824" s="5">
        <f>IF(AND(F824&gt;=표본시작,F824&lt;=표본종료),1,0)</f>
        <v/>
      </c>
      <c r="U824" s="5">
        <f>IF(AND(G824&gt;=조회시작,G824&lt;=조회종료),1,0)</f>
        <v/>
      </c>
    </row>
    <row r="825">
      <c r="A825" s="2">
        <f>ROW()-1</f>
        <v/>
      </c>
      <c r="B825" s="5">
        <f>INDEX(상호범위,D825)</f>
        <v/>
      </c>
      <c r="C825" s="5">
        <f>INDEX(플랫폼명범위,E825)</f>
        <v/>
      </c>
      <c r="D825" s="2">
        <f>MOD(INT((A825-1)/4),8)+1</f>
        <v/>
      </c>
      <c r="E825" s="2">
        <f>MOD(A825-1,4)+1</f>
        <v/>
      </c>
      <c r="F825" s="20">
        <f>축시작+INT((A825-1)/32)</f>
        <v/>
      </c>
      <c r="G825" s="20">
        <f>F825+H825</f>
        <v/>
      </c>
      <c r="H825" s="5" t="n">
        <v>6</v>
      </c>
      <c r="I825" s="2">
        <f>ROUND(INDEX(가맹점!$P$2:$P$9,D825)*INDEX(가맹점!$J$2:$M$9,D825,E825),0)</f>
        <v/>
      </c>
      <c r="J825" s="2">
        <f>ROUND(I825*(1-할인율),0)</f>
        <v/>
      </c>
      <c r="K825" s="2">
        <f>ROUNDDOWN(I825*할인율,0)</f>
        <v/>
      </c>
      <c r="L825" s="2">
        <f>ROUND(I825*INDEX(미지급률범위,E825),0)</f>
        <v/>
      </c>
      <c r="M825" s="2">
        <f>ROUND(I825*INDEX(과지급률범위,E825),0)</f>
        <v/>
      </c>
      <c r="N825" s="2">
        <f>MAX(0,L825-M825)</f>
        <v/>
      </c>
      <c r="O825" s="2">
        <f>K825-N825</f>
        <v/>
      </c>
      <c r="P825" s="2">
        <f>I825-N825</f>
        <v/>
      </c>
      <c r="Q825" s="5">
        <f>IF(G825&gt;기준일,1,0)</f>
        <v/>
      </c>
      <c r="R825" s="5">
        <f>IF(G825&lt;=기준일,1,0)</f>
        <v/>
      </c>
      <c r="S825" s="2">
        <f>J825*H825</f>
        <v/>
      </c>
      <c r="T825" s="5">
        <f>IF(AND(F825&gt;=표본시작,F825&lt;=표본종료),1,0)</f>
        <v/>
      </c>
      <c r="U825" s="5">
        <f>IF(AND(G825&gt;=조회시작,G825&lt;=조회종료),1,0)</f>
        <v/>
      </c>
    </row>
    <row r="826">
      <c r="A826" s="2">
        <f>ROW()-1</f>
        <v/>
      </c>
      <c r="B826" s="5">
        <f>INDEX(상호범위,D826)</f>
        <v/>
      </c>
      <c r="C826" s="5">
        <f>INDEX(플랫폼명범위,E826)</f>
        <v/>
      </c>
      <c r="D826" s="2">
        <f>MOD(INT((A826-1)/4),8)+1</f>
        <v/>
      </c>
      <c r="E826" s="2">
        <f>MOD(A826-1,4)+1</f>
        <v/>
      </c>
      <c r="F826" s="20">
        <f>축시작+INT((A826-1)/32)</f>
        <v/>
      </c>
      <c r="G826" s="20">
        <f>F826+H826</f>
        <v/>
      </c>
      <c r="H826" s="5" t="n">
        <v>1</v>
      </c>
      <c r="I826" s="2">
        <f>ROUND(INDEX(가맹점!$P$2:$P$9,D826)*INDEX(가맹점!$J$2:$M$9,D826,E826),0)</f>
        <v/>
      </c>
      <c r="J826" s="2">
        <f>ROUND(I826*(1-할인율),0)</f>
        <v/>
      </c>
      <c r="K826" s="2">
        <f>ROUNDDOWN(I826*할인율,0)</f>
        <v/>
      </c>
      <c r="L826" s="2">
        <f>ROUND(I826*INDEX(미지급률범위,E826),0)</f>
        <v/>
      </c>
      <c r="M826" s="2">
        <f>ROUND(I826*INDEX(과지급률범위,E826),0)</f>
        <v/>
      </c>
      <c r="N826" s="2">
        <f>MAX(0,L826-M826)</f>
        <v/>
      </c>
      <c r="O826" s="2">
        <f>K826-N826</f>
        <v/>
      </c>
      <c r="P826" s="2">
        <f>I826-N826</f>
        <v/>
      </c>
      <c r="Q826" s="5">
        <f>IF(G826&gt;기준일,1,0)</f>
        <v/>
      </c>
      <c r="R826" s="5">
        <f>IF(G826&lt;=기준일,1,0)</f>
        <v/>
      </c>
      <c r="S826" s="2">
        <f>J826*H826</f>
        <v/>
      </c>
      <c r="T826" s="5">
        <f>IF(AND(F826&gt;=표본시작,F826&lt;=표본종료),1,0)</f>
        <v/>
      </c>
      <c r="U826" s="5">
        <f>IF(AND(G826&gt;=조회시작,G826&lt;=조회종료),1,0)</f>
        <v/>
      </c>
    </row>
    <row r="827">
      <c r="A827" s="2">
        <f>ROW()-1</f>
        <v/>
      </c>
      <c r="B827" s="5">
        <f>INDEX(상호범위,D827)</f>
        <v/>
      </c>
      <c r="C827" s="5">
        <f>INDEX(플랫폼명범위,E827)</f>
        <v/>
      </c>
      <c r="D827" s="2">
        <f>MOD(INT((A827-1)/4),8)+1</f>
        <v/>
      </c>
      <c r="E827" s="2">
        <f>MOD(A827-1,4)+1</f>
        <v/>
      </c>
      <c r="F827" s="20">
        <f>축시작+INT((A827-1)/32)</f>
        <v/>
      </c>
      <c r="G827" s="20">
        <f>F827+H827</f>
        <v/>
      </c>
      <c r="H827" s="5" t="n">
        <v>5</v>
      </c>
      <c r="I827" s="2">
        <f>ROUND(INDEX(가맹점!$P$2:$P$9,D827)*INDEX(가맹점!$J$2:$M$9,D827,E827),0)</f>
        <v/>
      </c>
      <c r="J827" s="2">
        <f>ROUND(I827*(1-할인율),0)</f>
        <v/>
      </c>
      <c r="K827" s="2">
        <f>ROUNDDOWN(I827*할인율,0)</f>
        <v/>
      </c>
      <c r="L827" s="2">
        <f>ROUND(I827*INDEX(미지급률범위,E827),0)</f>
        <v/>
      </c>
      <c r="M827" s="2">
        <f>ROUND(I827*INDEX(과지급률범위,E827),0)</f>
        <v/>
      </c>
      <c r="N827" s="2">
        <f>MAX(0,L827-M827)</f>
        <v/>
      </c>
      <c r="O827" s="2">
        <f>K827-N827</f>
        <v/>
      </c>
      <c r="P827" s="2">
        <f>I827-N827</f>
        <v/>
      </c>
      <c r="Q827" s="5">
        <f>IF(G827&gt;기준일,1,0)</f>
        <v/>
      </c>
      <c r="R827" s="5">
        <f>IF(G827&lt;=기준일,1,0)</f>
        <v/>
      </c>
      <c r="S827" s="2">
        <f>J827*H827</f>
        <v/>
      </c>
      <c r="T827" s="5">
        <f>IF(AND(F827&gt;=표본시작,F827&lt;=표본종료),1,0)</f>
        <v/>
      </c>
      <c r="U827" s="5">
        <f>IF(AND(G827&gt;=조회시작,G827&lt;=조회종료),1,0)</f>
        <v/>
      </c>
    </row>
    <row r="828">
      <c r="A828" s="2">
        <f>ROW()-1</f>
        <v/>
      </c>
      <c r="B828" s="5">
        <f>INDEX(상호범위,D828)</f>
        <v/>
      </c>
      <c r="C828" s="5">
        <f>INDEX(플랫폼명범위,E828)</f>
        <v/>
      </c>
      <c r="D828" s="2">
        <f>MOD(INT((A828-1)/4),8)+1</f>
        <v/>
      </c>
      <c r="E828" s="2">
        <f>MOD(A828-1,4)+1</f>
        <v/>
      </c>
      <c r="F828" s="20">
        <f>축시작+INT((A828-1)/32)</f>
        <v/>
      </c>
      <c r="G828" s="20">
        <f>F828+H828</f>
        <v/>
      </c>
      <c r="H828" s="5" t="n">
        <v>3</v>
      </c>
      <c r="I828" s="2">
        <f>ROUND(INDEX(가맹점!$P$2:$P$9,D828)*INDEX(가맹점!$J$2:$M$9,D828,E828),0)</f>
        <v/>
      </c>
      <c r="J828" s="2">
        <f>ROUND(I828*(1-할인율),0)</f>
        <v/>
      </c>
      <c r="K828" s="2">
        <f>ROUNDDOWN(I828*할인율,0)</f>
        <v/>
      </c>
      <c r="L828" s="2">
        <f>ROUND(I828*INDEX(미지급률범위,E828),0)</f>
        <v/>
      </c>
      <c r="M828" s="2">
        <f>ROUND(I828*INDEX(과지급률범위,E828),0)</f>
        <v/>
      </c>
      <c r="N828" s="2">
        <f>MAX(0,L828-M828)</f>
        <v/>
      </c>
      <c r="O828" s="2">
        <f>K828-N828</f>
        <v/>
      </c>
      <c r="P828" s="2">
        <f>I828-N828</f>
        <v/>
      </c>
      <c r="Q828" s="5">
        <f>IF(G828&gt;기준일,1,0)</f>
        <v/>
      </c>
      <c r="R828" s="5">
        <f>IF(G828&lt;=기준일,1,0)</f>
        <v/>
      </c>
      <c r="S828" s="2">
        <f>J828*H828</f>
        <v/>
      </c>
      <c r="T828" s="5">
        <f>IF(AND(F828&gt;=표본시작,F828&lt;=표본종료),1,0)</f>
        <v/>
      </c>
      <c r="U828" s="5">
        <f>IF(AND(G828&gt;=조회시작,G828&lt;=조회종료),1,0)</f>
        <v/>
      </c>
    </row>
    <row r="829">
      <c r="A829" s="2">
        <f>ROW()-1</f>
        <v/>
      </c>
      <c r="B829" s="5">
        <f>INDEX(상호범위,D829)</f>
        <v/>
      </c>
      <c r="C829" s="5">
        <f>INDEX(플랫폼명범위,E829)</f>
        <v/>
      </c>
      <c r="D829" s="2">
        <f>MOD(INT((A829-1)/4),8)+1</f>
        <v/>
      </c>
      <c r="E829" s="2">
        <f>MOD(A829-1,4)+1</f>
        <v/>
      </c>
      <c r="F829" s="20">
        <f>축시작+INT((A829-1)/32)</f>
        <v/>
      </c>
      <c r="G829" s="20">
        <f>F829+H829</f>
        <v/>
      </c>
      <c r="H829" s="5" t="n">
        <v>13</v>
      </c>
      <c r="I829" s="2">
        <f>ROUND(INDEX(가맹점!$P$2:$P$9,D829)*INDEX(가맹점!$J$2:$M$9,D829,E829),0)</f>
        <v/>
      </c>
      <c r="J829" s="2">
        <f>ROUND(I829*(1-할인율),0)</f>
        <v/>
      </c>
      <c r="K829" s="2">
        <f>ROUNDDOWN(I829*할인율,0)</f>
        <v/>
      </c>
      <c r="L829" s="2">
        <f>ROUND(I829*INDEX(미지급률범위,E829),0)</f>
        <v/>
      </c>
      <c r="M829" s="2">
        <f>ROUND(I829*INDEX(과지급률범위,E829),0)</f>
        <v/>
      </c>
      <c r="N829" s="2">
        <f>MAX(0,L829-M829)</f>
        <v/>
      </c>
      <c r="O829" s="2">
        <f>K829-N829</f>
        <v/>
      </c>
      <c r="P829" s="2">
        <f>I829-N829</f>
        <v/>
      </c>
      <c r="Q829" s="5">
        <f>IF(G829&gt;기준일,1,0)</f>
        <v/>
      </c>
      <c r="R829" s="5">
        <f>IF(G829&lt;=기준일,1,0)</f>
        <v/>
      </c>
      <c r="S829" s="2">
        <f>J829*H829</f>
        <v/>
      </c>
      <c r="T829" s="5">
        <f>IF(AND(F829&gt;=표본시작,F829&lt;=표본종료),1,0)</f>
        <v/>
      </c>
      <c r="U829" s="5">
        <f>IF(AND(G829&gt;=조회시작,G829&lt;=조회종료),1,0)</f>
        <v/>
      </c>
    </row>
    <row r="830">
      <c r="A830" s="2">
        <f>ROW()-1</f>
        <v/>
      </c>
      <c r="B830" s="5">
        <f>INDEX(상호범위,D830)</f>
        <v/>
      </c>
      <c r="C830" s="5">
        <f>INDEX(플랫폼명범위,E830)</f>
        <v/>
      </c>
      <c r="D830" s="2">
        <f>MOD(INT((A830-1)/4),8)+1</f>
        <v/>
      </c>
      <c r="E830" s="2">
        <f>MOD(A830-1,4)+1</f>
        <v/>
      </c>
      <c r="F830" s="20">
        <f>축시작+INT((A830-1)/32)</f>
        <v/>
      </c>
      <c r="G830" s="20">
        <f>F830+H830</f>
        <v/>
      </c>
      <c r="H830" s="5" t="n">
        <v>1</v>
      </c>
      <c r="I830" s="2">
        <f>ROUND(INDEX(가맹점!$P$2:$P$9,D830)*INDEX(가맹점!$J$2:$M$9,D830,E830),0)</f>
        <v/>
      </c>
      <c r="J830" s="2">
        <f>ROUND(I830*(1-할인율),0)</f>
        <v/>
      </c>
      <c r="K830" s="2">
        <f>ROUNDDOWN(I830*할인율,0)</f>
        <v/>
      </c>
      <c r="L830" s="2">
        <f>ROUND(I830*INDEX(미지급률범위,E830),0)</f>
        <v/>
      </c>
      <c r="M830" s="2">
        <f>ROUND(I830*INDEX(과지급률범위,E830),0)</f>
        <v/>
      </c>
      <c r="N830" s="2">
        <f>MAX(0,L830-M830)</f>
        <v/>
      </c>
      <c r="O830" s="2">
        <f>K830-N830</f>
        <v/>
      </c>
      <c r="P830" s="2">
        <f>I830-N830</f>
        <v/>
      </c>
      <c r="Q830" s="5">
        <f>IF(G830&gt;기준일,1,0)</f>
        <v/>
      </c>
      <c r="R830" s="5">
        <f>IF(G830&lt;=기준일,1,0)</f>
        <v/>
      </c>
      <c r="S830" s="2">
        <f>J830*H830</f>
        <v/>
      </c>
      <c r="T830" s="5">
        <f>IF(AND(F830&gt;=표본시작,F830&lt;=표본종료),1,0)</f>
        <v/>
      </c>
      <c r="U830" s="5">
        <f>IF(AND(G830&gt;=조회시작,G830&lt;=조회종료),1,0)</f>
        <v/>
      </c>
    </row>
    <row r="831">
      <c r="A831" s="2">
        <f>ROW()-1</f>
        <v/>
      </c>
      <c r="B831" s="5">
        <f>INDEX(상호범위,D831)</f>
        <v/>
      </c>
      <c r="C831" s="5">
        <f>INDEX(플랫폼명범위,E831)</f>
        <v/>
      </c>
      <c r="D831" s="2">
        <f>MOD(INT((A831-1)/4),8)+1</f>
        <v/>
      </c>
      <c r="E831" s="2">
        <f>MOD(A831-1,4)+1</f>
        <v/>
      </c>
      <c r="F831" s="20">
        <f>축시작+INT((A831-1)/32)</f>
        <v/>
      </c>
      <c r="G831" s="20">
        <f>F831+H831</f>
        <v/>
      </c>
      <c r="H831" s="5" t="n">
        <v>4</v>
      </c>
      <c r="I831" s="2">
        <f>ROUND(INDEX(가맹점!$P$2:$P$9,D831)*INDEX(가맹점!$J$2:$M$9,D831,E831),0)</f>
        <v/>
      </c>
      <c r="J831" s="2">
        <f>ROUND(I831*(1-할인율),0)</f>
        <v/>
      </c>
      <c r="K831" s="2">
        <f>ROUNDDOWN(I831*할인율,0)</f>
        <v/>
      </c>
      <c r="L831" s="2">
        <f>ROUND(I831*INDEX(미지급률범위,E831),0)</f>
        <v/>
      </c>
      <c r="M831" s="2">
        <f>ROUND(I831*INDEX(과지급률범위,E831),0)</f>
        <v/>
      </c>
      <c r="N831" s="2">
        <f>MAX(0,L831-M831)</f>
        <v/>
      </c>
      <c r="O831" s="2">
        <f>K831-N831</f>
        <v/>
      </c>
      <c r="P831" s="2">
        <f>I831-N831</f>
        <v/>
      </c>
      <c r="Q831" s="5">
        <f>IF(G831&gt;기준일,1,0)</f>
        <v/>
      </c>
      <c r="R831" s="5">
        <f>IF(G831&lt;=기준일,1,0)</f>
        <v/>
      </c>
      <c r="S831" s="2">
        <f>J831*H831</f>
        <v/>
      </c>
      <c r="T831" s="5">
        <f>IF(AND(F831&gt;=표본시작,F831&lt;=표본종료),1,0)</f>
        <v/>
      </c>
      <c r="U831" s="5">
        <f>IF(AND(G831&gt;=조회시작,G831&lt;=조회종료),1,0)</f>
        <v/>
      </c>
    </row>
    <row r="832">
      <c r="A832" s="2">
        <f>ROW()-1</f>
        <v/>
      </c>
      <c r="B832" s="5">
        <f>INDEX(상호범위,D832)</f>
        <v/>
      </c>
      <c r="C832" s="5">
        <f>INDEX(플랫폼명범위,E832)</f>
        <v/>
      </c>
      <c r="D832" s="2">
        <f>MOD(INT((A832-1)/4),8)+1</f>
        <v/>
      </c>
      <c r="E832" s="2">
        <f>MOD(A832-1,4)+1</f>
        <v/>
      </c>
      <c r="F832" s="20">
        <f>축시작+INT((A832-1)/32)</f>
        <v/>
      </c>
      <c r="G832" s="20">
        <f>F832+H832</f>
        <v/>
      </c>
      <c r="H832" s="5" t="n">
        <v>5</v>
      </c>
      <c r="I832" s="2">
        <f>ROUND(INDEX(가맹점!$P$2:$P$9,D832)*INDEX(가맹점!$J$2:$M$9,D832,E832),0)</f>
        <v/>
      </c>
      <c r="J832" s="2">
        <f>ROUND(I832*(1-할인율),0)</f>
        <v/>
      </c>
      <c r="K832" s="2">
        <f>ROUNDDOWN(I832*할인율,0)</f>
        <v/>
      </c>
      <c r="L832" s="2">
        <f>ROUND(I832*INDEX(미지급률범위,E832),0)</f>
        <v/>
      </c>
      <c r="M832" s="2">
        <f>ROUND(I832*INDEX(과지급률범위,E832),0)</f>
        <v/>
      </c>
      <c r="N832" s="2">
        <f>MAX(0,L832-M832)</f>
        <v/>
      </c>
      <c r="O832" s="2">
        <f>K832-N832</f>
        <v/>
      </c>
      <c r="P832" s="2">
        <f>I832-N832</f>
        <v/>
      </c>
      <c r="Q832" s="5">
        <f>IF(G832&gt;기준일,1,0)</f>
        <v/>
      </c>
      <c r="R832" s="5">
        <f>IF(G832&lt;=기준일,1,0)</f>
        <v/>
      </c>
      <c r="S832" s="2">
        <f>J832*H832</f>
        <v/>
      </c>
      <c r="T832" s="5">
        <f>IF(AND(F832&gt;=표본시작,F832&lt;=표본종료),1,0)</f>
        <v/>
      </c>
      <c r="U832" s="5">
        <f>IF(AND(G832&gt;=조회시작,G832&lt;=조회종료),1,0)</f>
        <v/>
      </c>
    </row>
    <row r="833">
      <c r="A833" s="2">
        <f>ROW()-1</f>
        <v/>
      </c>
      <c r="B833" s="5">
        <f>INDEX(상호범위,D833)</f>
        <v/>
      </c>
      <c r="C833" s="5">
        <f>INDEX(플랫폼명범위,E833)</f>
        <v/>
      </c>
      <c r="D833" s="2">
        <f>MOD(INT((A833-1)/4),8)+1</f>
        <v/>
      </c>
      <c r="E833" s="2">
        <f>MOD(A833-1,4)+1</f>
        <v/>
      </c>
      <c r="F833" s="20">
        <f>축시작+INT((A833-1)/32)</f>
        <v/>
      </c>
      <c r="G833" s="20">
        <f>F833+H833</f>
        <v/>
      </c>
      <c r="H833" s="5" t="n">
        <v>10</v>
      </c>
      <c r="I833" s="2">
        <f>ROUND(INDEX(가맹점!$P$2:$P$9,D833)*INDEX(가맹점!$J$2:$M$9,D833,E833),0)</f>
        <v/>
      </c>
      <c r="J833" s="2">
        <f>ROUND(I833*(1-할인율),0)</f>
        <v/>
      </c>
      <c r="K833" s="2">
        <f>ROUNDDOWN(I833*할인율,0)</f>
        <v/>
      </c>
      <c r="L833" s="2">
        <f>ROUND(I833*INDEX(미지급률범위,E833),0)</f>
        <v/>
      </c>
      <c r="M833" s="2">
        <f>ROUND(I833*INDEX(과지급률범위,E833),0)</f>
        <v/>
      </c>
      <c r="N833" s="2">
        <f>MAX(0,L833-M833)</f>
        <v/>
      </c>
      <c r="O833" s="2">
        <f>K833-N833</f>
        <v/>
      </c>
      <c r="P833" s="2">
        <f>I833-N833</f>
        <v/>
      </c>
      <c r="Q833" s="5">
        <f>IF(G833&gt;기준일,1,0)</f>
        <v/>
      </c>
      <c r="R833" s="5">
        <f>IF(G833&lt;=기준일,1,0)</f>
        <v/>
      </c>
      <c r="S833" s="2">
        <f>J833*H833</f>
        <v/>
      </c>
      <c r="T833" s="5">
        <f>IF(AND(F833&gt;=표본시작,F833&lt;=표본종료),1,0)</f>
        <v/>
      </c>
      <c r="U833" s="5">
        <f>IF(AND(G833&gt;=조회시작,G833&lt;=조회종료),1,0)</f>
        <v/>
      </c>
    </row>
    <row r="834">
      <c r="A834" s="2">
        <f>ROW()-1</f>
        <v/>
      </c>
      <c r="B834" s="5">
        <f>INDEX(상호범위,D834)</f>
        <v/>
      </c>
      <c r="C834" s="5">
        <f>INDEX(플랫폼명범위,E834)</f>
        <v/>
      </c>
      <c r="D834" s="2">
        <f>MOD(INT((A834-1)/4),8)+1</f>
        <v/>
      </c>
      <c r="E834" s="2">
        <f>MOD(A834-1,4)+1</f>
        <v/>
      </c>
      <c r="F834" s="20">
        <f>축시작+INT((A834-1)/32)</f>
        <v/>
      </c>
      <c r="G834" s="20">
        <f>F834+H834</f>
        <v/>
      </c>
      <c r="H834" s="5" t="n">
        <v>1</v>
      </c>
      <c r="I834" s="2">
        <f>ROUND(INDEX(가맹점!$P$2:$P$9,D834)*INDEX(가맹점!$J$2:$M$9,D834,E834),0)</f>
        <v/>
      </c>
      <c r="J834" s="2">
        <f>ROUND(I834*(1-할인율),0)</f>
        <v/>
      </c>
      <c r="K834" s="2">
        <f>ROUNDDOWN(I834*할인율,0)</f>
        <v/>
      </c>
      <c r="L834" s="2">
        <f>ROUND(I834*INDEX(미지급률범위,E834),0)</f>
        <v/>
      </c>
      <c r="M834" s="2">
        <f>ROUND(I834*INDEX(과지급률범위,E834),0)</f>
        <v/>
      </c>
      <c r="N834" s="2">
        <f>MAX(0,L834-M834)</f>
        <v/>
      </c>
      <c r="O834" s="2">
        <f>K834-N834</f>
        <v/>
      </c>
      <c r="P834" s="2">
        <f>I834-N834</f>
        <v/>
      </c>
      <c r="Q834" s="5">
        <f>IF(G834&gt;기준일,1,0)</f>
        <v/>
      </c>
      <c r="R834" s="5">
        <f>IF(G834&lt;=기준일,1,0)</f>
        <v/>
      </c>
      <c r="S834" s="2">
        <f>J834*H834</f>
        <v/>
      </c>
      <c r="T834" s="5">
        <f>IF(AND(F834&gt;=표본시작,F834&lt;=표본종료),1,0)</f>
        <v/>
      </c>
      <c r="U834" s="5">
        <f>IF(AND(G834&gt;=조회시작,G834&lt;=조회종료),1,0)</f>
        <v/>
      </c>
    </row>
    <row r="835">
      <c r="A835" s="2">
        <f>ROW()-1</f>
        <v/>
      </c>
      <c r="B835" s="5">
        <f>INDEX(상호범위,D835)</f>
        <v/>
      </c>
      <c r="C835" s="5">
        <f>INDEX(플랫폼명범위,E835)</f>
        <v/>
      </c>
      <c r="D835" s="2">
        <f>MOD(INT((A835-1)/4),8)+1</f>
        <v/>
      </c>
      <c r="E835" s="2">
        <f>MOD(A835-1,4)+1</f>
        <v/>
      </c>
      <c r="F835" s="20">
        <f>축시작+INT((A835-1)/32)</f>
        <v/>
      </c>
      <c r="G835" s="20">
        <f>F835+H835</f>
        <v/>
      </c>
      <c r="H835" s="5" t="n">
        <v>2</v>
      </c>
      <c r="I835" s="2">
        <f>ROUND(INDEX(가맹점!$P$2:$P$9,D835)*INDEX(가맹점!$J$2:$M$9,D835,E835),0)</f>
        <v/>
      </c>
      <c r="J835" s="2">
        <f>ROUND(I835*(1-할인율),0)</f>
        <v/>
      </c>
      <c r="K835" s="2">
        <f>ROUNDDOWN(I835*할인율,0)</f>
        <v/>
      </c>
      <c r="L835" s="2">
        <f>ROUND(I835*INDEX(미지급률범위,E835),0)</f>
        <v/>
      </c>
      <c r="M835" s="2">
        <f>ROUND(I835*INDEX(과지급률범위,E835),0)</f>
        <v/>
      </c>
      <c r="N835" s="2">
        <f>MAX(0,L835-M835)</f>
        <v/>
      </c>
      <c r="O835" s="2">
        <f>K835-N835</f>
        <v/>
      </c>
      <c r="P835" s="2">
        <f>I835-N835</f>
        <v/>
      </c>
      <c r="Q835" s="5">
        <f>IF(G835&gt;기준일,1,0)</f>
        <v/>
      </c>
      <c r="R835" s="5">
        <f>IF(G835&lt;=기준일,1,0)</f>
        <v/>
      </c>
      <c r="S835" s="2">
        <f>J835*H835</f>
        <v/>
      </c>
      <c r="T835" s="5">
        <f>IF(AND(F835&gt;=표본시작,F835&lt;=표본종료),1,0)</f>
        <v/>
      </c>
      <c r="U835" s="5">
        <f>IF(AND(G835&gt;=조회시작,G835&lt;=조회종료),1,0)</f>
        <v/>
      </c>
    </row>
    <row r="836">
      <c r="A836" s="2">
        <f>ROW()-1</f>
        <v/>
      </c>
      <c r="B836" s="5">
        <f>INDEX(상호범위,D836)</f>
        <v/>
      </c>
      <c r="C836" s="5">
        <f>INDEX(플랫폼명범위,E836)</f>
        <v/>
      </c>
      <c r="D836" s="2">
        <f>MOD(INT((A836-1)/4),8)+1</f>
        <v/>
      </c>
      <c r="E836" s="2">
        <f>MOD(A836-1,4)+1</f>
        <v/>
      </c>
      <c r="F836" s="20">
        <f>축시작+INT((A836-1)/32)</f>
        <v/>
      </c>
      <c r="G836" s="20">
        <f>F836+H836</f>
        <v/>
      </c>
      <c r="H836" s="5" t="n">
        <v>4</v>
      </c>
      <c r="I836" s="2">
        <f>ROUND(INDEX(가맹점!$P$2:$P$9,D836)*INDEX(가맹점!$J$2:$M$9,D836,E836),0)</f>
        <v/>
      </c>
      <c r="J836" s="2">
        <f>ROUND(I836*(1-할인율),0)</f>
        <v/>
      </c>
      <c r="K836" s="2">
        <f>ROUNDDOWN(I836*할인율,0)</f>
        <v/>
      </c>
      <c r="L836" s="2">
        <f>ROUND(I836*INDEX(미지급률범위,E836),0)</f>
        <v/>
      </c>
      <c r="M836" s="2">
        <f>ROUND(I836*INDEX(과지급률범위,E836),0)</f>
        <v/>
      </c>
      <c r="N836" s="2">
        <f>MAX(0,L836-M836)</f>
        <v/>
      </c>
      <c r="O836" s="2">
        <f>K836-N836</f>
        <v/>
      </c>
      <c r="P836" s="2">
        <f>I836-N836</f>
        <v/>
      </c>
      <c r="Q836" s="5">
        <f>IF(G836&gt;기준일,1,0)</f>
        <v/>
      </c>
      <c r="R836" s="5">
        <f>IF(G836&lt;=기준일,1,0)</f>
        <v/>
      </c>
      <c r="S836" s="2">
        <f>J836*H836</f>
        <v/>
      </c>
      <c r="T836" s="5">
        <f>IF(AND(F836&gt;=표본시작,F836&lt;=표본종료),1,0)</f>
        <v/>
      </c>
      <c r="U836" s="5">
        <f>IF(AND(G836&gt;=조회시작,G836&lt;=조회종료),1,0)</f>
        <v/>
      </c>
    </row>
    <row r="837">
      <c r="A837" s="2">
        <f>ROW()-1</f>
        <v/>
      </c>
      <c r="B837" s="5">
        <f>INDEX(상호범위,D837)</f>
        <v/>
      </c>
      <c r="C837" s="5">
        <f>INDEX(플랫폼명범위,E837)</f>
        <v/>
      </c>
      <c r="D837" s="2">
        <f>MOD(INT((A837-1)/4),8)+1</f>
        <v/>
      </c>
      <c r="E837" s="2">
        <f>MOD(A837-1,4)+1</f>
        <v/>
      </c>
      <c r="F837" s="20">
        <f>축시작+INT((A837-1)/32)</f>
        <v/>
      </c>
      <c r="G837" s="20">
        <f>F837+H837</f>
        <v/>
      </c>
      <c r="H837" s="5" t="n">
        <v>6</v>
      </c>
      <c r="I837" s="2">
        <f>ROUND(INDEX(가맹점!$P$2:$P$9,D837)*INDEX(가맹점!$J$2:$M$9,D837,E837),0)</f>
        <v/>
      </c>
      <c r="J837" s="2">
        <f>ROUND(I837*(1-할인율),0)</f>
        <v/>
      </c>
      <c r="K837" s="2">
        <f>ROUNDDOWN(I837*할인율,0)</f>
        <v/>
      </c>
      <c r="L837" s="2">
        <f>ROUND(I837*INDEX(미지급률범위,E837),0)</f>
        <v/>
      </c>
      <c r="M837" s="2">
        <f>ROUND(I837*INDEX(과지급률범위,E837),0)</f>
        <v/>
      </c>
      <c r="N837" s="2">
        <f>MAX(0,L837-M837)</f>
        <v/>
      </c>
      <c r="O837" s="2">
        <f>K837-N837</f>
        <v/>
      </c>
      <c r="P837" s="2">
        <f>I837-N837</f>
        <v/>
      </c>
      <c r="Q837" s="5">
        <f>IF(G837&gt;기준일,1,0)</f>
        <v/>
      </c>
      <c r="R837" s="5">
        <f>IF(G837&lt;=기준일,1,0)</f>
        <v/>
      </c>
      <c r="S837" s="2">
        <f>J837*H837</f>
        <v/>
      </c>
      <c r="T837" s="5">
        <f>IF(AND(F837&gt;=표본시작,F837&lt;=표본종료),1,0)</f>
        <v/>
      </c>
      <c r="U837" s="5">
        <f>IF(AND(G837&gt;=조회시작,G837&lt;=조회종료),1,0)</f>
        <v/>
      </c>
    </row>
    <row r="838">
      <c r="A838" s="2">
        <f>ROW()-1</f>
        <v/>
      </c>
      <c r="B838" s="5">
        <f>INDEX(상호범위,D838)</f>
        <v/>
      </c>
      <c r="C838" s="5">
        <f>INDEX(플랫폼명범위,E838)</f>
        <v/>
      </c>
      <c r="D838" s="2">
        <f>MOD(INT((A838-1)/4),8)+1</f>
        <v/>
      </c>
      <c r="E838" s="2">
        <f>MOD(A838-1,4)+1</f>
        <v/>
      </c>
      <c r="F838" s="20">
        <f>축시작+INT((A838-1)/32)</f>
        <v/>
      </c>
      <c r="G838" s="20">
        <f>F838+H838</f>
        <v/>
      </c>
      <c r="H838" s="5" t="n">
        <v>1</v>
      </c>
      <c r="I838" s="2">
        <f>ROUND(INDEX(가맹점!$P$2:$P$9,D838)*INDEX(가맹점!$J$2:$M$9,D838,E838),0)</f>
        <v/>
      </c>
      <c r="J838" s="2">
        <f>ROUND(I838*(1-할인율),0)</f>
        <v/>
      </c>
      <c r="K838" s="2">
        <f>ROUNDDOWN(I838*할인율,0)</f>
        <v/>
      </c>
      <c r="L838" s="2">
        <f>ROUND(I838*INDEX(미지급률범위,E838),0)</f>
        <v/>
      </c>
      <c r="M838" s="2">
        <f>ROUND(I838*INDEX(과지급률범위,E838),0)</f>
        <v/>
      </c>
      <c r="N838" s="2">
        <f>MAX(0,L838-M838)</f>
        <v/>
      </c>
      <c r="O838" s="2">
        <f>K838-N838</f>
        <v/>
      </c>
      <c r="P838" s="2">
        <f>I838-N838</f>
        <v/>
      </c>
      <c r="Q838" s="5">
        <f>IF(G838&gt;기준일,1,0)</f>
        <v/>
      </c>
      <c r="R838" s="5">
        <f>IF(G838&lt;=기준일,1,0)</f>
        <v/>
      </c>
      <c r="S838" s="2">
        <f>J838*H838</f>
        <v/>
      </c>
      <c r="T838" s="5">
        <f>IF(AND(F838&gt;=표본시작,F838&lt;=표본종료),1,0)</f>
        <v/>
      </c>
      <c r="U838" s="5">
        <f>IF(AND(G838&gt;=조회시작,G838&lt;=조회종료),1,0)</f>
        <v/>
      </c>
    </row>
    <row r="839">
      <c r="A839" s="2">
        <f>ROW()-1</f>
        <v/>
      </c>
      <c r="B839" s="5">
        <f>INDEX(상호범위,D839)</f>
        <v/>
      </c>
      <c r="C839" s="5">
        <f>INDEX(플랫폼명범위,E839)</f>
        <v/>
      </c>
      <c r="D839" s="2">
        <f>MOD(INT((A839-1)/4),8)+1</f>
        <v/>
      </c>
      <c r="E839" s="2">
        <f>MOD(A839-1,4)+1</f>
        <v/>
      </c>
      <c r="F839" s="20">
        <f>축시작+INT((A839-1)/32)</f>
        <v/>
      </c>
      <c r="G839" s="20">
        <f>F839+H839</f>
        <v/>
      </c>
      <c r="H839" s="5" t="n">
        <v>3</v>
      </c>
      <c r="I839" s="2">
        <f>ROUND(INDEX(가맹점!$P$2:$P$9,D839)*INDEX(가맹점!$J$2:$M$9,D839,E839),0)</f>
        <v/>
      </c>
      <c r="J839" s="2">
        <f>ROUND(I839*(1-할인율),0)</f>
        <v/>
      </c>
      <c r="K839" s="2">
        <f>ROUNDDOWN(I839*할인율,0)</f>
        <v/>
      </c>
      <c r="L839" s="2">
        <f>ROUND(I839*INDEX(미지급률범위,E839),0)</f>
        <v/>
      </c>
      <c r="M839" s="2">
        <f>ROUND(I839*INDEX(과지급률범위,E839),0)</f>
        <v/>
      </c>
      <c r="N839" s="2">
        <f>MAX(0,L839-M839)</f>
        <v/>
      </c>
      <c r="O839" s="2">
        <f>K839-N839</f>
        <v/>
      </c>
      <c r="P839" s="2">
        <f>I839-N839</f>
        <v/>
      </c>
      <c r="Q839" s="5">
        <f>IF(G839&gt;기준일,1,0)</f>
        <v/>
      </c>
      <c r="R839" s="5">
        <f>IF(G839&lt;=기준일,1,0)</f>
        <v/>
      </c>
      <c r="S839" s="2">
        <f>J839*H839</f>
        <v/>
      </c>
      <c r="T839" s="5">
        <f>IF(AND(F839&gt;=표본시작,F839&lt;=표본종료),1,0)</f>
        <v/>
      </c>
      <c r="U839" s="5">
        <f>IF(AND(G839&gt;=조회시작,G839&lt;=조회종료),1,0)</f>
        <v/>
      </c>
    </row>
    <row r="840">
      <c r="A840" s="2">
        <f>ROW()-1</f>
        <v/>
      </c>
      <c r="B840" s="5">
        <f>INDEX(상호범위,D840)</f>
        <v/>
      </c>
      <c r="C840" s="5">
        <f>INDEX(플랫폼명범위,E840)</f>
        <v/>
      </c>
      <c r="D840" s="2">
        <f>MOD(INT((A840-1)/4),8)+1</f>
        <v/>
      </c>
      <c r="E840" s="2">
        <f>MOD(A840-1,4)+1</f>
        <v/>
      </c>
      <c r="F840" s="20">
        <f>축시작+INT((A840-1)/32)</f>
        <v/>
      </c>
      <c r="G840" s="20">
        <f>F840+H840</f>
        <v/>
      </c>
      <c r="H840" s="5" t="n">
        <v>3</v>
      </c>
      <c r="I840" s="2">
        <f>ROUND(INDEX(가맹점!$P$2:$P$9,D840)*INDEX(가맹점!$J$2:$M$9,D840,E840),0)</f>
        <v/>
      </c>
      <c r="J840" s="2">
        <f>ROUND(I840*(1-할인율),0)</f>
        <v/>
      </c>
      <c r="K840" s="2">
        <f>ROUNDDOWN(I840*할인율,0)</f>
        <v/>
      </c>
      <c r="L840" s="2">
        <f>ROUND(I840*INDEX(미지급률범위,E840),0)</f>
        <v/>
      </c>
      <c r="M840" s="2">
        <f>ROUND(I840*INDEX(과지급률범위,E840),0)</f>
        <v/>
      </c>
      <c r="N840" s="2">
        <f>MAX(0,L840-M840)</f>
        <v/>
      </c>
      <c r="O840" s="2">
        <f>K840-N840</f>
        <v/>
      </c>
      <c r="P840" s="2">
        <f>I840-N840</f>
        <v/>
      </c>
      <c r="Q840" s="5">
        <f>IF(G840&gt;기준일,1,0)</f>
        <v/>
      </c>
      <c r="R840" s="5">
        <f>IF(G840&lt;=기준일,1,0)</f>
        <v/>
      </c>
      <c r="S840" s="2">
        <f>J840*H840</f>
        <v/>
      </c>
      <c r="T840" s="5">
        <f>IF(AND(F840&gt;=표본시작,F840&lt;=표본종료),1,0)</f>
        <v/>
      </c>
      <c r="U840" s="5">
        <f>IF(AND(G840&gt;=조회시작,G840&lt;=조회종료),1,0)</f>
        <v/>
      </c>
    </row>
    <row r="841">
      <c r="A841" s="2">
        <f>ROW()-1</f>
        <v/>
      </c>
      <c r="B841" s="5">
        <f>INDEX(상호범위,D841)</f>
        <v/>
      </c>
      <c r="C841" s="5">
        <f>INDEX(플랫폼명범위,E841)</f>
        <v/>
      </c>
      <c r="D841" s="2">
        <f>MOD(INT((A841-1)/4),8)+1</f>
        <v/>
      </c>
      <c r="E841" s="2">
        <f>MOD(A841-1,4)+1</f>
        <v/>
      </c>
      <c r="F841" s="20">
        <f>축시작+INT((A841-1)/32)</f>
        <v/>
      </c>
      <c r="G841" s="20">
        <f>F841+H841</f>
        <v/>
      </c>
      <c r="H841" s="5" t="n">
        <v>6</v>
      </c>
      <c r="I841" s="2">
        <f>ROUND(INDEX(가맹점!$P$2:$P$9,D841)*INDEX(가맹점!$J$2:$M$9,D841,E841),0)</f>
        <v/>
      </c>
      <c r="J841" s="2">
        <f>ROUND(I841*(1-할인율),0)</f>
        <v/>
      </c>
      <c r="K841" s="2">
        <f>ROUNDDOWN(I841*할인율,0)</f>
        <v/>
      </c>
      <c r="L841" s="2">
        <f>ROUND(I841*INDEX(미지급률범위,E841),0)</f>
        <v/>
      </c>
      <c r="M841" s="2">
        <f>ROUND(I841*INDEX(과지급률범위,E841),0)</f>
        <v/>
      </c>
      <c r="N841" s="2">
        <f>MAX(0,L841-M841)</f>
        <v/>
      </c>
      <c r="O841" s="2">
        <f>K841-N841</f>
        <v/>
      </c>
      <c r="P841" s="2">
        <f>I841-N841</f>
        <v/>
      </c>
      <c r="Q841" s="5">
        <f>IF(G841&gt;기준일,1,0)</f>
        <v/>
      </c>
      <c r="R841" s="5">
        <f>IF(G841&lt;=기준일,1,0)</f>
        <v/>
      </c>
      <c r="S841" s="2">
        <f>J841*H841</f>
        <v/>
      </c>
      <c r="T841" s="5">
        <f>IF(AND(F841&gt;=표본시작,F841&lt;=표본종료),1,0)</f>
        <v/>
      </c>
      <c r="U841" s="5">
        <f>IF(AND(G841&gt;=조회시작,G841&lt;=조회종료),1,0)</f>
        <v/>
      </c>
    </row>
    <row r="842">
      <c r="A842" s="2">
        <f>ROW()-1</f>
        <v/>
      </c>
      <c r="B842" s="5">
        <f>INDEX(상호범위,D842)</f>
        <v/>
      </c>
      <c r="C842" s="5">
        <f>INDEX(플랫폼명범위,E842)</f>
        <v/>
      </c>
      <c r="D842" s="2">
        <f>MOD(INT((A842-1)/4),8)+1</f>
        <v/>
      </c>
      <c r="E842" s="2">
        <f>MOD(A842-1,4)+1</f>
        <v/>
      </c>
      <c r="F842" s="20">
        <f>축시작+INT((A842-1)/32)</f>
        <v/>
      </c>
      <c r="G842" s="20">
        <f>F842+H842</f>
        <v/>
      </c>
      <c r="H842" s="5" t="n">
        <v>1</v>
      </c>
      <c r="I842" s="2">
        <f>ROUND(INDEX(가맹점!$P$2:$P$9,D842)*INDEX(가맹점!$J$2:$M$9,D842,E842),0)</f>
        <v/>
      </c>
      <c r="J842" s="2">
        <f>ROUND(I842*(1-할인율),0)</f>
        <v/>
      </c>
      <c r="K842" s="2">
        <f>ROUNDDOWN(I842*할인율,0)</f>
        <v/>
      </c>
      <c r="L842" s="2">
        <f>ROUND(I842*INDEX(미지급률범위,E842),0)</f>
        <v/>
      </c>
      <c r="M842" s="2">
        <f>ROUND(I842*INDEX(과지급률범위,E842),0)</f>
        <v/>
      </c>
      <c r="N842" s="2">
        <f>MAX(0,L842-M842)</f>
        <v/>
      </c>
      <c r="O842" s="2">
        <f>K842-N842</f>
        <v/>
      </c>
      <c r="P842" s="2">
        <f>I842-N842</f>
        <v/>
      </c>
      <c r="Q842" s="5">
        <f>IF(G842&gt;기준일,1,0)</f>
        <v/>
      </c>
      <c r="R842" s="5">
        <f>IF(G842&lt;=기준일,1,0)</f>
        <v/>
      </c>
      <c r="S842" s="2">
        <f>J842*H842</f>
        <v/>
      </c>
      <c r="T842" s="5">
        <f>IF(AND(F842&gt;=표본시작,F842&lt;=표본종료),1,0)</f>
        <v/>
      </c>
      <c r="U842" s="5">
        <f>IF(AND(G842&gt;=조회시작,G842&lt;=조회종료),1,0)</f>
        <v/>
      </c>
    </row>
    <row r="843">
      <c r="A843" s="2">
        <f>ROW()-1</f>
        <v/>
      </c>
      <c r="B843" s="5">
        <f>INDEX(상호범위,D843)</f>
        <v/>
      </c>
      <c r="C843" s="5">
        <f>INDEX(플랫폼명범위,E843)</f>
        <v/>
      </c>
      <c r="D843" s="2">
        <f>MOD(INT((A843-1)/4),8)+1</f>
        <v/>
      </c>
      <c r="E843" s="2">
        <f>MOD(A843-1,4)+1</f>
        <v/>
      </c>
      <c r="F843" s="20">
        <f>축시작+INT((A843-1)/32)</f>
        <v/>
      </c>
      <c r="G843" s="20">
        <f>F843+H843</f>
        <v/>
      </c>
      <c r="H843" s="5" t="n">
        <v>4</v>
      </c>
      <c r="I843" s="2">
        <f>ROUND(INDEX(가맹점!$P$2:$P$9,D843)*INDEX(가맹점!$J$2:$M$9,D843,E843),0)</f>
        <v/>
      </c>
      <c r="J843" s="2">
        <f>ROUND(I843*(1-할인율),0)</f>
        <v/>
      </c>
      <c r="K843" s="2">
        <f>ROUNDDOWN(I843*할인율,0)</f>
        <v/>
      </c>
      <c r="L843" s="2">
        <f>ROUND(I843*INDEX(미지급률범위,E843),0)</f>
        <v/>
      </c>
      <c r="M843" s="2">
        <f>ROUND(I843*INDEX(과지급률범위,E843),0)</f>
        <v/>
      </c>
      <c r="N843" s="2">
        <f>MAX(0,L843-M843)</f>
        <v/>
      </c>
      <c r="O843" s="2">
        <f>K843-N843</f>
        <v/>
      </c>
      <c r="P843" s="2">
        <f>I843-N843</f>
        <v/>
      </c>
      <c r="Q843" s="5">
        <f>IF(G843&gt;기준일,1,0)</f>
        <v/>
      </c>
      <c r="R843" s="5">
        <f>IF(G843&lt;=기준일,1,0)</f>
        <v/>
      </c>
      <c r="S843" s="2">
        <f>J843*H843</f>
        <v/>
      </c>
      <c r="T843" s="5">
        <f>IF(AND(F843&gt;=표본시작,F843&lt;=표본종료),1,0)</f>
        <v/>
      </c>
      <c r="U843" s="5">
        <f>IF(AND(G843&gt;=조회시작,G843&lt;=조회종료),1,0)</f>
        <v/>
      </c>
    </row>
    <row r="844">
      <c r="A844" s="2">
        <f>ROW()-1</f>
        <v/>
      </c>
      <c r="B844" s="5">
        <f>INDEX(상호범위,D844)</f>
        <v/>
      </c>
      <c r="C844" s="5">
        <f>INDEX(플랫폼명범위,E844)</f>
        <v/>
      </c>
      <c r="D844" s="2">
        <f>MOD(INT((A844-1)/4),8)+1</f>
        <v/>
      </c>
      <c r="E844" s="2">
        <f>MOD(A844-1,4)+1</f>
        <v/>
      </c>
      <c r="F844" s="20">
        <f>축시작+INT((A844-1)/32)</f>
        <v/>
      </c>
      <c r="G844" s="20">
        <f>F844+H844</f>
        <v/>
      </c>
      <c r="H844" s="5" t="n">
        <v>5</v>
      </c>
      <c r="I844" s="2">
        <f>ROUND(INDEX(가맹점!$P$2:$P$9,D844)*INDEX(가맹점!$J$2:$M$9,D844,E844),0)</f>
        <v/>
      </c>
      <c r="J844" s="2">
        <f>ROUND(I844*(1-할인율),0)</f>
        <v/>
      </c>
      <c r="K844" s="2">
        <f>ROUNDDOWN(I844*할인율,0)</f>
        <v/>
      </c>
      <c r="L844" s="2">
        <f>ROUND(I844*INDEX(미지급률범위,E844),0)</f>
        <v/>
      </c>
      <c r="M844" s="2">
        <f>ROUND(I844*INDEX(과지급률범위,E844),0)</f>
        <v/>
      </c>
      <c r="N844" s="2">
        <f>MAX(0,L844-M844)</f>
        <v/>
      </c>
      <c r="O844" s="2">
        <f>K844-N844</f>
        <v/>
      </c>
      <c r="P844" s="2">
        <f>I844-N844</f>
        <v/>
      </c>
      <c r="Q844" s="5">
        <f>IF(G844&gt;기준일,1,0)</f>
        <v/>
      </c>
      <c r="R844" s="5">
        <f>IF(G844&lt;=기준일,1,0)</f>
        <v/>
      </c>
      <c r="S844" s="2">
        <f>J844*H844</f>
        <v/>
      </c>
      <c r="T844" s="5">
        <f>IF(AND(F844&gt;=표본시작,F844&lt;=표본종료),1,0)</f>
        <v/>
      </c>
      <c r="U844" s="5">
        <f>IF(AND(G844&gt;=조회시작,G844&lt;=조회종료),1,0)</f>
        <v/>
      </c>
    </row>
    <row r="845">
      <c r="A845" s="2">
        <f>ROW()-1</f>
        <v/>
      </c>
      <c r="B845" s="5">
        <f>INDEX(상호범위,D845)</f>
        <v/>
      </c>
      <c r="C845" s="5">
        <f>INDEX(플랫폼명범위,E845)</f>
        <v/>
      </c>
      <c r="D845" s="2">
        <f>MOD(INT((A845-1)/4),8)+1</f>
        <v/>
      </c>
      <c r="E845" s="2">
        <f>MOD(A845-1,4)+1</f>
        <v/>
      </c>
      <c r="F845" s="20">
        <f>축시작+INT((A845-1)/32)</f>
        <v/>
      </c>
      <c r="G845" s="20">
        <f>F845+H845</f>
        <v/>
      </c>
      <c r="H845" s="5" t="n">
        <v>12</v>
      </c>
      <c r="I845" s="2">
        <f>ROUND(INDEX(가맹점!$P$2:$P$9,D845)*INDEX(가맹점!$J$2:$M$9,D845,E845),0)</f>
        <v/>
      </c>
      <c r="J845" s="2">
        <f>ROUND(I845*(1-할인율),0)</f>
        <v/>
      </c>
      <c r="K845" s="2">
        <f>ROUNDDOWN(I845*할인율,0)</f>
        <v/>
      </c>
      <c r="L845" s="2">
        <f>ROUND(I845*INDEX(미지급률범위,E845),0)</f>
        <v/>
      </c>
      <c r="M845" s="2">
        <f>ROUND(I845*INDEX(과지급률범위,E845),0)</f>
        <v/>
      </c>
      <c r="N845" s="2">
        <f>MAX(0,L845-M845)</f>
        <v/>
      </c>
      <c r="O845" s="2">
        <f>K845-N845</f>
        <v/>
      </c>
      <c r="P845" s="2">
        <f>I845-N845</f>
        <v/>
      </c>
      <c r="Q845" s="5">
        <f>IF(G845&gt;기준일,1,0)</f>
        <v/>
      </c>
      <c r="R845" s="5">
        <f>IF(G845&lt;=기준일,1,0)</f>
        <v/>
      </c>
      <c r="S845" s="2">
        <f>J845*H845</f>
        <v/>
      </c>
      <c r="T845" s="5">
        <f>IF(AND(F845&gt;=표본시작,F845&lt;=표본종료),1,0)</f>
        <v/>
      </c>
      <c r="U845" s="5">
        <f>IF(AND(G845&gt;=조회시작,G845&lt;=조회종료),1,0)</f>
        <v/>
      </c>
    </row>
    <row r="846">
      <c r="A846" s="2">
        <f>ROW()-1</f>
        <v/>
      </c>
      <c r="B846" s="5">
        <f>INDEX(상호범위,D846)</f>
        <v/>
      </c>
      <c r="C846" s="5">
        <f>INDEX(플랫폼명범위,E846)</f>
        <v/>
      </c>
      <c r="D846" s="2">
        <f>MOD(INT((A846-1)/4),8)+1</f>
        <v/>
      </c>
      <c r="E846" s="2">
        <f>MOD(A846-1,4)+1</f>
        <v/>
      </c>
      <c r="F846" s="20">
        <f>축시작+INT((A846-1)/32)</f>
        <v/>
      </c>
      <c r="G846" s="20">
        <f>F846+H846</f>
        <v/>
      </c>
      <c r="H846" s="5" t="n">
        <v>1</v>
      </c>
      <c r="I846" s="2">
        <f>ROUND(INDEX(가맹점!$P$2:$P$9,D846)*INDEX(가맹점!$J$2:$M$9,D846,E846),0)</f>
        <v/>
      </c>
      <c r="J846" s="2">
        <f>ROUND(I846*(1-할인율),0)</f>
        <v/>
      </c>
      <c r="K846" s="2">
        <f>ROUNDDOWN(I846*할인율,0)</f>
        <v/>
      </c>
      <c r="L846" s="2">
        <f>ROUND(I846*INDEX(미지급률범위,E846),0)</f>
        <v/>
      </c>
      <c r="M846" s="2">
        <f>ROUND(I846*INDEX(과지급률범위,E846),0)</f>
        <v/>
      </c>
      <c r="N846" s="2">
        <f>MAX(0,L846-M846)</f>
        <v/>
      </c>
      <c r="O846" s="2">
        <f>K846-N846</f>
        <v/>
      </c>
      <c r="P846" s="2">
        <f>I846-N846</f>
        <v/>
      </c>
      <c r="Q846" s="5">
        <f>IF(G846&gt;기준일,1,0)</f>
        <v/>
      </c>
      <c r="R846" s="5">
        <f>IF(G846&lt;=기준일,1,0)</f>
        <v/>
      </c>
      <c r="S846" s="2">
        <f>J846*H846</f>
        <v/>
      </c>
      <c r="T846" s="5">
        <f>IF(AND(F846&gt;=표본시작,F846&lt;=표본종료),1,0)</f>
        <v/>
      </c>
      <c r="U846" s="5">
        <f>IF(AND(G846&gt;=조회시작,G846&lt;=조회종료),1,0)</f>
        <v/>
      </c>
    </row>
    <row r="847">
      <c r="A847" s="2">
        <f>ROW()-1</f>
        <v/>
      </c>
      <c r="B847" s="5">
        <f>INDEX(상호범위,D847)</f>
        <v/>
      </c>
      <c r="C847" s="5">
        <f>INDEX(플랫폼명범위,E847)</f>
        <v/>
      </c>
      <c r="D847" s="2">
        <f>MOD(INT((A847-1)/4),8)+1</f>
        <v/>
      </c>
      <c r="E847" s="2">
        <f>MOD(A847-1,4)+1</f>
        <v/>
      </c>
      <c r="F847" s="20">
        <f>축시작+INT((A847-1)/32)</f>
        <v/>
      </c>
      <c r="G847" s="20">
        <f>F847+H847</f>
        <v/>
      </c>
      <c r="H847" s="5" t="n">
        <v>3</v>
      </c>
      <c r="I847" s="2">
        <f>ROUND(INDEX(가맹점!$P$2:$P$9,D847)*INDEX(가맹점!$J$2:$M$9,D847,E847),0)</f>
        <v/>
      </c>
      <c r="J847" s="2">
        <f>ROUND(I847*(1-할인율),0)</f>
        <v/>
      </c>
      <c r="K847" s="2">
        <f>ROUNDDOWN(I847*할인율,0)</f>
        <v/>
      </c>
      <c r="L847" s="2">
        <f>ROUND(I847*INDEX(미지급률범위,E847),0)</f>
        <v/>
      </c>
      <c r="M847" s="2">
        <f>ROUND(I847*INDEX(과지급률범위,E847),0)</f>
        <v/>
      </c>
      <c r="N847" s="2">
        <f>MAX(0,L847-M847)</f>
        <v/>
      </c>
      <c r="O847" s="2">
        <f>K847-N847</f>
        <v/>
      </c>
      <c r="P847" s="2">
        <f>I847-N847</f>
        <v/>
      </c>
      <c r="Q847" s="5">
        <f>IF(G847&gt;기준일,1,0)</f>
        <v/>
      </c>
      <c r="R847" s="5">
        <f>IF(G847&lt;=기준일,1,0)</f>
        <v/>
      </c>
      <c r="S847" s="2">
        <f>J847*H847</f>
        <v/>
      </c>
      <c r="T847" s="5">
        <f>IF(AND(F847&gt;=표본시작,F847&lt;=표본종료),1,0)</f>
        <v/>
      </c>
      <c r="U847" s="5">
        <f>IF(AND(G847&gt;=조회시작,G847&lt;=조회종료),1,0)</f>
        <v/>
      </c>
    </row>
    <row r="848">
      <c r="A848" s="2">
        <f>ROW()-1</f>
        <v/>
      </c>
      <c r="B848" s="5">
        <f>INDEX(상호범위,D848)</f>
        <v/>
      </c>
      <c r="C848" s="5">
        <f>INDEX(플랫폼명범위,E848)</f>
        <v/>
      </c>
      <c r="D848" s="2">
        <f>MOD(INT((A848-1)/4),8)+1</f>
        <v/>
      </c>
      <c r="E848" s="2">
        <f>MOD(A848-1,4)+1</f>
        <v/>
      </c>
      <c r="F848" s="20">
        <f>축시작+INT((A848-1)/32)</f>
        <v/>
      </c>
      <c r="G848" s="20">
        <f>F848+H848</f>
        <v/>
      </c>
      <c r="H848" s="5" t="n">
        <v>3</v>
      </c>
      <c r="I848" s="2">
        <f>ROUND(INDEX(가맹점!$P$2:$P$9,D848)*INDEX(가맹점!$J$2:$M$9,D848,E848),0)</f>
        <v/>
      </c>
      <c r="J848" s="2">
        <f>ROUND(I848*(1-할인율),0)</f>
        <v/>
      </c>
      <c r="K848" s="2">
        <f>ROUNDDOWN(I848*할인율,0)</f>
        <v/>
      </c>
      <c r="L848" s="2">
        <f>ROUND(I848*INDEX(미지급률범위,E848),0)</f>
        <v/>
      </c>
      <c r="M848" s="2">
        <f>ROUND(I848*INDEX(과지급률범위,E848),0)</f>
        <v/>
      </c>
      <c r="N848" s="2">
        <f>MAX(0,L848-M848)</f>
        <v/>
      </c>
      <c r="O848" s="2">
        <f>K848-N848</f>
        <v/>
      </c>
      <c r="P848" s="2">
        <f>I848-N848</f>
        <v/>
      </c>
      <c r="Q848" s="5">
        <f>IF(G848&gt;기준일,1,0)</f>
        <v/>
      </c>
      <c r="R848" s="5">
        <f>IF(G848&lt;=기준일,1,0)</f>
        <v/>
      </c>
      <c r="S848" s="2">
        <f>J848*H848</f>
        <v/>
      </c>
      <c r="T848" s="5">
        <f>IF(AND(F848&gt;=표본시작,F848&lt;=표본종료),1,0)</f>
        <v/>
      </c>
      <c r="U848" s="5">
        <f>IF(AND(G848&gt;=조회시작,G848&lt;=조회종료),1,0)</f>
        <v/>
      </c>
    </row>
    <row r="849">
      <c r="A849" s="2">
        <f>ROW()-1</f>
        <v/>
      </c>
      <c r="B849" s="5">
        <f>INDEX(상호범위,D849)</f>
        <v/>
      </c>
      <c r="C849" s="5">
        <f>INDEX(플랫폼명범위,E849)</f>
        <v/>
      </c>
      <c r="D849" s="2">
        <f>MOD(INT((A849-1)/4),8)+1</f>
        <v/>
      </c>
      <c r="E849" s="2">
        <f>MOD(A849-1,4)+1</f>
        <v/>
      </c>
      <c r="F849" s="20">
        <f>축시작+INT((A849-1)/32)</f>
        <v/>
      </c>
      <c r="G849" s="20">
        <f>F849+H849</f>
        <v/>
      </c>
      <c r="H849" s="5" t="n">
        <v>8</v>
      </c>
      <c r="I849" s="2">
        <f>ROUND(INDEX(가맹점!$P$2:$P$9,D849)*INDEX(가맹점!$J$2:$M$9,D849,E849),0)</f>
        <v/>
      </c>
      <c r="J849" s="2">
        <f>ROUND(I849*(1-할인율),0)</f>
        <v/>
      </c>
      <c r="K849" s="2">
        <f>ROUNDDOWN(I849*할인율,0)</f>
        <v/>
      </c>
      <c r="L849" s="2">
        <f>ROUND(I849*INDEX(미지급률범위,E849),0)</f>
        <v/>
      </c>
      <c r="M849" s="2">
        <f>ROUND(I849*INDEX(과지급률범위,E849),0)</f>
        <v/>
      </c>
      <c r="N849" s="2">
        <f>MAX(0,L849-M849)</f>
        <v/>
      </c>
      <c r="O849" s="2">
        <f>K849-N849</f>
        <v/>
      </c>
      <c r="P849" s="2">
        <f>I849-N849</f>
        <v/>
      </c>
      <c r="Q849" s="5">
        <f>IF(G849&gt;기준일,1,0)</f>
        <v/>
      </c>
      <c r="R849" s="5">
        <f>IF(G849&lt;=기준일,1,0)</f>
        <v/>
      </c>
      <c r="S849" s="2">
        <f>J849*H849</f>
        <v/>
      </c>
      <c r="T849" s="5">
        <f>IF(AND(F849&gt;=표본시작,F849&lt;=표본종료),1,0)</f>
        <v/>
      </c>
      <c r="U849" s="5">
        <f>IF(AND(G849&gt;=조회시작,G849&lt;=조회종료),1,0)</f>
        <v/>
      </c>
    </row>
    <row r="850">
      <c r="A850" s="2">
        <f>ROW()-1</f>
        <v/>
      </c>
      <c r="B850" s="5">
        <f>INDEX(상호범위,D850)</f>
        <v/>
      </c>
      <c r="C850" s="5">
        <f>INDEX(플랫폼명범위,E850)</f>
        <v/>
      </c>
      <c r="D850" s="2">
        <f>MOD(INT((A850-1)/4),8)+1</f>
        <v/>
      </c>
      <c r="E850" s="2">
        <f>MOD(A850-1,4)+1</f>
        <v/>
      </c>
      <c r="F850" s="20">
        <f>축시작+INT((A850-1)/32)</f>
        <v/>
      </c>
      <c r="G850" s="20">
        <f>F850+H850</f>
        <v/>
      </c>
      <c r="H850" s="5" t="n">
        <v>2</v>
      </c>
      <c r="I850" s="2">
        <f>ROUND(INDEX(가맹점!$P$2:$P$9,D850)*INDEX(가맹점!$J$2:$M$9,D850,E850),0)</f>
        <v/>
      </c>
      <c r="J850" s="2">
        <f>ROUND(I850*(1-할인율),0)</f>
        <v/>
      </c>
      <c r="K850" s="2">
        <f>ROUNDDOWN(I850*할인율,0)</f>
        <v/>
      </c>
      <c r="L850" s="2">
        <f>ROUND(I850*INDEX(미지급률범위,E850),0)</f>
        <v/>
      </c>
      <c r="M850" s="2">
        <f>ROUND(I850*INDEX(과지급률범위,E850),0)</f>
        <v/>
      </c>
      <c r="N850" s="2">
        <f>MAX(0,L850-M850)</f>
        <v/>
      </c>
      <c r="O850" s="2">
        <f>K850-N850</f>
        <v/>
      </c>
      <c r="P850" s="2">
        <f>I850-N850</f>
        <v/>
      </c>
      <c r="Q850" s="5">
        <f>IF(G850&gt;기준일,1,0)</f>
        <v/>
      </c>
      <c r="R850" s="5">
        <f>IF(G850&lt;=기준일,1,0)</f>
        <v/>
      </c>
      <c r="S850" s="2">
        <f>J850*H850</f>
        <v/>
      </c>
      <c r="T850" s="5">
        <f>IF(AND(F850&gt;=표본시작,F850&lt;=표본종료),1,0)</f>
        <v/>
      </c>
      <c r="U850" s="5">
        <f>IF(AND(G850&gt;=조회시작,G850&lt;=조회종료),1,0)</f>
        <v/>
      </c>
    </row>
    <row r="851">
      <c r="A851" s="2">
        <f>ROW()-1</f>
        <v/>
      </c>
      <c r="B851" s="5">
        <f>INDEX(상호범위,D851)</f>
        <v/>
      </c>
      <c r="C851" s="5">
        <f>INDEX(플랫폼명범위,E851)</f>
        <v/>
      </c>
      <c r="D851" s="2">
        <f>MOD(INT((A851-1)/4),8)+1</f>
        <v/>
      </c>
      <c r="E851" s="2">
        <f>MOD(A851-1,4)+1</f>
        <v/>
      </c>
      <c r="F851" s="20">
        <f>축시작+INT((A851-1)/32)</f>
        <v/>
      </c>
      <c r="G851" s="20">
        <f>F851+H851</f>
        <v/>
      </c>
      <c r="H851" s="5" t="n">
        <v>4</v>
      </c>
      <c r="I851" s="2">
        <f>ROUND(INDEX(가맹점!$P$2:$P$9,D851)*INDEX(가맹점!$J$2:$M$9,D851,E851),0)</f>
        <v/>
      </c>
      <c r="J851" s="2">
        <f>ROUND(I851*(1-할인율),0)</f>
        <v/>
      </c>
      <c r="K851" s="2">
        <f>ROUNDDOWN(I851*할인율,0)</f>
        <v/>
      </c>
      <c r="L851" s="2">
        <f>ROUND(I851*INDEX(미지급률범위,E851),0)</f>
        <v/>
      </c>
      <c r="M851" s="2">
        <f>ROUND(I851*INDEX(과지급률범위,E851),0)</f>
        <v/>
      </c>
      <c r="N851" s="2">
        <f>MAX(0,L851-M851)</f>
        <v/>
      </c>
      <c r="O851" s="2">
        <f>K851-N851</f>
        <v/>
      </c>
      <c r="P851" s="2">
        <f>I851-N851</f>
        <v/>
      </c>
      <c r="Q851" s="5">
        <f>IF(G851&gt;기준일,1,0)</f>
        <v/>
      </c>
      <c r="R851" s="5">
        <f>IF(G851&lt;=기준일,1,0)</f>
        <v/>
      </c>
      <c r="S851" s="2">
        <f>J851*H851</f>
        <v/>
      </c>
      <c r="T851" s="5">
        <f>IF(AND(F851&gt;=표본시작,F851&lt;=표본종료),1,0)</f>
        <v/>
      </c>
      <c r="U851" s="5">
        <f>IF(AND(G851&gt;=조회시작,G851&lt;=조회종료),1,0)</f>
        <v/>
      </c>
    </row>
    <row r="852">
      <c r="A852" s="2">
        <f>ROW()-1</f>
        <v/>
      </c>
      <c r="B852" s="5">
        <f>INDEX(상호범위,D852)</f>
        <v/>
      </c>
      <c r="C852" s="5">
        <f>INDEX(플랫폼명범위,E852)</f>
        <v/>
      </c>
      <c r="D852" s="2">
        <f>MOD(INT((A852-1)/4),8)+1</f>
        <v/>
      </c>
      <c r="E852" s="2">
        <f>MOD(A852-1,4)+1</f>
        <v/>
      </c>
      <c r="F852" s="20">
        <f>축시작+INT((A852-1)/32)</f>
        <v/>
      </c>
      <c r="G852" s="20">
        <f>F852+H852</f>
        <v/>
      </c>
      <c r="H852" s="5" t="n">
        <v>5</v>
      </c>
      <c r="I852" s="2">
        <f>ROUND(INDEX(가맹점!$P$2:$P$9,D852)*INDEX(가맹점!$J$2:$M$9,D852,E852),0)</f>
        <v/>
      </c>
      <c r="J852" s="2">
        <f>ROUND(I852*(1-할인율),0)</f>
        <v/>
      </c>
      <c r="K852" s="2">
        <f>ROUNDDOWN(I852*할인율,0)</f>
        <v/>
      </c>
      <c r="L852" s="2">
        <f>ROUND(I852*INDEX(미지급률범위,E852),0)</f>
        <v/>
      </c>
      <c r="M852" s="2">
        <f>ROUND(I852*INDEX(과지급률범위,E852),0)</f>
        <v/>
      </c>
      <c r="N852" s="2">
        <f>MAX(0,L852-M852)</f>
        <v/>
      </c>
      <c r="O852" s="2">
        <f>K852-N852</f>
        <v/>
      </c>
      <c r="P852" s="2">
        <f>I852-N852</f>
        <v/>
      </c>
      <c r="Q852" s="5">
        <f>IF(G852&gt;기준일,1,0)</f>
        <v/>
      </c>
      <c r="R852" s="5">
        <f>IF(G852&lt;=기준일,1,0)</f>
        <v/>
      </c>
      <c r="S852" s="2">
        <f>J852*H852</f>
        <v/>
      </c>
      <c r="T852" s="5">
        <f>IF(AND(F852&gt;=표본시작,F852&lt;=표본종료),1,0)</f>
        <v/>
      </c>
      <c r="U852" s="5">
        <f>IF(AND(G852&gt;=조회시작,G852&lt;=조회종료),1,0)</f>
        <v/>
      </c>
    </row>
    <row r="853">
      <c r="A853" s="2">
        <f>ROW()-1</f>
        <v/>
      </c>
      <c r="B853" s="5">
        <f>INDEX(상호범위,D853)</f>
        <v/>
      </c>
      <c r="C853" s="5">
        <f>INDEX(플랫폼명범위,E853)</f>
        <v/>
      </c>
      <c r="D853" s="2">
        <f>MOD(INT((A853-1)/4),8)+1</f>
        <v/>
      </c>
      <c r="E853" s="2">
        <f>MOD(A853-1,4)+1</f>
        <v/>
      </c>
      <c r="F853" s="20">
        <f>축시작+INT((A853-1)/32)</f>
        <v/>
      </c>
      <c r="G853" s="20">
        <f>F853+H853</f>
        <v/>
      </c>
      <c r="H853" s="5" t="n">
        <v>9</v>
      </c>
      <c r="I853" s="2">
        <f>ROUND(INDEX(가맹점!$P$2:$P$9,D853)*INDEX(가맹점!$J$2:$M$9,D853,E853),0)</f>
        <v/>
      </c>
      <c r="J853" s="2">
        <f>ROUND(I853*(1-할인율),0)</f>
        <v/>
      </c>
      <c r="K853" s="2">
        <f>ROUNDDOWN(I853*할인율,0)</f>
        <v/>
      </c>
      <c r="L853" s="2">
        <f>ROUND(I853*INDEX(미지급률범위,E853),0)</f>
        <v/>
      </c>
      <c r="M853" s="2">
        <f>ROUND(I853*INDEX(과지급률범위,E853),0)</f>
        <v/>
      </c>
      <c r="N853" s="2">
        <f>MAX(0,L853-M853)</f>
        <v/>
      </c>
      <c r="O853" s="2">
        <f>K853-N853</f>
        <v/>
      </c>
      <c r="P853" s="2">
        <f>I853-N853</f>
        <v/>
      </c>
      <c r="Q853" s="5">
        <f>IF(G853&gt;기준일,1,0)</f>
        <v/>
      </c>
      <c r="R853" s="5">
        <f>IF(G853&lt;=기준일,1,0)</f>
        <v/>
      </c>
      <c r="S853" s="2">
        <f>J853*H853</f>
        <v/>
      </c>
      <c r="T853" s="5">
        <f>IF(AND(F853&gt;=표본시작,F853&lt;=표본종료),1,0)</f>
        <v/>
      </c>
      <c r="U853" s="5">
        <f>IF(AND(G853&gt;=조회시작,G853&lt;=조회종료),1,0)</f>
        <v/>
      </c>
    </row>
    <row r="854">
      <c r="A854" s="2">
        <f>ROW()-1</f>
        <v/>
      </c>
      <c r="B854" s="5">
        <f>INDEX(상호범위,D854)</f>
        <v/>
      </c>
      <c r="C854" s="5">
        <f>INDEX(플랫폼명범위,E854)</f>
        <v/>
      </c>
      <c r="D854" s="2">
        <f>MOD(INT((A854-1)/4),8)+1</f>
        <v/>
      </c>
      <c r="E854" s="2">
        <f>MOD(A854-1,4)+1</f>
        <v/>
      </c>
      <c r="F854" s="20">
        <f>축시작+INT((A854-1)/32)</f>
        <v/>
      </c>
      <c r="G854" s="20">
        <f>F854+H854</f>
        <v/>
      </c>
      <c r="H854" s="5" t="n">
        <v>1</v>
      </c>
      <c r="I854" s="2">
        <f>ROUND(INDEX(가맹점!$P$2:$P$9,D854)*INDEX(가맹점!$J$2:$M$9,D854,E854),0)</f>
        <v/>
      </c>
      <c r="J854" s="2">
        <f>ROUND(I854*(1-할인율),0)</f>
        <v/>
      </c>
      <c r="K854" s="2">
        <f>ROUNDDOWN(I854*할인율,0)</f>
        <v/>
      </c>
      <c r="L854" s="2">
        <f>ROUND(I854*INDEX(미지급률범위,E854),0)</f>
        <v/>
      </c>
      <c r="M854" s="2">
        <f>ROUND(I854*INDEX(과지급률범위,E854),0)</f>
        <v/>
      </c>
      <c r="N854" s="2">
        <f>MAX(0,L854-M854)</f>
        <v/>
      </c>
      <c r="O854" s="2">
        <f>K854-N854</f>
        <v/>
      </c>
      <c r="P854" s="2">
        <f>I854-N854</f>
        <v/>
      </c>
      <c r="Q854" s="5">
        <f>IF(G854&gt;기준일,1,0)</f>
        <v/>
      </c>
      <c r="R854" s="5">
        <f>IF(G854&lt;=기준일,1,0)</f>
        <v/>
      </c>
      <c r="S854" s="2">
        <f>J854*H854</f>
        <v/>
      </c>
      <c r="T854" s="5">
        <f>IF(AND(F854&gt;=표본시작,F854&lt;=표본종료),1,0)</f>
        <v/>
      </c>
      <c r="U854" s="5">
        <f>IF(AND(G854&gt;=조회시작,G854&lt;=조회종료),1,0)</f>
        <v/>
      </c>
    </row>
    <row r="855">
      <c r="A855" s="2">
        <f>ROW()-1</f>
        <v/>
      </c>
      <c r="B855" s="5">
        <f>INDEX(상호범위,D855)</f>
        <v/>
      </c>
      <c r="C855" s="5">
        <f>INDEX(플랫폼명범위,E855)</f>
        <v/>
      </c>
      <c r="D855" s="2">
        <f>MOD(INT((A855-1)/4),8)+1</f>
        <v/>
      </c>
      <c r="E855" s="2">
        <f>MOD(A855-1,4)+1</f>
        <v/>
      </c>
      <c r="F855" s="20">
        <f>축시작+INT((A855-1)/32)</f>
        <v/>
      </c>
      <c r="G855" s="20">
        <f>F855+H855</f>
        <v/>
      </c>
      <c r="H855" s="5" t="n">
        <v>2</v>
      </c>
      <c r="I855" s="2">
        <f>ROUND(INDEX(가맹점!$P$2:$P$9,D855)*INDEX(가맹점!$J$2:$M$9,D855,E855),0)</f>
        <v/>
      </c>
      <c r="J855" s="2">
        <f>ROUND(I855*(1-할인율),0)</f>
        <v/>
      </c>
      <c r="K855" s="2">
        <f>ROUNDDOWN(I855*할인율,0)</f>
        <v/>
      </c>
      <c r="L855" s="2">
        <f>ROUND(I855*INDEX(미지급률범위,E855),0)</f>
        <v/>
      </c>
      <c r="M855" s="2">
        <f>ROUND(I855*INDEX(과지급률범위,E855),0)</f>
        <v/>
      </c>
      <c r="N855" s="2">
        <f>MAX(0,L855-M855)</f>
        <v/>
      </c>
      <c r="O855" s="2">
        <f>K855-N855</f>
        <v/>
      </c>
      <c r="P855" s="2">
        <f>I855-N855</f>
        <v/>
      </c>
      <c r="Q855" s="5">
        <f>IF(G855&gt;기준일,1,0)</f>
        <v/>
      </c>
      <c r="R855" s="5">
        <f>IF(G855&lt;=기준일,1,0)</f>
        <v/>
      </c>
      <c r="S855" s="2">
        <f>J855*H855</f>
        <v/>
      </c>
      <c r="T855" s="5">
        <f>IF(AND(F855&gt;=표본시작,F855&lt;=표본종료),1,0)</f>
        <v/>
      </c>
      <c r="U855" s="5">
        <f>IF(AND(G855&gt;=조회시작,G855&lt;=조회종료),1,0)</f>
        <v/>
      </c>
    </row>
    <row r="856">
      <c r="A856" s="2">
        <f>ROW()-1</f>
        <v/>
      </c>
      <c r="B856" s="5">
        <f>INDEX(상호범위,D856)</f>
        <v/>
      </c>
      <c r="C856" s="5">
        <f>INDEX(플랫폼명범위,E856)</f>
        <v/>
      </c>
      <c r="D856" s="2">
        <f>MOD(INT((A856-1)/4),8)+1</f>
        <v/>
      </c>
      <c r="E856" s="2">
        <f>MOD(A856-1,4)+1</f>
        <v/>
      </c>
      <c r="F856" s="20">
        <f>축시작+INT((A856-1)/32)</f>
        <v/>
      </c>
      <c r="G856" s="20">
        <f>F856+H856</f>
        <v/>
      </c>
      <c r="H856" s="5" t="n">
        <v>5</v>
      </c>
      <c r="I856" s="2">
        <f>ROUND(INDEX(가맹점!$P$2:$P$9,D856)*INDEX(가맹점!$J$2:$M$9,D856,E856),0)</f>
        <v/>
      </c>
      <c r="J856" s="2">
        <f>ROUND(I856*(1-할인율),0)</f>
        <v/>
      </c>
      <c r="K856" s="2">
        <f>ROUNDDOWN(I856*할인율,0)</f>
        <v/>
      </c>
      <c r="L856" s="2">
        <f>ROUND(I856*INDEX(미지급률범위,E856),0)</f>
        <v/>
      </c>
      <c r="M856" s="2">
        <f>ROUND(I856*INDEX(과지급률범위,E856),0)</f>
        <v/>
      </c>
      <c r="N856" s="2">
        <f>MAX(0,L856-M856)</f>
        <v/>
      </c>
      <c r="O856" s="2">
        <f>K856-N856</f>
        <v/>
      </c>
      <c r="P856" s="2">
        <f>I856-N856</f>
        <v/>
      </c>
      <c r="Q856" s="5">
        <f>IF(G856&gt;기준일,1,0)</f>
        <v/>
      </c>
      <c r="R856" s="5">
        <f>IF(G856&lt;=기준일,1,0)</f>
        <v/>
      </c>
      <c r="S856" s="2">
        <f>J856*H856</f>
        <v/>
      </c>
      <c r="T856" s="5">
        <f>IF(AND(F856&gt;=표본시작,F856&lt;=표본종료),1,0)</f>
        <v/>
      </c>
      <c r="U856" s="5">
        <f>IF(AND(G856&gt;=조회시작,G856&lt;=조회종료),1,0)</f>
        <v/>
      </c>
    </row>
    <row r="857">
      <c r="A857" s="2">
        <f>ROW()-1</f>
        <v/>
      </c>
      <c r="B857" s="5">
        <f>INDEX(상호범위,D857)</f>
        <v/>
      </c>
      <c r="C857" s="5">
        <f>INDEX(플랫폼명범위,E857)</f>
        <v/>
      </c>
      <c r="D857" s="2">
        <f>MOD(INT((A857-1)/4),8)+1</f>
        <v/>
      </c>
      <c r="E857" s="2">
        <f>MOD(A857-1,4)+1</f>
        <v/>
      </c>
      <c r="F857" s="20">
        <f>축시작+INT((A857-1)/32)</f>
        <v/>
      </c>
      <c r="G857" s="20">
        <f>F857+H857</f>
        <v/>
      </c>
      <c r="H857" s="5" t="n">
        <v>6</v>
      </c>
      <c r="I857" s="2">
        <f>ROUND(INDEX(가맹점!$P$2:$P$9,D857)*INDEX(가맹점!$J$2:$M$9,D857,E857),0)</f>
        <v/>
      </c>
      <c r="J857" s="2">
        <f>ROUND(I857*(1-할인율),0)</f>
        <v/>
      </c>
      <c r="K857" s="2">
        <f>ROUNDDOWN(I857*할인율,0)</f>
        <v/>
      </c>
      <c r="L857" s="2">
        <f>ROUND(I857*INDEX(미지급률범위,E857),0)</f>
        <v/>
      </c>
      <c r="M857" s="2">
        <f>ROUND(I857*INDEX(과지급률범위,E857),0)</f>
        <v/>
      </c>
      <c r="N857" s="2">
        <f>MAX(0,L857-M857)</f>
        <v/>
      </c>
      <c r="O857" s="2">
        <f>K857-N857</f>
        <v/>
      </c>
      <c r="P857" s="2">
        <f>I857-N857</f>
        <v/>
      </c>
      <c r="Q857" s="5">
        <f>IF(G857&gt;기준일,1,0)</f>
        <v/>
      </c>
      <c r="R857" s="5">
        <f>IF(G857&lt;=기준일,1,0)</f>
        <v/>
      </c>
      <c r="S857" s="2">
        <f>J857*H857</f>
        <v/>
      </c>
      <c r="T857" s="5">
        <f>IF(AND(F857&gt;=표본시작,F857&lt;=표본종료),1,0)</f>
        <v/>
      </c>
      <c r="U857" s="5">
        <f>IF(AND(G857&gt;=조회시작,G857&lt;=조회종료),1,0)</f>
        <v/>
      </c>
    </row>
    <row r="858">
      <c r="A858" s="2">
        <f>ROW()-1</f>
        <v/>
      </c>
      <c r="B858" s="5">
        <f>INDEX(상호범위,D858)</f>
        <v/>
      </c>
      <c r="C858" s="5">
        <f>INDEX(플랫폼명범위,E858)</f>
        <v/>
      </c>
      <c r="D858" s="2">
        <f>MOD(INT((A858-1)/4),8)+1</f>
        <v/>
      </c>
      <c r="E858" s="2">
        <f>MOD(A858-1,4)+1</f>
        <v/>
      </c>
      <c r="F858" s="20">
        <f>축시작+INT((A858-1)/32)</f>
        <v/>
      </c>
      <c r="G858" s="20">
        <f>F858+H858</f>
        <v/>
      </c>
      <c r="H858" s="5" t="n">
        <v>1</v>
      </c>
      <c r="I858" s="2">
        <f>ROUND(INDEX(가맹점!$P$2:$P$9,D858)*INDEX(가맹점!$J$2:$M$9,D858,E858),0)</f>
        <v/>
      </c>
      <c r="J858" s="2">
        <f>ROUND(I858*(1-할인율),0)</f>
        <v/>
      </c>
      <c r="K858" s="2">
        <f>ROUNDDOWN(I858*할인율,0)</f>
        <v/>
      </c>
      <c r="L858" s="2">
        <f>ROUND(I858*INDEX(미지급률범위,E858),0)</f>
        <v/>
      </c>
      <c r="M858" s="2">
        <f>ROUND(I858*INDEX(과지급률범위,E858),0)</f>
        <v/>
      </c>
      <c r="N858" s="2">
        <f>MAX(0,L858-M858)</f>
        <v/>
      </c>
      <c r="O858" s="2">
        <f>K858-N858</f>
        <v/>
      </c>
      <c r="P858" s="2">
        <f>I858-N858</f>
        <v/>
      </c>
      <c r="Q858" s="5">
        <f>IF(G858&gt;기준일,1,0)</f>
        <v/>
      </c>
      <c r="R858" s="5">
        <f>IF(G858&lt;=기준일,1,0)</f>
        <v/>
      </c>
      <c r="S858" s="2">
        <f>J858*H858</f>
        <v/>
      </c>
      <c r="T858" s="5">
        <f>IF(AND(F858&gt;=표본시작,F858&lt;=표본종료),1,0)</f>
        <v/>
      </c>
      <c r="U858" s="5">
        <f>IF(AND(G858&gt;=조회시작,G858&lt;=조회종료),1,0)</f>
        <v/>
      </c>
    </row>
    <row r="859">
      <c r="A859" s="2">
        <f>ROW()-1</f>
        <v/>
      </c>
      <c r="B859" s="5">
        <f>INDEX(상호범위,D859)</f>
        <v/>
      </c>
      <c r="C859" s="5">
        <f>INDEX(플랫폼명범위,E859)</f>
        <v/>
      </c>
      <c r="D859" s="2">
        <f>MOD(INT((A859-1)/4),8)+1</f>
        <v/>
      </c>
      <c r="E859" s="2">
        <f>MOD(A859-1,4)+1</f>
        <v/>
      </c>
      <c r="F859" s="20">
        <f>축시작+INT((A859-1)/32)</f>
        <v/>
      </c>
      <c r="G859" s="20">
        <f>F859+H859</f>
        <v/>
      </c>
      <c r="H859" s="5" t="n">
        <v>3</v>
      </c>
      <c r="I859" s="2">
        <f>ROUND(INDEX(가맹점!$P$2:$P$9,D859)*INDEX(가맹점!$J$2:$M$9,D859,E859),0)</f>
        <v/>
      </c>
      <c r="J859" s="2">
        <f>ROUND(I859*(1-할인율),0)</f>
        <v/>
      </c>
      <c r="K859" s="2">
        <f>ROUNDDOWN(I859*할인율,0)</f>
        <v/>
      </c>
      <c r="L859" s="2">
        <f>ROUND(I859*INDEX(미지급률범위,E859),0)</f>
        <v/>
      </c>
      <c r="M859" s="2">
        <f>ROUND(I859*INDEX(과지급률범위,E859),0)</f>
        <v/>
      </c>
      <c r="N859" s="2">
        <f>MAX(0,L859-M859)</f>
        <v/>
      </c>
      <c r="O859" s="2">
        <f>K859-N859</f>
        <v/>
      </c>
      <c r="P859" s="2">
        <f>I859-N859</f>
        <v/>
      </c>
      <c r="Q859" s="5">
        <f>IF(G859&gt;기준일,1,0)</f>
        <v/>
      </c>
      <c r="R859" s="5">
        <f>IF(G859&lt;=기준일,1,0)</f>
        <v/>
      </c>
      <c r="S859" s="2">
        <f>J859*H859</f>
        <v/>
      </c>
      <c r="T859" s="5">
        <f>IF(AND(F859&gt;=표본시작,F859&lt;=표본종료),1,0)</f>
        <v/>
      </c>
      <c r="U859" s="5">
        <f>IF(AND(G859&gt;=조회시작,G859&lt;=조회종료),1,0)</f>
        <v/>
      </c>
    </row>
    <row r="860">
      <c r="A860" s="2">
        <f>ROW()-1</f>
        <v/>
      </c>
      <c r="B860" s="5">
        <f>INDEX(상호범위,D860)</f>
        <v/>
      </c>
      <c r="C860" s="5">
        <f>INDEX(플랫폼명범위,E860)</f>
        <v/>
      </c>
      <c r="D860" s="2">
        <f>MOD(INT((A860-1)/4),8)+1</f>
        <v/>
      </c>
      <c r="E860" s="2">
        <f>MOD(A860-1,4)+1</f>
        <v/>
      </c>
      <c r="F860" s="20">
        <f>축시작+INT((A860-1)/32)</f>
        <v/>
      </c>
      <c r="G860" s="20">
        <f>F860+H860</f>
        <v/>
      </c>
      <c r="H860" s="5" t="n">
        <v>3</v>
      </c>
      <c r="I860" s="2">
        <f>ROUND(INDEX(가맹점!$P$2:$P$9,D860)*INDEX(가맹점!$J$2:$M$9,D860,E860),0)</f>
        <v/>
      </c>
      <c r="J860" s="2">
        <f>ROUND(I860*(1-할인율),0)</f>
        <v/>
      </c>
      <c r="K860" s="2">
        <f>ROUNDDOWN(I860*할인율,0)</f>
        <v/>
      </c>
      <c r="L860" s="2">
        <f>ROUND(I860*INDEX(미지급률범위,E860),0)</f>
        <v/>
      </c>
      <c r="M860" s="2">
        <f>ROUND(I860*INDEX(과지급률범위,E860),0)</f>
        <v/>
      </c>
      <c r="N860" s="2">
        <f>MAX(0,L860-M860)</f>
        <v/>
      </c>
      <c r="O860" s="2">
        <f>K860-N860</f>
        <v/>
      </c>
      <c r="P860" s="2">
        <f>I860-N860</f>
        <v/>
      </c>
      <c r="Q860" s="5">
        <f>IF(G860&gt;기준일,1,0)</f>
        <v/>
      </c>
      <c r="R860" s="5">
        <f>IF(G860&lt;=기준일,1,0)</f>
        <v/>
      </c>
      <c r="S860" s="2">
        <f>J860*H860</f>
        <v/>
      </c>
      <c r="T860" s="5">
        <f>IF(AND(F860&gt;=표본시작,F860&lt;=표본종료),1,0)</f>
        <v/>
      </c>
      <c r="U860" s="5">
        <f>IF(AND(G860&gt;=조회시작,G860&lt;=조회종료),1,0)</f>
        <v/>
      </c>
    </row>
    <row r="861">
      <c r="A861" s="2">
        <f>ROW()-1</f>
        <v/>
      </c>
      <c r="B861" s="5">
        <f>INDEX(상호범위,D861)</f>
        <v/>
      </c>
      <c r="C861" s="5">
        <f>INDEX(플랫폼명범위,E861)</f>
        <v/>
      </c>
      <c r="D861" s="2">
        <f>MOD(INT((A861-1)/4),8)+1</f>
        <v/>
      </c>
      <c r="E861" s="2">
        <f>MOD(A861-1,4)+1</f>
        <v/>
      </c>
      <c r="F861" s="20">
        <f>축시작+INT((A861-1)/32)</f>
        <v/>
      </c>
      <c r="G861" s="20">
        <f>F861+H861</f>
        <v/>
      </c>
      <c r="H861" s="5" t="n">
        <v>6</v>
      </c>
      <c r="I861" s="2">
        <f>ROUND(INDEX(가맹점!$P$2:$P$9,D861)*INDEX(가맹점!$J$2:$M$9,D861,E861),0)</f>
        <v/>
      </c>
      <c r="J861" s="2">
        <f>ROUND(I861*(1-할인율),0)</f>
        <v/>
      </c>
      <c r="K861" s="2">
        <f>ROUNDDOWN(I861*할인율,0)</f>
        <v/>
      </c>
      <c r="L861" s="2">
        <f>ROUND(I861*INDEX(미지급률범위,E861),0)</f>
        <v/>
      </c>
      <c r="M861" s="2">
        <f>ROUND(I861*INDEX(과지급률범위,E861),0)</f>
        <v/>
      </c>
      <c r="N861" s="2">
        <f>MAX(0,L861-M861)</f>
        <v/>
      </c>
      <c r="O861" s="2">
        <f>K861-N861</f>
        <v/>
      </c>
      <c r="P861" s="2">
        <f>I861-N861</f>
        <v/>
      </c>
      <c r="Q861" s="5">
        <f>IF(G861&gt;기준일,1,0)</f>
        <v/>
      </c>
      <c r="R861" s="5">
        <f>IF(G861&lt;=기준일,1,0)</f>
        <v/>
      </c>
      <c r="S861" s="2">
        <f>J861*H861</f>
        <v/>
      </c>
      <c r="T861" s="5">
        <f>IF(AND(F861&gt;=표본시작,F861&lt;=표본종료),1,0)</f>
        <v/>
      </c>
      <c r="U861" s="5">
        <f>IF(AND(G861&gt;=조회시작,G861&lt;=조회종료),1,0)</f>
        <v/>
      </c>
    </row>
    <row r="862">
      <c r="A862" s="2">
        <f>ROW()-1</f>
        <v/>
      </c>
      <c r="B862" s="5">
        <f>INDEX(상호범위,D862)</f>
        <v/>
      </c>
      <c r="C862" s="5">
        <f>INDEX(플랫폼명범위,E862)</f>
        <v/>
      </c>
      <c r="D862" s="2">
        <f>MOD(INT((A862-1)/4),8)+1</f>
        <v/>
      </c>
      <c r="E862" s="2">
        <f>MOD(A862-1,4)+1</f>
        <v/>
      </c>
      <c r="F862" s="20">
        <f>축시작+INT((A862-1)/32)</f>
        <v/>
      </c>
      <c r="G862" s="20">
        <f>F862+H862</f>
        <v/>
      </c>
      <c r="H862" s="5" t="n">
        <v>1</v>
      </c>
      <c r="I862" s="2">
        <f>ROUND(INDEX(가맹점!$P$2:$P$9,D862)*INDEX(가맹점!$J$2:$M$9,D862,E862),0)</f>
        <v/>
      </c>
      <c r="J862" s="2">
        <f>ROUND(I862*(1-할인율),0)</f>
        <v/>
      </c>
      <c r="K862" s="2">
        <f>ROUNDDOWN(I862*할인율,0)</f>
        <v/>
      </c>
      <c r="L862" s="2">
        <f>ROUND(I862*INDEX(미지급률범위,E862),0)</f>
        <v/>
      </c>
      <c r="M862" s="2">
        <f>ROUND(I862*INDEX(과지급률범위,E862),0)</f>
        <v/>
      </c>
      <c r="N862" s="2">
        <f>MAX(0,L862-M862)</f>
        <v/>
      </c>
      <c r="O862" s="2">
        <f>K862-N862</f>
        <v/>
      </c>
      <c r="P862" s="2">
        <f>I862-N862</f>
        <v/>
      </c>
      <c r="Q862" s="5">
        <f>IF(G862&gt;기준일,1,0)</f>
        <v/>
      </c>
      <c r="R862" s="5">
        <f>IF(G862&lt;=기준일,1,0)</f>
        <v/>
      </c>
      <c r="S862" s="2">
        <f>J862*H862</f>
        <v/>
      </c>
      <c r="T862" s="5">
        <f>IF(AND(F862&gt;=표본시작,F862&lt;=표본종료),1,0)</f>
        <v/>
      </c>
      <c r="U862" s="5">
        <f>IF(AND(G862&gt;=조회시작,G862&lt;=조회종료),1,0)</f>
        <v/>
      </c>
    </row>
    <row r="863">
      <c r="A863" s="2">
        <f>ROW()-1</f>
        <v/>
      </c>
      <c r="B863" s="5">
        <f>INDEX(상호범위,D863)</f>
        <v/>
      </c>
      <c r="C863" s="5">
        <f>INDEX(플랫폼명범위,E863)</f>
        <v/>
      </c>
      <c r="D863" s="2">
        <f>MOD(INT((A863-1)/4),8)+1</f>
        <v/>
      </c>
      <c r="E863" s="2">
        <f>MOD(A863-1,4)+1</f>
        <v/>
      </c>
      <c r="F863" s="20">
        <f>축시작+INT((A863-1)/32)</f>
        <v/>
      </c>
      <c r="G863" s="20">
        <f>F863+H863</f>
        <v/>
      </c>
      <c r="H863" s="5" t="n">
        <v>2</v>
      </c>
      <c r="I863" s="2">
        <f>ROUND(INDEX(가맹점!$P$2:$P$9,D863)*INDEX(가맹점!$J$2:$M$9,D863,E863),0)</f>
        <v/>
      </c>
      <c r="J863" s="2">
        <f>ROUND(I863*(1-할인율),0)</f>
        <v/>
      </c>
      <c r="K863" s="2">
        <f>ROUNDDOWN(I863*할인율,0)</f>
        <v/>
      </c>
      <c r="L863" s="2">
        <f>ROUND(I863*INDEX(미지급률범위,E863),0)</f>
        <v/>
      </c>
      <c r="M863" s="2">
        <f>ROUND(I863*INDEX(과지급률범위,E863),0)</f>
        <v/>
      </c>
      <c r="N863" s="2">
        <f>MAX(0,L863-M863)</f>
        <v/>
      </c>
      <c r="O863" s="2">
        <f>K863-N863</f>
        <v/>
      </c>
      <c r="P863" s="2">
        <f>I863-N863</f>
        <v/>
      </c>
      <c r="Q863" s="5">
        <f>IF(G863&gt;기준일,1,0)</f>
        <v/>
      </c>
      <c r="R863" s="5">
        <f>IF(G863&lt;=기준일,1,0)</f>
        <v/>
      </c>
      <c r="S863" s="2">
        <f>J863*H863</f>
        <v/>
      </c>
      <c r="T863" s="5">
        <f>IF(AND(F863&gt;=표본시작,F863&lt;=표본종료),1,0)</f>
        <v/>
      </c>
      <c r="U863" s="5">
        <f>IF(AND(G863&gt;=조회시작,G863&lt;=조회종료),1,0)</f>
        <v/>
      </c>
    </row>
    <row r="864">
      <c r="A864" s="2">
        <f>ROW()-1</f>
        <v/>
      </c>
      <c r="B864" s="5">
        <f>INDEX(상호범위,D864)</f>
        <v/>
      </c>
      <c r="C864" s="5">
        <f>INDEX(플랫폼명범위,E864)</f>
        <v/>
      </c>
      <c r="D864" s="2">
        <f>MOD(INT((A864-1)/4),8)+1</f>
        <v/>
      </c>
      <c r="E864" s="2">
        <f>MOD(A864-1,4)+1</f>
        <v/>
      </c>
      <c r="F864" s="20">
        <f>축시작+INT((A864-1)/32)</f>
        <v/>
      </c>
      <c r="G864" s="20">
        <f>F864+H864</f>
        <v/>
      </c>
      <c r="H864" s="5" t="n">
        <v>5</v>
      </c>
      <c r="I864" s="2">
        <f>ROUND(INDEX(가맹점!$P$2:$P$9,D864)*INDEX(가맹점!$J$2:$M$9,D864,E864),0)</f>
        <v/>
      </c>
      <c r="J864" s="2">
        <f>ROUND(I864*(1-할인율),0)</f>
        <v/>
      </c>
      <c r="K864" s="2">
        <f>ROUNDDOWN(I864*할인율,0)</f>
        <v/>
      </c>
      <c r="L864" s="2">
        <f>ROUND(I864*INDEX(미지급률범위,E864),0)</f>
        <v/>
      </c>
      <c r="M864" s="2">
        <f>ROUND(I864*INDEX(과지급률범위,E864),0)</f>
        <v/>
      </c>
      <c r="N864" s="2">
        <f>MAX(0,L864-M864)</f>
        <v/>
      </c>
      <c r="O864" s="2">
        <f>K864-N864</f>
        <v/>
      </c>
      <c r="P864" s="2">
        <f>I864-N864</f>
        <v/>
      </c>
      <c r="Q864" s="5">
        <f>IF(G864&gt;기준일,1,0)</f>
        <v/>
      </c>
      <c r="R864" s="5">
        <f>IF(G864&lt;=기준일,1,0)</f>
        <v/>
      </c>
      <c r="S864" s="2">
        <f>J864*H864</f>
        <v/>
      </c>
      <c r="T864" s="5">
        <f>IF(AND(F864&gt;=표본시작,F864&lt;=표본종료),1,0)</f>
        <v/>
      </c>
      <c r="U864" s="5">
        <f>IF(AND(G864&gt;=조회시작,G864&lt;=조회종료),1,0)</f>
        <v/>
      </c>
    </row>
    <row r="865">
      <c r="A865" s="2">
        <f>ROW()-1</f>
        <v/>
      </c>
      <c r="B865" s="5">
        <f>INDEX(상호범위,D865)</f>
        <v/>
      </c>
      <c r="C865" s="5">
        <f>INDEX(플랫폼명범위,E865)</f>
        <v/>
      </c>
      <c r="D865" s="2">
        <f>MOD(INT((A865-1)/4),8)+1</f>
        <v/>
      </c>
      <c r="E865" s="2">
        <f>MOD(A865-1,4)+1</f>
        <v/>
      </c>
      <c r="F865" s="20">
        <f>축시작+INT((A865-1)/32)</f>
        <v/>
      </c>
      <c r="G865" s="20">
        <f>F865+H865</f>
        <v/>
      </c>
      <c r="H865" s="5" t="n">
        <v>6</v>
      </c>
      <c r="I865" s="2">
        <f>ROUND(INDEX(가맹점!$P$2:$P$9,D865)*INDEX(가맹점!$J$2:$M$9,D865,E865),0)</f>
        <v/>
      </c>
      <c r="J865" s="2">
        <f>ROUND(I865*(1-할인율),0)</f>
        <v/>
      </c>
      <c r="K865" s="2">
        <f>ROUNDDOWN(I865*할인율,0)</f>
        <v/>
      </c>
      <c r="L865" s="2">
        <f>ROUND(I865*INDEX(미지급률범위,E865),0)</f>
        <v/>
      </c>
      <c r="M865" s="2">
        <f>ROUND(I865*INDEX(과지급률범위,E865),0)</f>
        <v/>
      </c>
      <c r="N865" s="2">
        <f>MAX(0,L865-M865)</f>
        <v/>
      </c>
      <c r="O865" s="2">
        <f>K865-N865</f>
        <v/>
      </c>
      <c r="P865" s="2">
        <f>I865-N865</f>
        <v/>
      </c>
      <c r="Q865" s="5">
        <f>IF(G865&gt;기준일,1,0)</f>
        <v/>
      </c>
      <c r="R865" s="5">
        <f>IF(G865&lt;=기준일,1,0)</f>
        <v/>
      </c>
      <c r="S865" s="2">
        <f>J865*H865</f>
        <v/>
      </c>
      <c r="T865" s="5">
        <f>IF(AND(F865&gt;=표본시작,F865&lt;=표본종료),1,0)</f>
        <v/>
      </c>
      <c r="U865" s="5">
        <f>IF(AND(G865&gt;=조회시작,G865&lt;=조회종료),1,0)</f>
        <v/>
      </c>
    </row>
    <row r="866">
      <c r="A866" s="2">
        <f>ROW()-1</f>
        <v/>
      </c>
      <c r="B866" s="5">
        <f>INDEX(상호범위,D866)</f>
        <v/>
      </c>
      <c r="C866" s="5">
        <f>INDEX(플랫폼명범위,E866)</f>
        <v/>
      </c>
      <c r="D866" s="2">
        <f>MOD(INT((A866-1)/4),8)+1</f>
        <v/>
      </c>
      <c r="E866" s="2">
        <f>MOD(A866-1,4)+1</f>
        <v/>
      </c>
      <c r="F866" s="20">
        <f>축시작+INT((A866-1)/32)</f>
        <v/>
      </c>
      <c r="G866" s="20">
        <f>F866+H866</f>
        <v/>
      </c>
      <c r="H866" s="5" t="n">
        <v>1</v>
      </c>
      <c r="I866" s="2">
        <f>ROUND(INDEX(가맹점!$P$2:$P$9,D866)*INDEX(가맹점!$J$2:$M$9,D866,E866),0)</f>
        <v/>
      </c>
      <c r="J866" s="2">
        <f>ROUND(I866*(1-할인율),0)</f>
        <v/>
      </c>
      <c r="K866" s="2">
        <f>ROUNDDOWN(I866*할인율,0)</f>
        <v/>
      </c>
      <c r="L866" s="2">
        <f>ROUND(I866*INDEX(미지급률범위,E866),0)</f>
        <v/>
      </c>
      <c r="M866" s="2">
        <f>ROUND(I866*INDEX(과지급률범위,E866),0)</f>
        <v/>
      </c>
      <c r="N866" s="2">
        <f>MAX(0,L866-M866)</f>
        <v/>
      </c>
      <c r="O866" s="2">
        <f>K866-N866</f>
        <v/>
      </c>
      <c r="P866" s="2">
        <f>I866-N866</f>
        <v/>
      </c>
      <c r="Q866" s="5">
        <f>IF(G866&gt;기준일,1,0)</f>
        <v/>
      </c>
      <c r="R866" s="5">
        <f>IF(G866&lt;=기준일,1,0)</f>
        <v/>
      </c>
      <c r="S866" s="2">
        <f>J866*H866</f>
        <v/>
      </c>
      <c r="T866" s="5">
        <f>IF(AND(F866&gt;=표본시작,F866&lt;=표본종료),1,0)</f>
        <v/>
      </c>
      <c r="U866" s="5">
        <f>IF(AND(G866&gt;=조회시작,G866&lt;=조회종료),1,0)</f>
        <v/>
      </c>
    </row>
    <row r="867">
      <c r="A867" s="2">
        <f>ROW()-1</f>
        <v/>
      </c>
      <c r="B867" s="5">
        <f>INDEX(상호범위,D867)</f>
        <v/>
      </c>
      <c r="C867" s="5">
        <f>INDEX(플랫폼명범위,E867)</f>
        <v/>
      </c>
      <c r="D867" s="2">
        <f>MOD(INT((A867-1)/4),8)+1</f>
        <v/>
      </c>
      <c r="E867" s="2">
        <f>MOD(A867-1,4)+1</f>
        <v/>
      </c>
      <c r="F867" s="20">
        <f>축시작+INT((A867-1)/32)</f>
        <v/>
      </c>
      <c r="G867" s="20">
        <f>F867+H867</f>
        <v/>
      </c>
      <c r="H867" s="5" t="n">
        <v>4</v>
      </c>
      <c r="I867" s="2">
        <f>ROUND(INDEX(가맹점!$P$2:$P$9,D867)*INDEX(가맹점!$J$2:$M$9,D867,E867),0)</f>
        <v/>
      </c>
      <c r="J867" s="2">
        <f>ROUND(I867*(1-할인율),0)</f>
        <v/>
      </c>
      <c r="K867" s="2">
        <f>ROUNDDOWN(I867*할인율,0)</f>
        <v/>
      </c>
      <c r="L867" s="2">
        <f>ROUND(I867*INDEX(미지급률범위,E867),0)</f>
        <v/>
      </c>
      <c r="M867" s="2">
        <f>ROUND(I867*INDEX(과지급률범위,E867),0)</f>
        <v/>
      </c>
      <c r="N867" s="2">
        <f>MAX(0,L867-M867)</f>
        <v/>
      </c>
      <c r="O867" s="2">
        <f>K867-N867</f>
        <v/>
      </c>
      <c r="P867" s="2">
        <f>I867-N867</f>
        <v/>
      </c>
      <c r="Q867" s="5">
        <f>IF(G867&gt;기준일,1,0)</f>
        <v/>
      </c>
      <c r="R867" s="5">
        <f>IF(G867&lt;=기준일,1,0)</f>
        <v/>
      </c>
      <c r="S867" s="2">
        <f>J867*H867</f>
        <v/>
      </c>
      <c r="T867" s="5">
        <f>IF(AND(F867&gt;=표본시작,F867&lt;=표본종료),1,0)</f>
        <v/>
      </c>
      <c r="U867" s="5">
        <f>IF(AND(G867&gt;=조회시작,G867&lt;=조회종료),1,0)</f>
        <v/>
      </c>
    </row>
    <row r="868">
      <c r="A868" s="2">
        <f>ROW()-1</f>
        <v/>
      </c>
      <c r="B868" s="5">
        <f>INDEX(상호범위,D868)</f>
        <v/>
      </c>
      <c r="C868" s="5">
        <f>INDEX(플랫폼명범위,E868)</f>
        <v/>
      </c>
      <c r="D868" s="2">
        <f>MOD(INT((A868-1)/4),8)+1</f>
        <v/>
      </c>
      <c r="E868" s="2">
        <f>MOD(A868-1,4)+1</f>
        <v/>
      </c>
      <c r="F868" s="20">
        <f>축시작+INT((A868-1)/32)</f>
        <v/>
      </c>
      <c r="G868" s="20">
        <f>F868+H868</f>
        <v/>
      </c>
      <c r="H868" s="5" t="n">
        <v>5</v>
      </c>
      <c r="I868" s="2">
        <f>ROUND(INDEX(가맹점!$P$2:$P$9,D868)*INDEX(가맹점!$J$2:$M$9,D868,E868),0)</f>
        <v/>
      </c>
      <c r="J868" s="2">
        <f>ROUND(I868*(1-할인율),0)</f>
        <v/>
      </c>
      <c r="K868" s="2">
        <f>ROUNDDOWN(I868*할인율,0)</f>
        <v/>
      </c>
      <c r="L868" s="2">
        <f>ROUND(I868*INDEX(미지급률범위,E868),0)</f>
        <v/>
      </c>
      <c r="M868" s="2">
        <f>ROUND(I868*INDEX(과지급률범위,E868),0)</f>
        <v/>
      </c>
      <c r="N868" s="2">
        <f>MAX(0,L868-M868)</f>
        <v/>
      </c>
      <c r="O868" s="2">
        <f>K868-N868</f>
        <v/>
      </c>
      <c r="P868" s="2">
        <f>I868-N868</f>
        <v/>
      </c>
      <c r="Q868" s="5">
        <f>IF(G868&gt;기준일,1,0)</f>
        <v/>
      </c>
      <c r="R868" s="5">
        <f>IF(G868&lt;=기준일,1,0)</f>
        <v/>
      </c>
      <c r="S868" s="2">
        <f>J868*H868</f>
        <v/>
      </c>
      <c r="T868" s="5">
        <f>IF(AND(F868&gt;=표본시작,F868&lt;=표본종료),1,0)</f>
        <v/>
      </c>
      <c r="U868" s="5">
        <f>IF(AND(G868&gt;=조회시작,G868&lt;=조회종료),1,0)</f>
        <v/>
      </c>
    </row>
    <row r="869">
      <c r="A869" s="2">
        <f>ROW()-1</f>
        <v/>
      </c>
      <c r="B869" s="5">
        <f>INDEX(상호범위,D869)</f>
        <v/>
      </c>
      <c r="C869" s="5">
        <f>INDEX(플랫폼명범위,E869)</f>
        <v/>
      </c>
      <c r="D869" s="2">
        <f>MOD(INT((A869-1)/4),8)+1</f>
        <v/>
      </c>
      <c r="E869" s="2">
        <f>MOD(A869-1,4)+1</f>
        <v/>
      </c>
      <c r="F869" s="20">
        <f>축시작+INT((A869-1)/32)</f>
        <v/>
      </c>
      <c r="G869" s="20">
        <f>F869+H869</f>
        <v/>
      </c>
      <c r="H869" s="5" t="n">
        <v>9</v>
      </c>
      <c r="I869" s="2">
        <f>ROUND(INDEX(가맹점!$P$2:$P$9,D869)*INDEX(가맹점!$J$2:$M$9,D869,E869),0)</f>
        <v/>
      </c>
      <c r="J869" s="2">
        <f>ROUND(I869*(1-할인율),0)</f>
        <v/>
      </c>
      <c r="K869" s="2">
        <f>ROUNDDOWN(I869*할인율,0)</f>
        <v/>
      </c>
      <c r="L869" s="2">
        <f>ROUND(I869*INDEX(미지급률범위,E869),0)</f>
        <v/>
      </c>
      <c r="M869" s="2">
        <f>ROUND(I869*INDEX(과지급률범위,E869),0)</f>
        <v/>
      </c>
      <c r="N869" s="2">
        <f>MAX(0,L869-M869)</f>
        <v/>
      </c>
      <c r="O869" s="2">
        <f>K869-N869</f>
        <v/>
      </c>
      <c r="P869" s="2">
        <f>I869-N869</f>
        <v/>
      </c>
      <c r="Q869" s="5">
        <f>IF(G869&gt;기준일,1,0)</f>
        <v/>
      </c>
      <c r="R869" s="5">
        <f>IF(G869&lt;=기준일,1,0)</f>
        <v/>
      </c>
      <c r="S869" s="2">
        <f>J869*H869</f>
        <v/>
      </c>
      <c r="T869" s="5">
        <f>IF(AND(F869&gt;=표본시작,F869&lt;=표본종료),1,0)</f>
        <v/>
      </c>
      <c r="U869" s="5">
        <f>IF(AND(G869&gt;=조회시작,G869&lt;=조회종료),1,0)</f>
        <v/>
      </c>
    </row>
    <row r="870">
      <c r="A870" s="2">
        <f>ROW()-1</f>
        <v/>
      </c>
      <c r="B870" s="5">
        <f>INDEX(상호범위,D870)</f>
        <v/>
      </c>
      <c r="C870" s="5">
        <f>INDEX(플랫폼명범위,E870)</f>
        <v/>
      </c>
      <c r="D870" s="2">
        <f>MOD(INT((A870-1)/4),8)+1</f>
        <v/>
      </c>
      <c r="E870" s="2">
        <f>MOD(A870-1,4)+1</f>
        <v/>
      </c>
      <c r="F870" s="20">
        <f>축시작+INT((A870-1)/32)</f>
        <v/>
      </c>
      <c r="G870" s="20">
        <f>F870+H870</f>
        <v/>
      </c>
      <c r="H870" s="5" t="n">
        <v>3</v>
      </c>
      <c r="I870" s="2">
        <f>ROUND(INDEX(가맹점!$P$2:$P$9,D870)*INDEX(가맹점!$J$2:$M$9,D870,E870),0)</f>
        <v/>
      </c>
      <c r="J870" s="2">
        <f>ROUND(I870*(1-할인율),0)</f>
        <v/>
      </c>
      <c r="K870" s="2">
        <f>ROUNDDOWN(I870*할인율,0)</f>
        <v/>
      </c>
      <c r="L870" s="2">
        <f>ROUND(I870*INDEX(미지급률범위,E870),0)</f>
        <v/>
      </c>
      <c r="M870" s="2">
        <f>ROUND(I870*INDEX(과지급률범위,E870),0)</f>
        <v/>
      </c>
      <c r="N870" s="2">
        <f>MAX(0,L870-M870)</f>
        <v/>
      </c>
      <c r="O870" s="2">
        <f>K870-N870</f>
        <v/>
      </c>
      <c r="P870" s="2">
        <f>I870-N870</f>
        <v/>
      </c>
      <c r="Q870" s="5">
        <f>IF(G870&gt;기준일,1,0)</f>
        <v/>
      </c>
      <c r="R870" s="5">
        <f>IF(G870&lt;=기준일,1,0)</f>
        <v/>
      </c>
      <c r="S870" s="2">
        <f>J870*H870</f>
        <v/>
      </c>
      <c r="T870" s="5">
        <f>IF(AND(F870&gt;=표본시작,F870&lt;=표본종료),1,0)</f>
        <v/>
      </c>
      <c r="U870" s="5">
        <f>IF(AND(G870&gt;=조회시작,G870&lt;=조회종료),1,0)</f>
        <v/>
      </c>
    </row>
    <row r="871">
      <c r="A871" s="2">
        <f>ROW()-1</f>
        <v/>
      </c>
      <c r="B871" s="5">
        <f>INDEX(상호범위,D871)</f>
        <v/>
      </c>
      <c r="C871" s="5">
        <f>INDEX(플랫폼명범위,E871)</f>
        <v/>
      </c>
      <c r="D871" s="2">
        <f>MOD(INT((A871-1)/4),8)+1</f>
        <v/>
      </c>
      <c r="E871" s="2">
        <f>MOD(A871-1,4)+1</f>
        <v/>
      </c>
      <c r="F871" s="20">
        <f>축시작+INT((A871-1)/32)</f>
        <v/>
      </c>
      <c r="G871" s="20">
        <f>F871+H871</f>
        <v/>
      </c>
      <c r="H871" s="5" t="n">
        <v>2</v>
      </c>
      <c r="I871" s="2">
        <f>ROUND(INDEX(가맹점!$P$2:$P$9,D871)*INDEX(가맹점!$J$2:$M$9,D871,E871),0)</f>
        <v/>
      </c>
      <c r="J871" s="2">
        <f>ROUND(I871*(1-할인율),0)</f>
        <v/>
      </c>
      <c r="K871" s="2">
        <f>ROUNDDOWN(I871*할인율,0)</f>
        <v/>
      </c>
      <c r="L871" s="2">
        <f>ROUND(I871*INDEX(미지급률범위,E871),0)</f>
        <v/>
      </c>
      <c r="M871" s="2">
        <f>ROUND(I871*INDEX(과지급률범위,E871),0)</f>
        <v/>
      </c>
      <c r="N871" s="2">
        <f>MAX(0,L871-M871)</f>
        <v/>
      </c>
      <c r="O871" s="2">
        <f>K871-N871</f>
        <v/>
      </c>
      <c r="P871" s="2">
        <f>I871-N871</f>
        <v/>
      </c>
      <c r="Q871" s="5">
        <f>IF(G871&gt;기준일,1,0)</f>
        <v/>
      </c>
      <c r="R871" s="5">
        <f>IF(G871&lt;=기준일,1,0)</f>
        <v/>
      </c>
      <c r="S871" s="2">
        <f>J871*H871</f>
        <v/>
      </c>
      <c r="T871" s="5">
        <f>IF(AND(F871&gt;=표본시작,F871&lt;=표본종료),1,0)</f>
        <v/>
      </c>
      <c r="U871" s="5">
        <f>IF(AND(G871&gt;=조회시작,G871&lt;=조회종료),1,0)</f>
        <v/>
      </c>
    </row>
    <row r="872">
      <c r="A872" s="2">
        <f>ROW()-1</f>
        <v/>
      </c>
      <c r="B872" s="5">
        <f>INDEX(상호범위,D872)</f>
        <v/>
      </c>
      <c r="C872" s="5">
        <f>INDEX(플랫폼명범위,E872)</f>
        <v/>
      </c>
      <c r="D872" s="2">
        <f>MOD(INT((A872-1)/4),8)+1</f>
        <v/>
      </c>
      <c r="E872" s="2">
        <f>MOD(A872-1,4)+1</f>
        <v/>
      </c>
      <c r="F872" s="20">
        <f>축시작+INT((A872-1)/32)</f>
        <v/>
      </c>
      <c r="G872" s="20">
        <f>F872+H872</f>
        <v/>
      </c>
      <c r="H872" s="5" t="n">
        <v>7</v>
      </c>
      <c r="I872" s="2">
        <f>ROUND(INDEX(가맹점!$P$2:$P$9,D872)*INDEX(가맹점!$J$2:$M$9,D872,E872),0)</f>
        <v/>
      </c>
      <c r="J872" s="2">
        <f>ROUND(I872*(1-할인율),0)</f>
        <v/>
      </c>
      <c r="K872" s="2">
        <f>ROUNDDOWN(I872*할인율,0)</f>
        <v/>
      </c>
      <c r="L872" s="2">
        <f>ROUND(I872*INDEX(미지급률범위,E872),0)</f>
        <v/>
      </c>
      <c r="M872" s="2">
        <f>ROUND(I872*INDEX(과지급률범위,E872),0)</f>
        <v/>
      </c>
      <c r="N872" s="2">
        <f>MAX(0,L872-M872)</f>
        <v/>
      </c>
      <c r="O872" s="2">
        <f>K872-N872</f>
        <v/>
      </c>
      <c r="P872" s="2">
        <f>I872-N872</f>
        <v/>
      </c>
      <c r="Q872" s="5">
        <f>IF(G872&gt;기준일,1,0)</f>
        <v/>
      </c>
      <c r="R872" s="5">
        <f>IF(G872&lt;=기준일,1,0)</f>
        <v/>
      </c>
      <c r="S872" s="2">
        <f>J872*H872</f>
        <v/>
      </c>
      <c r="T872" s="5">
        <f>IF(AND(F872&gt;=표본시작,F872&lt;=표본종료),1,0)</f>
        <v/>
      </c>
      <c r="U872" s="5">
        <f>IF(AND(G872&gt;=조회시작,G872&lt;=조회종료),1,0)</f>
        <v/>
      </c>
    </row>
    <row r="873">
      <c r="A873" s="2">
        <f>ROW()-1</f>
        <v/>
      </c>
      <c r="B873" s="5">
        <f>INDEX(상호범위,D873)</f>
        <v/>
      </c>
      <c r="C873" s="5">
        <f>INDEX(플랫폼명범위,E873)</f>
        <v/>
      </c>
      <c r="D873" s="2">
        <f>MOD(INT((A873-1)/4),8)+1</f>
        <v/>
      </c>
      <c r="E873" s="2">
        <f>MOD(A873-1,4)+1</f>
        <v/>
      </c>
      <c r="F873" s="20">
        <f>축시작+INT((A873-1)/32)</f>
        <v/>
      </c>
      <c r="G873" s="20">
        <f>F873+H873</f>
        <v/>
      </c>
      <c r="H873" s="5" t="n">
        <v>9</v>
      </c>
      <c r="I873" s="2">
        <f>ROUND(INDEX(가맹점!$P$2:$P$9,D873)*INDEX(가맹점!$J$2:$M$9,D873,E873),0)</f>
        <v/>
      </c>
      <c r="J873" s="2">
        <f>ROUND(I873*(1-할인율),0)</f>
        <v/>
      </c>
      <c r="K873" s="2">
        <f>ROUNDDOWN(I873*할인율,0)</f>
        <v/>
      </c>
      <c r="L873" s="2">
        <f>ROUND(I873*INDEX(미지급률범위,E873),0)</f>
        <v/>
      </c>
      <c r="M873" s="2">
        <f>ROUND(I873*INDEX(과지급률범위,E873),0)</f>
        <v/>
      </c>
      <c r="N873" s="2">
        <f>MAX(0,L873-M873)</f>
        <v/>
      </c>
      <c r="O873" s="2">
        <f>K873-N873</f>
        <v/>
      </c>
      <c r="P873" s="2">
        <f>I873-N873</f>
        <v/>
      </c>
      <c r="Q873" s="5">
        <f>IF(G873&gt;기준일,1,0)</f>
        <v/>
      </c>
      <c r="R873" s="5">
        <f>IF(G873&lt;=기준일,1,0)</f>
        <v/>
      </c>
      <c r="S873" s="2">
        <f>J873*H873</f>
        <v/>
      </c>
      <c r="T873" s="5">
        <f>IF(AND(F873&gt;=표본시작,F873&lt;=표본종료),1,0)</f>
        <v/>
      </c>
      <c r="U873" s="5">
        <f>IF(AND(G873&gt;=조회시작,G873&lt;=조회종료),1,0)</f>
        <v/>
      </c>
    </row>
    <row r="874">
      <c r="A874" s="2">
        <f>ROW()-1</f>
        <v/>
      </c>
      <c r="B874" s="5">
        <f>INDEX(상호범위,D874)</f>
        <v/>
      </c>
      <c r="C874" s="5">
        <f>INDEX(플랫폼명범위,E874)</f>
        <v/>
      </c>
      <c r="D874" s="2">
        <f>MOD(INT((A874-1)/4),8)+1</f>
        <v/>
      </c>
      <c r="E874" s="2">
        <f>MOD(A874-1,4)+1</f>
        <v/>
      </c>
      <c r="F874" s="20">
        <f>축시작+INT((A874-1)/32)</f>
        <v/>
      </c>
      <c r="G874" s="20">
        <f>F874+H874</f>
        <v/>
      </c>
      <c r="H874" s="5" t="n">
        <v>3</v>
      </c>
      <c r="I874" s="2">
        <f>ROUND(INDEX(가맹점!$P$2:$P$9,D874)*INDEX(가맹점!$J$2:$M$9,D874,E874),0)</f>
        <v/>
      </c>
      <c r="J874" s="2">
        <f>ROUND(I874*(1-할인율),0)</f>
        <v/>
      </c>
      <c r="K874" s="2">
        <f>ROUNDDOWN(I874*할인율,0)</f>
        <v/>
      </c>
      <c r="L874" s="2">
        <f>ROUND(I874*INDEX(미지급률범위,E874),0)</f>
        <v/>
      </c>
      <c r="M874" s="2">
        <f>ROUND(I874*INDEX(과지급률범위,E874),0)</f>
        <v/>
      </c>
      <c r="N874" s="2">
        <f>MAX(0,L874-M874)</f>
        <v/>
      </c>
      <c r="O874" s="2">
        <f>K874-N874</f>
        <v/>
      </c>
      <c r="P874" s="2">
        <f>I874-N874</f>
        <v/>
      </c>
      <c r="Q874" s="5">
        <f>IF(G874&gt;기준일,1,0)</f>
        <v/>
      </c>
      <c r="R874" s="5">
        <f>IF(G874&lt;=기준일,1,0)</f>
        <v/>
      </c>
      <c r="S874" s="2">
        <f>J874*H874</f>
        <v/>
      </c>
      <c r="T874" s="5">
        <f>IF(AND(F874&gt;=표본시작,F874&lt;=표본종료),1,0)</f>
        <v/>
      </c>
      <c r="U874" s="5">
        <f>IF(AND(G874&gt;=조회시작,G874&lt;=조회종료),1,0)</f>
        <v/>
      </c>
    </row>
    <row r="875">
      <c r="A875" s="2">
        <f>ROW()-1</f>
        <v/>
      </c>
      <c r="B875" s="5">
        <f>INDEX(상호범위,D875)</f>
        <v/>
      </c>
      <c r="C875" s="5">
        <f>INDEX(플랫폼명범위,E875)</f>
        <v/>
      </c>
      <c r="D875" s="2">
        <f>MOD(INT((A875-1)/4),8)+1</f>
        <v/>
      </c>
      <c r="E875" s="2">
        <f>MOD(A875-1,4)+1</f>
        <v/>
      </c>
      <c r="F875" s="20">
        <f>축시작+INT((A875-1)/32)</f>
        <v/>
      </c>
      <c r="G875" s="20">
        <f>F875+H875</f>
        <v/>
      </c>
      <c r="H875" s="5" t="n">
        <v>2</v>
      </c>
      <c r="I875" s="2">
        <f>ROUND(INDEX(가맹점!$P$2:$P$9,D875)*INDEX(가맹점!$J$2:$M$9,D875,E875),0)</f>
        <v/>
      </c>
      <c r="J875" s="2">
        <f>ROUND(I875*(1-할인율),0)</f>
        <v/>
      </c>
      <c r="K875" s="2">
        <f>ROUNDDOWN(I875*할인율,0)</f>
        <v/>
      </c>
      <c r="L875" s="2">
        <f>ROUND(I875*INDEX(미지급률범위,E875),0)</f>
        <v/>
      </c>
      <c r="M875" s="2">
        <f>ROUND(I875*INDEX(과지급률범위,E875),0)</f>
        <v/>
      </c>
      <c r="N875" s="2">
        <f>MAX(0,L875-M875)</f>
        <v/>
      </c>
      <c r="O875" s="2">
        <f>K875-N875</f>
        <v/>
      </c>
      <c r="P875" s="2">
        <f>I875-N875</f>
        <v/>
      </c>
      <c r="Q875" s="5">
        <f>IF(G875&gt;기준일,1,0)</f>
        <v/>
      </c>
      <c r="R875" s="5">
        <f>IF(G875&lt;=기준일,1,0)</f>
        <v/>
      </c>
      <c r="S875" s="2">
        <f>J875*H875</f>
        <v/>
      </c>
      <c r="T875" s="5">
        <f>IF(AND(F875&gt;=표본시작,F875&lt;=표본종료),1,0)</f>
        <v/>
      </c>
      <c r="U875" s="5">
        <f>IF(AND(G875&gt;=조회시작,G875&lt;=조회종료),1,0)</f>
        <v/>
      </c>
    </row>
    <row r="876">
      <c r="A876" s="2">
        <f>ROW()-1</f>
        <v/>
      </c>
      <c r="B876" s="5">
        <f>INDEX(상호범위,D876)</f>
        <v/>
      </c>
      <c r="C876" s="5">
        <f>INDEX(플랫폼명범위,E876)</f>
        <v/>
      </c>
      <c r="D876" s="2">
        <f>MOD(INT((A876-1)/4),8)+1</f>
        <v/>
      </c>
      <c r="E876" s="2">
        <f>MOD(A876-1,4)+1</f>
        <v/>
      </c>
      <c r="F876" s="20">
        <f>축시작+INT((A876-1)/32)</f>
        <v/>
      </c>
      <c r="G876" s="20">
        <f>F876+H876</f>
        <v/>
      </c>
      <c r="H876" s="5" t="n">
        <v>7</v>
      </c>
      <c r="I876" s="2">
        <f>ROUND(INDEX(가맹점!$P$2:$P$9,D876)*INDEX(가맹점!$J$2:$M$9,D876,E876),0)</f>
        <v/>
      </c>
      <c r="J876" s="2">
        <f>ROUND(I876*(1-할인율),0)</f>
        <v/>
      </c>
      <c r="K876" s="2">
        <f>ROUNDDOWN(I876*할인율,0)</f>
        <v/>
      </c>
      <c r="L876" s="2">
        <f>ROUND(I876*INDEX(미지급률범위,E876),0)</f>
        <v/>
      </c>
      <c r="M876" s="2">
        <f>ROUND(I876*INDEX(과지급률범위,E876),0)</f>
        <v/>
      </c>
      <c r="N876" s="2">
        <f>MAX(0,L876-M876)</f>
        <v/>
      </c>
      <c r="O876" s="2">
        <f>K876-N876</f>
        <v/>
      </c>
      <c r="P876" s="2">
        <f>I876-N876</f>
        <v/>
      </c>
      <c r="Q876" s="5">
        <f>IF(G876&gt;기준일,1,0)</f>
        <v/>
      </c>
      <c r="R876" s="5">
        <f>IF(G876&lt;=기준일,1,0)</f>
        <v/>
      </c>
      <c r="S876" s="2">
        <f>J876*H876</f>
        <v/>
      </c>
      <c r="T876" s="5">
        <f>IF(AND(F876&gt;=표본시작,F876&lt;=표본종료),1,0)</f>
        <v/>
      </c>
      <c r="U876" s="5">
        <f>IF(AND(G876&gt;=조회시작,G876&lt;=조회종료),1,0)</f>
        <v/>
      </c>
    </row>
    <row r="877">
      <c r="A877" s="2">
        <f>ROW()-1</f>
        <v/>
      </c>
      <c r="B877" s="5">
        <f>INDEX(상호범위,D877)</f>
        <v/>
      </c>
      <c r="C877" s="5">
        <f>INDEX(플랫폼명범위,E877)</f>
        <v/>
      </c>
      <c r="D877" s="2">
        <f>MOD(INT((A877-1)/4),8)+1</f>
        <v/>
      </c>
      <c r="E877" s="2">
        <f>MOD(A877-1,4)+1</f>
        <v/>
      </c>
      <c r="F877" s="20">
        <f>축시작+INT((A877-1)/32)</f>
        <v/>
      </c>
      <c r="G877" s="20">
        <f>F877+H877</f>
        <v/>
      </c>
      <c r="H877" s="5" t="n">
        <v>6</v>
      </c>
      <c r="I877" s="2">
        <f>ROUND(INDEX(가맹점!$P$2:$P$9,D877)*INDEX(가맹점!$J$2:$M$9,D877,E877),0)</f>
        <v/>
      </c>
      <c r="J877" s="2">
        <f>ROUND(I877*(1-할인율),0)</f>
        <v/>
      </c>
      <c r="K877" s="2">
        <f>ROUNDDOWN(I877*할인율,0)</f>
        <v/>
      </c>
      <c r="L877" s="2">
        <f>ROUND(I877*INDEX(미지급률범위,E877),0)</f>
        <v/>
      </c>
      <c r="M877" s="2">
        <f>ROUND(I877*INDEX(과지급률범위,E877),0)</f>
        <v/>
      </c>
      <c r="N877" s="2">
        <f>MAX(0,L877-M877)</f>
        <v/>
      </c>
      <c r="O877" s="2">
        <f>K877-N877</f>
        <v/>
      </c>
      <c r="P877" s="2">
        <f>I877-N877</f>
        <v/>
      </c>
      <c r="Q877" s="5">
        <f>IF(G877&gt;기준일,1,0)</f>
        <v/>
      </c>
      <c r="R877" s="5">
        <f>IF(G877&lt;=기준일,1,0)</f>
        <v/>
      </c>
      <c r="S877" s="2">
        <f>J877*H877</f>
        <v/>
      </c>
      <c r="T877" s="5">
        <f>IF(AND(F877&gt;=표본시작,F877&lt;=표본종료),1,0)</f>
        <v/>
      </c>
      <c r="U877" s="5">
        <f>IF(AND(G877&gt;=조회시작,G877&lt;=조회종료),1,0)</f>
        <v/>
      </c>
    </row>
    <row r="878">
      <c r="A878" s="2">
        <f>ROW()-1</f>
        <v/>
      </c>
      <c r="B878" s="5">
        <f>INDEX(상호범위,D878)</f>
        <v/>
      </c>
      <c r="C878" s="5">
        <f>INDEX(플랫폼명범위,E878)</f>
        <v/>
      </c>
      <c r="D878" s="2">
        <f>MOD(INT((A878-1)/4),8)+1</f>
        <v/>
      </c>
      <c r="E878" s="2">
        <f>MOD(A878-1,4)+1</f>
        <v/>
      </c>
      <c r="F878" s="20">
        <f>축시작+INT((A878-1)/32)</f>
        <v/>
      </c>
      <c r="G878" s="20">
        <f>F878+H878</f>
        <v/>
      </c>
      <c r="H878" s="5" t="n">
        <v>3</v>
      </c>
      <c r="I878" s="2">
        <f>ROUND(INDEX(가맹점!$P$2:$P$9,D878)*INDEX(가맹점!$J$2:$M$9,D878,E878),0)</f>
        <v/>
      </c>
      <c r="J878" s="2">
        <f>ROUND(I878*(1-할인율),0)</f>
        <v/>
      </c>
      <c r="K878" s="2">
        <f>ROUNDDOWN(I878*할인율,0)</f>
        <v/>
      </c>
      <c r="L878" s="2">
        <f>ROUND(I878*INDEX(미지급률범위,E878),0)</f>
        <v/>
      </c>
      <c r="M878" s="2">
        <f>ROUND(I878*INDEX(과지급률범위,E878),0)</f>
        <v/>
      </c>
      <c r="N878" s="2">
        <f>MAX(0,L878-M878)</f>
        <v/>
      </c>
      <c r="O878" s="2">
        <f>K878-N878</f>
        <v/>
      </c>
      <c r="P878" s="2">
        <f>I878-N878</f>
        <v/>
      </c>
      <c r="Q878" s="5">
        <f>IF(G878&gt;기준일,1,0)</f>
        <v/>
      </c>
      <c r="R878" s="5">
        <f>IF(G878&lt;=기준일,1,0)</f>
        <v/>
      </c>
      <c r="S878" s="2">
        <f>J878*H878</f>
        <v/>
      </c>
      <c r="T878" s="5">
        <f>IF(AND(F878&gt;=표본시작,F878&lt;=표본종료),1,0)</f>
        <v/>
      </c>
      <c r="U878" s="5">
        <f>IF(AND(G878&gt;=조회시작,G878&lt;=조회종료),1,0)</f>
        <v/>
      </c>
    </row>
    <row r="879">
      <c r="A879" s="2">
        <f>ROW()-1</f>
        <v/>
      </c>
      <c r="B879" s="5">
        <f>INDEX(상호범위,D879)</f>
        <v/>
      </c>
      <c r="C879" s="5">
        <f>INDEX(플랫폼명범위,E879)</f>
        <v/>
      </c>
      <c r="D879" s="2">
        <f>MOD(INT((A879-1)/4),8)+1</f>
        <v/>
      </c>
      <c r="E879" s="2">
        <f>MOD(A879-1,4)+1</f>
        <v/>
      </c>
      <c r="F879" s="20">
        <f>축시작+INT((A879-1)/32)</f>
        <v/>
      </c>
      <c r="G879" s="20">
        <f>F879+H879</f>
        <v/>
      </c>
      <c r="H879" s="5" t="n">
        <v>4</v>
      </c>
      <c r="I879" s="2">
        <f>ROUND(INDEX(가맹점!$P$2:$P$9,D879)*INDEX(가맹점!$J$2:$M$9,D879,E879),0)</f>
        <v/>
      </c>
      <c r="J879" s="2">
        <f>ROUND(I879*(1-할인율),0)</f>
        <v/>
      </c>
      <c r="K879" s="2">
        <f>ROUNDDOWN(I879*할인율,0)</f>
        <v/>
      </c>
      <c r="L879" s="2">
        <f>ROUND(I879*INDEX(미지급률범위,E879),0)</f>
        <v/>
      </c>
      <c r="M879" s="2">
        <f>ROUND(I879*INDEX(과지급률범위,E879),0)</f>
        <v/>
      </c>
      <c r="N879" s="2">
        <f>MAX(0,L879-M879)</f>
        <v/>
      </c>
      <c r="O879" s="2">
        <f>K879-N879</f>
        <v/>
      </c>
      <c r="P879" s="2">
        <f>I879-N879</f>
        <v/>
      </c>
      <c r="Q879" s="5">
        <f>IF(G879&gt;기준일,1,0)</f>
        <v/>
      </c>
      <c r="R879" s="5">
        <f>IF(G879&lt;=기준일,1,0)</f>
        <v/>
      </c>
      <c r="S879" s="2">
        <f>J879*H879</f>
        <v/>
      </c>
      <c r="T879" s="5">
        <f>IF(AND(F879&gt;=표본시작,F879&lt;=표본종료),1,0)</f>
        <v/>
      </c>
      <c r="U879" s="5">
        <f>IF(AND(G879&gt;=조회시작,G879&lt;=조회종료),1,0)</f>
        <v/>
      </c>
    </row>
    <row r="880">
      <c r="A880" s="2">
        <f>ROW()-1</f>
        <v/>
      </c>
      <c r="B880" s="5">
        <f>INDEX(상호범위,D880)</f>
        <v/>
      </c>
      <c r="C880" s="5">
        <f>INDEX(플랫폼명범위,E880)</f>
        <v/>
      </c>
      <c r="D880" s="2">
        <f>MOD(INT((A880-1)/4),8)+1</f>
        <v/>
      </c>
      <c r="E880" s="2">
        <f>MOD(A880-1,4)+1</f>
        <v/>
      </c>
      <c r="F880" s="20">
        <f>축시작+INT((A880-1)/32)</f>
        <v/>
      </c>
      <c r="G880" s="20">
        <f>F880+H880</f>
        <v/>
      </c>
      <c r="H880" s="5" t="n">
        <v>5</v>
      </c>
      <c r="I880" s="2">
        <f>ROUND(INDEX(가맹점!$P$2:$P$9,D880)*INDEX(가맹점!$J$2:$M$9,D880,E880),0)</f>
        <v/>
      </c>
      <c r="J880" s="2">
        <f>ROUND(I880*(1-할인율),0)</f>
        <v/>
      </c>
      <c r="K880" s="2">
        <f>ROUNDDOWN(I880*할인율,0)</f>
        <v/>
      </c>
      <c r="L880" s="2">
        <f>ROUND(I880*INDEX(미지급률범위,E880),0)</f>
        <v/>
      </c>
      <c r="M880" s="2">
        <f>ROUND(I880*INDEX(과지급률범위,E880),0)</f>
        <v/>
      </c>
      <c r="N880" s="2">
        <f>MAX(0,L880-M880)</f>
        <v/>
      </c>
      <c r="O880" s="2">
        <f>K880-N880</f>
        <v/>
      </c>
      <c r="P880" s="2">
        <f>I880-N880</f>
        <v/>
      </c>
      <c r="Q880" s="5">
        <f>IF(G880&gt;기준일,1,0)</f>
        <v/>
      </c>
      <c r="R880" s="5">
        <f>IF(G880&lt;=기준일,1,0)</f>
        <v/>
      </c>
      <c r="S880" s="2">
        <f>J880*H880</f>
        <v/>
      </c>
      <c r="T880" s="5">
        <f>IF(AND(F880&gt;=표본시작,F880&lt;=표본종료),1,0)</f>
        <v/>
      </c>
      <c r="U880" s="5">
        <f>IF(AND(G880&gt;=조회시작,G880&lt;=조회종료),1,0)</f>
        <v/>
      </c>
    </row>
    <row r="881">
      <c r="A881" s="2">
        <f>ROW()-1</f>
        <v/>
      </c>
      <c r="B881" s="5">
        <f>INDEX(상호범위,D881)</f>
        <v/>
      </c>
      <c r="C881" s="5">
        <f>INDEX(플랫폼명범위,E881)</f>
        <v/>
      </c>
      <c r="D881" s="2">
        <f>MOD(INT((A881-1)/4),8)+1</f>
        <v/>
      </c>
      <c r="E881" s="2">
        <f>MOD(A881-1,4)+1</f>
        <v/>
      </c>
      <c r="F881" s="20">
        <f>축시작+INT((A881-1)/32)</f>
        <v/>
      </c>
      <c r="G881" s="20">
        <f>F881+H881</f>
        <v/>
      </c>
      <c r="H881" s="5" t="n">
        <v>6</v>
      </c>
      <c r="I881" s="2">
        <f>ROUND(INDEX(가맹점!$P$2:$P$9,D881)*INDEX(가맹점!$J$2:$M$9,D881,E881),0)</f>
        <v/>
      </c>
      <c r="J881" s="2">
        <f>ROUND(I881*(1-할인율),0)</f>
        <v/>
      </c>
      <c r="K881" s="2">
        <f>ROUNDDOWN(I881*할인율,0)</f>
        <v/>
      </c>
      <c r="L881" s="2">
        <f>ROUND(I881*INDEX(미지급률범위,E881),0)</f>
        <v/>
      </c>
      <c r="M881" s="2">
        <f>ROUND(I881*INDEX(과지급률범위,E881),0)</f>
        <v/>
      </c>
      <c r="N881" s="2">
        <f>MAX(0,L881-M881)</f>
        <v/>
      </c>
      <c r="O881" s="2">
        <f>K881-N881</f>
        <v/>
      </c>
      <c r="P881" s="2">
        <f>I881-N881</f>
        <v/>
      </c>
      <c r="Q881" s="5">
        <f>IF(G881&gt;기준일,1,0)</f>
        <v/>
      </c>
      <c r="R881" s="5">
        <f>IF(G881&lt;=기준일,1,0)</f>
        <v/>
      </c>
      <c r="S881" s="2">
        <f>J881*H881</f>
        <v/>
      </c>
      <c r="T881" s="5">
        <f>IF(AND(F881&gt;=표본시작,F881&lt;=표본종료),1,0)</f>
        <v/>
      </c>
      <c r="U881" s="5">
        <f>IF(AND(G881&gt;=조회시작,G881&lt;=조회종료),1,0)</f>
        <v/>
      </c>
    </row>
    <row r="882">
      <c r="A882" s="2">
        <f>ROW()-1</f>
        <v/>
      </c>
      <c r="B882" s="5">
        <f>INDEX(상호범위,D882)</f>
        <v/>
      </c>
      <c r="C882" s="5">
        <f>INDEX(플랫폼명범위,E882)</f>
        <v/>
      </c>
      <c r="D882" s="2">
        <f>MOD(INT((A882-1)/4),8)+1</f>
        <v/>
      </c>
      <c r="E882" s="2">
        <f>MOD(A882-1,4)+1</f>
        <v/>
      </c>
      <c r="F882" s="20">
        <f>축시작+INT((A882-1)/32)</f>
        <v/>
      </c>
      <c r="G882" s="20">
        <f>F882+H882</f>
        <v/>
      </c>
      <c r="H882" s="5" t="n">
        <v>3</v>
      </c>
      <c r="I882" s="2">
        <f>ROUND(INDEX(가맹점!$P$2:$P$9,D882)*INDEX(가맹점!$J$2:$M$9,D882,E882),0)</f>
        <v/>
      </c>
      <c r="J882" s="2">
        <f>ROUND(I882*(1-할인율),0)</f>
        <v/>
      </c>
      <c r="K882" s="2">
        <f>ROUNDDOWN(I882*할인율,0)</f>
        <v/>
      </c>
      <c r="L882" s="2">
        <f>ROUND(I882*INDEX(미지급률범위,E882),0)</f>
        <v/>
      </c>
      <c r="M882" s="2">
        <f>ROUND(I882*INDEX(과지급률범위,E882),0)</f>
        <v/>
      </c>
      <c r="N882" s="2">
        <f>MAX(0,L882-M882)</f>
        <v/>
      </c>
      <c r="O882" s="2">
        <f>K882-N882</f>
        <v/>
      </c>
      <c r="P882" s="2">
        <f>I882-N882</f>
        <v/>
      </c>
      <c r="Q882" s="5">
        <f>IF(G882&gt;기준일,1,0)</f>
        <v/>
      </c>
      <c r="R882" s="5">
        <f>IF(G882&lt;=기준일,1,0)</f>
        <v/>
      </c>
      <c r="S882" s="2">
        <f>J882*H882</f>
        <v/>
      </c>
      <c r="T882" s="5">
        <f>IF(AND(F882&gt;=표본시작,F882&lt;=표본종료),1,0)</f>
        <v/>
      </c>
      <c r="U882" s="5">
        <f>IF(AND(G882&gt;=조회시작,G882&lt;=조회종료),1,0)</f>
        <v/>
      </c>
    </row>
    <row r="883">
      <c r="A883" s="2">
        <f>ROW()-1</f>
        <v/>
      </c>
      <c r="B883" s="5">
        <f>INDEX(상호범위,D883)</f>
        <v/>
      </c>
      <c r="C883" s="5">
        <f>INDEX(플랫폼명범위,E883)</f>
        <v/>
      </c>
      <c r="D883" s="2">
        <f>MOD(INT((A883-1)/4),8)+1</f>
        <v/>
      </c>
      <c r="E883" s="2">
        <f>MOD(A883-1,4)+1</f>
        <v/>
      </c>
      <c r="F883" s="20">
        <f>축시작+INT((A883-1)/32)</f>
        <v/>
      </c>
      <c r="G883" s="20">
        <f>F883+H883</f>
        <v/>
      </c>
      <c r="H883" s="5" t="n">
        <v>2</v>
      </c>
      <c r="I883" s="2">
        <f>ROUND(INDEX(가맹점!$P$2:$P$9,D883)*INDEX(가맹점!$J$2:$M$9,D883,E883),0)</f>
        <v/>
      </c>
      <c r="J883" s="2">
        <f>ROUND(I883*(1-할인율),0)</f>
        <v/>
      </c>
      <c r="K883" s="2">
        <f>ROUNDDOWN(I883*할인율,0)</f>
        <v/>
      </c>
      <c r="L883" s="2">
        <f>ROUND(I883*INDEX(미지급률범위,E883),0)</f>
        <v/>
      </c>
      <c r="M883" s="2">
        <f>ROUND(I883*INDEX(과지급률범위,E883),0)</f>
        <v/>
      </c>
      <c r="N883" s="2">
        <f>MAX(0,L883-M883)</f>
        <v/>
      </c>
      <c r="O883" s="2">
        <f>K883-N883</f>
        <v/>
      </c>
      <c r="P883" s="2">
        <f>I883-N883</f>
        <v/>
      </c>
      <c r="Q883" s="5">
        <f>IF(G883&gt;기준일,1,0)</f>
        <v/>
      </c>
      <c r="R883" s="5">
        <f>IF(G883&lt;=기준일,1,0)</f>
        <v/>
      </c>
      <c r="S883" s="2">
        <f>J883*H883</f>
        <v/>
      </c>
      <c r="T883" s="5">
        <f>IF(AND(F883&gt;=표본시작,F883&lt;=표본종료),1,0)</f>
        <v/>
      </c>
      <c r="U883" s="5">
        <f>IF(AND(G883&gt;=조회시작,G883&lt;=조회종료),1,0)</f>
        <v/>
      </c>
    </row>
    <row r="884">
      <c r="A884" s="2">
        <f>ROW()-1</f>
        <v/>
      </c>
      <c r="B884" s="5">
        <f>INDEX(상호범위,D884)</f>
        <v/>
      </c>
      <c r="C884" s="5">
        <f>INDEX(플랫폼명범위,E884)</f>
        <v/>
      </c>
      <c r="D884" s="2">
        <f>MOD(INT((A884-1)/4),8)+1</f>
        <v/>
      </c>
      <c r="E884" s="2">
        <f>MOD(A884-1,4)+1</f>
        <v/>
      </c>
      <c r="F884" s="20">
        <f>축시작+INT((A884-1)/32)</f>
        <v/>
      </c>
      <c r="G884" s="20">
        <f>F884+H884</f>
        <v/>
      </c>
      <c r="H884" s="5" t="n">
        <v>7</v>
      </c>
      <c r="I884" s="2">
        <f>ROUND(INDEX(가맹점!$P$2:$P$9,D884)*INDEX(가맹점!$J$2:$M$9,D884,E884),0)</f>
        <v/>
      </c>
      <c r="J884" s="2">
        <f>ROUND(I884*(1-할인율),0)</f>
        <v/>
      </c>
      <c r="K884" s="2">
        <f>ROUNDDOWN(I884*할인율,0)</f>
        <v/>
      </c>
      <c r="L884" s="2">
        <f>ROUND(I884*INDEX(미지급률범위,E884),0)</f>
        <v/>
      </c>
      <c r="M884" s="2">
        <f>ROUND(I884*INDEX(과지급률범위,E884),0)</f>
        <v/>
      </c>
      <c r="N884" s="2">
        <f>MAX(0,L884-M884)</f>
        <v/>
      </c>
      <c r="O884" s="2">
        <f>K884-N884</f>
        <v/>
      </c>
      <c r="P884" s="2">
        <f>I884-N884</f>
        <v/>
      </c>
      <c r="Q884" s="5">
        <f>IF(G884&gt;기준일,1,0)</f>
        <v/>
      </c>
      <c r="R884" s="5">
        <f>IF(G884&lt;=기준일,1,0)</f>
        <v/>
      </c>
      <c r="S884" s="2">
        <f>J884*H884</f>
        <v/>
      </c>
      <c r="T884" s="5">
        <f>IF(AND(F884&gt;=표본시작,F884&lt;=표본종료),1,0)</f>
        <v/>
      </c>
      <c r="U884" s="5">
        <f>IF(AND(G884&gt;=조회시작,G884&lt;=조회종료),1,0)</f>
        <v/>
      </c>
    </row>
    <row r="885">
      <c r="A885" s="2">
        <f>ROW()-1</f>
        <v/>
      </c>
      <c r="B885" s="5">
        <f>INDEX(상호범위,D885)</f>
        <v/>
      </c>
      <c r="C885" s="5">
        <f>INDEX(플랫폼명범위,E885)</f>
        <v/>
      </c>
      <c r="D885" s="2">
        <f>MOD(INT((A885-1)/4),8)+1</f>
        <v/>
      </c>
      <c r="E885" s="2">
        <f>MOD(A885-1,4)+1</f>
        <v/>
      </c>
      <c r="F885" s="20">
        <f>축시작+INT((A885-1)/32)</f>
        <v/>
      </c>
      <c r="G885" s="20">
        <f>F885+H885</f>
        <v/>
      </c>
      <c r="H885" s="5" t="n">
        <v>6</v>
      </c>
      <c r="I885" s="2">
        <f>ROUND(INDEX(가맹점!$P$2:$P$9,D885)*INDEX(가맹점!$J$2:$M$9,D885,E885),0)</f>
        <v/>
      </c>
      <c r="J885" s="2">
        <f>ROUND(I885*(1-할인율),0)</f>
        <v/>
      </c>
      <c r="K885" s="2">
        <f>ROUNDDOWN(I885*할인율,0)</f>
        <v/>
      </c>
      <c r="L885" s="2">
        <f>ROUND(I885*INDEX(미지급률범위,E885),0)</f>
        <v/>
      </c>
      <c r="M885" s="2">
        <f>ROUND(I885*INDEX(과지급률범위,E885),0)</f>
        <v/>
      </c>
      <c r="N885" s="2">
        <f>MAX(0,L885-M885)</f>
        <v/>
      </c>
      <c r="O885" s="2">
        <f>K885-N885</f>
        <v/>
      </c>
      <c r="P885" s="2">
        <f>I885-N885</f>
        <v/>
      </c>
      <c r="Q885" s="5">
        <f>IF(G885&gt;기준일,1,0)</f>
        <v/>
      </c>
      <c r="R885" s="5">
        <f>IF(G885&lt;=기준일,1,0)</f>
        <v/>
      </c>
      <c r="S885" s="2">
        <f>J885*H885</f>
        <v/>
      </c>
      <c r="T885" s="5">
        <f>IF(AND(F885&gt;=표본시작,F885&lt;=표본종료),1,0)</f>
        <v/>
      </c>
      <c r="U885" s="5">
        <f>IF(AND(G885&gt;=조회시작,G885&lt;=조회종료),1,0)</f>
        <v/>
      </c>
    </row>
    <row r="886">
      <c r="A886" s="2">
        <f>ROW()-1</f>
        <v/>
      </c>
      <c r="B886" s="5">
        <f>INDEX(상호범위,D886)</f>
        <v/>
      </c>
      <c r="C886" s="5">
        <f>INDEX(플랫폼명범위,E886)</f>
        <v/>
      </c>
      <c r="D886" s="2">
        <f>MOD(INT((A886-1)/4),8)+1</f>
        <v/>
      </c>
      <c r="E886" s="2">
        <f>MOD(A886-1,4)+1</f>
        <v/>
      </c>
      <c r="F886" s="20">
        <f>축시작+INT((A886-1)/32)</f>
        <v/>
      </c>
      <c r="G886" s="20">
        <f>F886+H886</f>
        <v/>
      </c>
      <c r="H886" s="5" t="n">
        <v>3</v>
      </c>
      <c r="I886" s="2">
        <f>ROUND(INDEX(가맹점!$P$2:$P$9,D886)*INDEX(가맹점!$J$2:$M$9,D886,E886),0)</f>
        <v/>
      </c>
      <c r="J886" s="2">
        <f>ROUND(I886*(1-할인율),0)</f>
        <v/>
      </c>
      <c r="K886" s="2">
        <f>ROUNDDOWN(I886*할인율,0)</f>
        <v/>
      </c>
      <c r="L886" s="2">
        <f>ROUND(I886*INDEX(미지급률범위,E886),0)</f>
        <v/>
      </c>
      <c r="M886" s="2">
        <f>ROUND(I886*INDEX(과지급률범위,E886),0)</f>
        <v/>
      </c>
      <c r="N886" s="2">
        <f>MAX(0,L886-M886)</f>
        <v/>
      </c>
      <c r="O886" s="2">
        <f>K886-N886</f>
        <v/>
      </c>
      <c r="P886" s="2">
        <f>I886-N886</f>
        <v/>
      </c>
      <c r="Q886" s="5">
        <f>IF(G886&gt;기준일,1,0)</f>
        <v/>
      </c>
      <c r="R886" s="5">
        <f>IF(G886&lt;=기준일,1,0)</f>
        <v/>
      </c>
      <c r="S886" s="2">
        <f>J886*H886</f>
        <v/>
      </c>
      <c r="T886" s="5">
        <f>IF(AND(F886&gt;=표본시작,F886&lt;=표본종료),1,0)</f>
        <v/>
      </c>
      <c r="U886" s="5">
        <f>IF(AND(G886&gt;=조회시작,G886&lt;=조회종료),1,0)</f>
        <v/>
      </c>
    </row>
    <row r="887">
      <c r="A887" s="2">
        <f>ROW()-1</f>
        <v/>
      </c>
      <c r="B887" s="5">
        <f>INDEX(상호범위,D887)</f>
        <v/>
      </c>
      <c r="C887" s="5">
        <f>INDEX(플랫폼명범위,E887)</f>
        <v/>
      </c>
      <c r="D887" s="2">
        <f>MOD(INT((A887-1)/4),8)+1</f>
        <v/>
      </c>
      <c r="E887" s="2">
        <f>MOD(A887-1,4)+1</f>
        <v/>
      </c>
      <c r="F887" s="20">
        <f>축시작+INT((A887-1)/32)</f>
        <v/>
      </c>
      <c r="G887" s="20">
        <f>F887+H887</f>
        <v/>
      </c>
      <c r="H887" s="5" t="n">
        <v>2</v>
      </c>
      <c r="I887" s="2">
        <f>ROUND(INDEX(가맹점!$P$2:$P$9,D887)*INDEX(가맹점!$J$2:$M$9,D887,E887),0)</f>
        <v/>
      </c>
      <c r="J887" s="2">
        <f>ROUND(I887*(1-할인율),0)</f>
        <v/>
      </c>
      <c r="K887" s="2">
        <f>ROUNDDOWN(I887*할인율,0)</f>
        <v/>
      </c>
      <c r="L887" s="2">
        <f>ROUND(I887*INDEX(미지급률범위,E887),0)</f>
        <v/>
      </c>
      <c r="M887" s="2">
        <f>ROUND(I887*INDEX(과지급률범위,E887),0)</f>
        <v/>
      </c>
      <c r="N887" s="2">
        <f>MAX(0,L887-M887)</f>
        <v/>
      </c>
      <c r="O887" s="2">
        <f>K887-N887</f>
        <v/>
      </c>
      <c r="P887" s="2">
        <f>I887-N887</f>
        <v/>
      </c>
      <c r="Q887" s="5">
        <f>IF(G887&gt;기준일,1,0)</f>
        <v/>
      </c>
      <c r="R887" s="5">
        <f>IF(G887&lt;=기준일,1,0)</f>
        <v/>
      </c>
      <c r="S887" s="2">
        <f>J887*H887</f>
        <v/>
      </c>
      <c r="T887" s="5">
        <f>IF(AND(F887&gt;=표본시작,F887&lt;=표본종료),1,0)</f>
        <v/>
      </c>
      <c r="U887" s="5">
        <f>IF(AND(G887&gt;=조회시작,G887&lt;=조회종료),1,0)</f>
        <v/>
      </c>
    </row>
    <row r="888">
      <c r="A888" s="2">
        <f>ROW()-1</f>
        <v/>
      </c>
      <c r="B888" s="5">
        <f>INDEX(상호범위,D888)</f>
        <v/>
      </c>
      <c r="C888" s="5">
        <f>INDEX(플랫폼명범위,E888)</f>
        <v/>
      </c>
      <c r="D888" s="2">
        <f>MOD(INT((A888-1)/4),8)+1</f>
        <v/>
      </c>
      <c r="E888" s="2">
        <f>MOD(A888-1,4)+1</f>
        <v/>
      </c>
      <c r="F888" s="20">
        <f>축시작+INT((A888-1)/32)</f>
        <v/>
      </c>
      <c r="G888" s="20">
        <f>F888+H888</f>
        <v/>
      </c>
      <c r="H888" s="5" t="n">
        <v>8</v>
      </c>
      <c r="I888" s="2">
        <f>ROUND(INDEX(가맹점!$P$2:$P$9,D888)*INDEX(가맹점!$J$2:$M$9,D888,E888),0)</f>
        <v/>
      </c>
      <c r="J888" s="2">
        <f>ROUND(I888*(1-할인율),0)</f>
        <v/>
      </c>
      <c r="K888" s="2">
        <f>ROUNDDOWN(I888*할인율,0)</f>
        <v/>
      </c>
      <c r="L888" s="2">
        <f>ROUND(I888*INDEX(미지급률범위,E888),0)</f>
        <v/>
      </c>
      <c r="M888" s="2">
        <f>ROUND(I888*INDEX(과지급률범위,E888),0)</f>
        <v/>
      </c>
      <c r="N888" s="2">
        <f>MAX(0,L888-M888)</f>
        <v/>
      </c>
      <c r="O888" s="2">
        <f>K888-N888</f>
        <v/>
      </c>
      <c r="P888" s="2">
        <f>I888-N888</f>
        <v/>
      </c>
      <c r="Q888" s="5">
        <f>IF(G888&gt;기준일,1,0)</f>
        <v/>
      </c>
      <c r="R888" s="5">
        <f>IF(G888&lt;=기준일,1,0)</f>
        <v/>
      </c>
      <c r="S888" s="2">
        <f>J888*H888</f>
        <v/>
      </c>
      <c r="T888" s="5">
        <f>IF(AND(F888&gt;=표본시작,F888&lt;=표본종료),1,0)</f>
        <v/>
      </c>
      <c r="U888" s="5">
        <f>IF(AND(G888&gt;=조회시작,G888&lt;=조회종료),1,0)</f>
        <v/>
      </c>
    </row>
    <row r="889">
      <c r="A889" s="2">
        <f>ROW()-1</f>
        <v/>
      </c>
      <c r="B889" s="5">
        <f>INDEX(상호범위,D889)</f>
        <v/>
      </c>
      <c r="C889" s="5">
        <f>INDEX(플랫폼명범위,E889)</f>
        <v/>
      </c>
      <c r="D889" s="2">
        <f>MOD(INT((A889-1)/4),8)+1</f>
        <v/>
      </c>
      <c r="E889" s="2">
        <f>MOD(A889-1,4)+1</f>
        <v/>
      </c>
      <c r="F889" s="20">
        <f>축시작+INT((A889-1)/32)</f>
        <v/>
      </c>
      <c r="G889" s="20">
        <f>F889+H889</f>
        <v/>
      </c>
      <c r="H889" s="5" t="n">
        <v>7</v>
      </c>
      <c r="I889" s="2">
        <f>ROUND(INDEX(가맹점!$P$2:$P$9,D889)*INDEX(가맹점!$J$2:$M$9,D889,E889),0)</f>
        <v/>
      </c>
      <c r="J889" s="2">
        <f>ROUND(I889*(1-할인율),0)</f>
        <v/>
      </c>
      <c r="K889" s="2">
        <f>ROUNDDOWN(I889*할인율,0)</f>
        <v/>
      </c>
      <c r="L889" s="2">
        <f>ROUND(I889*INDEX(미지급률범위,E889),0)</f>
        <v/>
      </c>
      <c r="M889" s="2">
        <f>ROUND(I889*INDEX(과지급률범위,E889),0)</f>
        <v/>
      </c>
      <c r="N889" s="2">
        <f>MAX(0,L889-M889)</f>
        <v/>
      </c>
      <c r="O889" s="2">
        <f>K889-N889</f>
        <v/>
      </c>
      <c r="P889" s="2">
        <f>I889-N889</f>
        <v/>
      </c>
      <c r="Q889" s="5">
        <f>IF(G889&gt;기준일,1,0)</f>
        <v/>
      </c>
      <c r="R889" s="5">
        <f>IF(G889&lt;=기준일,1,0)</f>
        <v/>
      </c>
      <c r="S889" s="2">
        <f>J889*H889</f>
        <v/>
      </c>
      <c r="T889" s="5">
        <f>IF(AND(F889&gt;=표본시작,F889&lt;=표본종료),1,0)</f>
        <v/>
      </c>
      <c r="U889" s="5">
        <f>IF(AND(G889&gt;=조회시작,G889&lt;=조회종료),1,0)</f>
        <v/>
      </c>
    </row>
    <row r="890">
      <c r="A890" s="2">
        <f>ROW()-1</f>
        <v/>
      </c>
      <c r="B890" s="5">
        <f>INDEX(상호범위,D890)</f>
        <v/>
      </c>
      <c r="C890" s="5">
        <f>INDEX(플랫폼명범위,E890)</f>
        <v/>
      </c>
      <c r="D890" s="2">
        <f>MOD(INT((A890-1)/4),8)+1</f>
        <v/>
      </c>
      <c r="E890" s="2">
        <f>MOD(A890-1,4)+1</f>
        <v/>
      </c>
      <c r="F890" s="20">
        <f>축시작+INT((A890-1)/32)</f>
        <v/>
      </c>
      <c r="G890" s="20">
        <f>F890+H890</f>
        <v/>
      </c>
      <c r="H890" s="5" t="n">
        <v>3</v>
      </c>
      <c r="I890" s="2">
        <f>ROUND(INDEX(가맹점!$P$2:$P$9,D890)*INDEX(가맹점!$J$2:$M$9,D890,E890),0)</f>
        <v/>
      </c>
      <c r="J890" s="2">
        <f>ROUND(I890*(1-할인율),0)</f>
        <v/>
      </c>
      <c r="K890" s="2">
        <f>ROUNDDOWN(I890*할인율,0)</f>
        <v/>
      </c>
      <c r="L890" s="2">
        <f>ROUND(I890*INDEX(미지급률범위,E890),0)</f>
        <v/>
      </c>
      <c r="M890" s="2">
        <f>ROUND(I890*INDEX(과지급률범위,E890),0)</f>
        <v/>
      </c>
      <c r="N890" s="2">
        <f>MAX(0,L890-M890)</f>
        <v/>
      </c>
      <c r="O890" s="2">
        <f>K890-N890</f>
        <v/>
      </c>
      <c r="P890" s="2">
        <f>I890-N890</f>
        <v/>
      </c>
      <c r="Q890" s="5">
        <f>IF(G890&gt;기준일,1,0)</f>
        <v/>
      </c>
      <c r="R890" s="5">
        <f>IF(G890&lt;=기준일,1,0)</f>
        <v/>
      </c>
      <c r="S890" s="2">
        <f>J890*H890</f>
        <v/>
      </c>
      <c r="T890" s="5">
        <f>IF(AND(F890&gt;=표본시작,F890&lt;=표본종료),1,0)</f>
        <v/>
      </c>
      <c r="U890" s="5">
        <f>IF(AND(G890&gt;=조회시작,G890&lt;=조회종료),1,0)</f>
        <v/>
      </c>
    </row>
    <row r="891">
      <c r="A891" s="2">
        <f>ROW()-1</f>
        <v/>
      </c>
      <c r="B891" s="5">
        <f>INDEX(상호범위,D891)</f>
        <v/>
      </c>
      <c r="C891" s="5">
        <f>INDEX(플랫폼명범위,E891)</f>
        <v/>
      </c>
      <c r="D891" s="2">
        <f>MOD(INT((A891-1)/4),8)+1</f>
        <v/>
      </c>
      <c r="E891" s="2">
        <f>MOD(A891-1,4)+1</f>
        <v/>
      </c>
      <c r="F891" s="20">
        <f>축시작+INT((A891-1)/32)</f>
        <v/>
      </c>
      <c r="G891" s="20">
        <f>F891+H891</f>
        <v/>
      </c>
      <c r="H891" s="5" t="n">
        <v>4</v>
      </c>
      <c r="I891" s="2">
        <f>ROUND(INDEX(가맹점!$P$2:$P$9,D891)*INDEX(가맹점!$J$2:$M$9,D891,E891),0)</f>
        <v/>
      </c>
      <c r="J891" s="2">
        <f>ROUND(I891*(1-할인율),0)</f>
        <v/>
      </c>
      <c r="K891" s="2">
        <f>ROUNDDOWN(I891*할인율,0)</f>
        <v/>
      </c>
      <c r="L891" s="2">
        <f>ROUND(I891*INDEX(미지급률범위,E891),0)</f>
        <v/>
      </c>
      <c r="M891" s="2">
        <f>ROUND(I891*INDEX(과지급률범위,E891),0)</f>
        <v/>
      </c>
      <c r="N891" s="2">
        <f>MAX(0,L891-M891)</f>
        <v/>
      </c>
      <c r="O891" s="2">
        <f>K891-N891</f>
        <v/>
      </c>
      <c r="P891" s="2">
        <f>I891-N891</f>
        <v/>
      </c>
      <c r="Q891" s="5">
        <f>IF(G891&gt;기준일,1,0)</f>
        <v/>
      </c>
      <c r="R891" s="5">
        <f>IF(G891&lt;=기준일,1,0)</f>
        <v/>
      </c>
      <c r="S891" s="2">
        <f>J891*H891</f>
        <v/>
      </c>
      <c r="T891" s="5">
        <f>IF(AND(F891&gt;=표본시작,F891&lt;=표본종료),1,0)</f>
        <v/>
      </c>
      <c r="U891" s="5">
        <f>IF(AND(G891&gt;=조회시작,G891&lt;=조회종료),1,0)</f>
        <v/>
      </c>
    </row>
    <row r="892">
      <c r="A892" s="2">
        <f>ROW()-1</f>
        <v/>
      </c>
      <c r="B892" s="5">
        <f>INDEX(상호범위,D892)</f>
        <v/>
      </c>
      <c r="C892" s="5">
        <f>INDEX(플랫폼명범위,E892)</f>
        <v/>
      </c>
      <c r="D892" s="2">
        <f>MOD(INT((A892-1)/4),8)+1</f>
        <v/>
      </c>
      <c r="E892" s="2">
        <f>MOD(A892-1,4)+1</f>
        <v/>
      </c>
      <c r="F892" s="20">
        <f>축시작+INT((A892-1)/32)</f>
        <v/>
      </c>
      <c r="G892" s="20">
        <f>F892+H892</f>
        <v/>
      </c>
      <c r="H892" s="5" t="n">
        <v>5</v>
      </c>
      <c r="I892" s="2">
        <f>ROUND(INDEX(가맹점!$P$2:$P$9,D892)*INDEX(가맹점!$J$2:$M$9,D892,E892),0)</f>
        <v/>
      </c>
      <c r="J892" s="2">
        <f>ROUND(I892*(1-할인율),0)</f>
        <v/>
      </c>
      <c r="K892" s="2">
        <f>ROUNDDOWN(I892*할인율,0)</f>
        <v/>
      </c>
      <c r="L892" s="2">
        <f>ROUND(I892*INDEX(미지급률범위,E892),0)</f>
        <v/>
      </c>
      <c r="M892" s="2">
        <f>ROUND(I892*INDEX(과지급률범위,E892),0)</f>
        <v/>
      </c>
      <c r="N892" s="2">
        <f>MAX(0,L892-M892)</f>
        <v/>
      </c>
      <c r="O892" s="2">
        <f>K892-N892</f>
        <v/>
      </c>
      <c r="P892" s="2">
        <f>I892-N892</f>
        <v/>
      </c>
      <c r="Q892" s="5">
        <f>IF(G892&gt;기준일,1,0)</f>
        <v/>
      </c>
      <c r="R892" s="5">
        <f>IF(G892&lt;=기준일,1,0)</f>
        <v/>
      </c>
      <c r="S892" s="2">
        <f>J892*H892</f>
        <v/>
      </c>
      <c r="T892" s="5">
        <f>IF(AND(F892&gt;=표본시작,F892&lt;=표본종료),1,0)</f>
        <v/>
      </c>
      <c r="U892" s="5">
        <f>IF(AND(G892&gt;=조회시작,G892&lt;=조회종료),1,0)</f>
        <v/>
      </c>
    </row>
    <row r="893">
      <c r="A893" s="2">
        <f>ROW()-1</f>
        <v/>
      </c>
      <c r="B893" s="5">
        <f>INDEX(상호범위,D893)</f>
        <v/>
      </c>
      <c r="C893" s="5">
        <f>INDEX(플랫폼명범위,E893)</f>
        <v/>
      </c>
      <c r="D893" s="2">
        <f>MOD(INT((A893-1)/4),8)+1</f>
        <v/>
      </c>
      <c r="E893" s="2">
        <f>MOD(A893-1,4)+1</f>
        <v/>
      </c>
      <c r="F893" s="20">
        <f>축시작+INT((A893-1)/32)</f>
        <v/>
      </c>
      <c r="G893" s="20">
        <f>F893+H893</f>
        <v/>
      </c>
      <c r="H893" s="5" t="n">
        <v>4</v>
      </c>
      <c r="I893" s="2">
        <f>ROUND(INDEX(가맹점!$P$2:$P$9,D893)*INDEX(가맹점!$J$2:$M$9,D893,E893),0)</f>
        <v/>
      </c>
      <c r="J893" s="2">
        <f>ROUND(I893*(1-할인율),0)</f>
        <v/>
      </c>
      <c r="K893" s="2">
        <f>ROUNDDOWN(I893*할인율,0)</f>
        <v/>
      </c>
      <c r="L893" s="2">
        <f>ROUND(I893*INDEX(미지급률범위,E893),0)</f>
        <v/>
      </c>
      <c r="M893" s="2">
        <f>ROUND(I893*INDEX(과지급률범위,E893),0)</f>
        <v/>
      </c>
      <c r="N893" s="2">
        <f>MAX(0,L893-M893)</f>
        <v/>
      </c>
      <c r="O893" s="2">
        <f>K893-N893</f>
        <v/>
      </c>
      <c r="P893" s="2">
        <f>I893-N893</f>
        <v/>
      </c>
      <c r="Q893" s="5">
        <f>IF(G893&gt;기준일,1,0)</f>
        <v/>
      </c>
      <c r="R893" s="5">
        <f>IF(G893&lt;=기준일,1,0)</f>
        <v/>
      </c>
      <c r="S893" s="2">
        <f>J893*H893</f>
        <v/>
      </c>
      <c r="T893" s="5">
        <f>IF(AND(F893&gt;=표본시작,F893&lt;=표본종료),1,0)</f>
        <v/>
      </c>
      <c r="U893" s="5">
        <f>IF(AND(G893&gt;=조회시작,G893&lt;=조회종료),1,0)</f>
        <v/>
      </c>
    </row>
    <row r="894">
      <c r="A894" s="2">
        <f>ROW()-1</f>
        <v/>
      </c>
      <c r="B894" s="5">
        <f>INDEX(상호범위,D894)</f>
        <v/>
      </c>
      <c r="C894" s="5">
        <f>INDEX(플랫폼명범위,E894)</f>
        <v/>
      </c>
      <c r="D894" s="2">
        <f>MOD(INT((A894-1)/4),8)+1</f>
        <v/>
      </c>
      <c r="E894" s="2">
        <f>MOD(A894-1,4)+1</f>
        <v/>
      </c>
      <c r="F894" s="20">
        <f>축시작+INT((A894-1)/32)</f>
        <v/>
      </c>
      <c r="G894" s="20">
        <f>F894+H894</f>
        <v/>
      </c>
      <c r="H894" s="5" t="n">
        <v>3</v>
      </c>
      <c r="I894" s="2">
        <f>ROUND(INDEX(가맹점!$P$2:$P$9,D894)*INDEX(가맹점!$J$2:$M$9,D894,E894),0)</f>
        <v/>
      </c>
      <c r="J894" s="2">
        <f>ROUND(I894*(1-할인율),0)</f>
        <v/>
      </c>
      <c r="K894" s="2">
        <f>ROUNDDOWN(I894*할인율,0)</f>
        <v/>
      </c>
      <c r="L894" s="2">
        <f>ROUND(I894*INDEX(미지급률범위,E894),0)</f>
        <v/>
      </c>
      <c r="M894" s="2">
        <f>ROUND(I894*INDEX(과지급률범위,E894),0)</f>
        <v/>
      </c>
      <c r="N894" s="2">
        <f>MAX(0,L894-M894)</f>
        <v/>
      </c>
      <c r="O894" s="2">
        <f>K894-N894</f>
        <v/>
      </c>
      <c r="P894" s="2">
        <f>I894-N894</f>
        <v/>
      </c>
      <c r="Q894" s="5">
        <f>IF(G894&gt;기준일,1,0)</f>
        <v/>
      </c>
      <c r="R894" s="5">
        <f>IF(G894&lt;=기준일,1,0)</f>
        <v/>
      </c>
      <c r="S894" s="2">
        <f>J894*H894</f>
        <v/>
      </c>
      <c r="T894" s="5">
        <f>IF(AND(F894&gt;=표본시작,F894&lt;=표본종료),1,0)</f>
        <v/>
      </c>
      <c r="U894" s="5">
        <f>IF(AND(G894&gt;=조회시작,G894&lt;=조회종료),1,0)</f>
        <v/>
      </c>
    </row>
    <row r="895">
      <c r="A895" s="2">
        <f>ROW()-1</f>
        <v/>
      </c>
      <c r="B895" s="5">
        <f>INDEX(상호범위,D895)</f>
        <v/>
      </c>
      <c r="C895" s="5">
        <f>INDEX(플랫폼명범위,E895)</f>
        <v/>
      </c>
      <c r="D895" s="2">
        <f>MOD(INT((A895-1)/4),8)+1</f>
        <v/>
      </c>
      <c r="E895" s="2">
        <f>MOD(A895-1,4)+1</f>
        <v/>
      </c>
      <c r="F895" s="20">
        <f>축시작+INT((A895-1)/32)</f>
        <v/>
      </c>
      <c r="G895" s="20">
        <f>F895+H895</f>
        <v/>
      </c>
      <c r="H895" s="5" t="n">
        <v>4</v>
      </c>
      <c r="I895" s="2">
        <f>ROUND(INDEX(가맹점!$P$2:$P$9,D895)*INDEX(가맹점!$J$2:$M$9,D895,E895),0)</f>
        <v/>
      </c>
      <c r="J895" s="2">
        <f>ROUND(I895*(1-할인율),0)</f>
        <v/>
      </c>
      <c r="K895" s="2">
        <f>ROUNDDOWN(I895*할인율,0)</f>
        <v/>
      </c>
      <c r="L895" s="2">
        <f>ROUND(I895*INDEX(미지급률범위,E895),0)</f>
        <v/>
      </c>
      <c r="M895" s="2">
        <f>ROUND(I895*INDEX(과지급률범위,E895),0)</f>
        <v/>
      </c>
      <c r="N895" s="2">
        <f>MAX(0,L895-M895)</f>
        <v/>
      </c>
      <c r="O895" s="2">
        <f>K895-N895</f>
        <v/>
      </c>
      <c r="P895" s="2">
        <f>I895-N895</f>
        <v/>
      </c>
      <c r="Q895" s="5">
        <f>IF(G895&gt;기준일,1,0)</f>
        <v/>
      </c>
      <c r="R895" s="5">
        <f>IF(G895&lt;=기준일,1,0)</f>
        <v/>
      </c>
      <c r="S895" s="2">
        <f>J895*H895</f>
        <v/>
      </c>
      <c r="T895" s="5">
        <f>IF(AND(F895&gt;=표본시작,F895&lt;=표본종료),1,0)</f>
        <v/>
      </c>
      <c r="U895" s="5">
        <f>IF(AND(G895&gt;=조회시작,G895&lt;=조회종료),1,0)</f>
        <v/>
      </c>
    </row>
    <row r="896">
      <c r="A896" s="2">
        <f>ROW()-1</f>
        <v/>
      </c>
      <c r="B896" s="5">
        <f>INDEX(상호범위,D896)</f>
        <v/>
      </c>
      <c r="C896" s="5">
        <f>INDEX(플랫폼명범위,E896)</f>
        <v/>
      </c>
      <c r="D896" s="2">
        <f>MOD(INT((A896-1)/4),8)+1</f>
        <v/>
      </c>
      <c r="E896" s="2">
        <f>MOD(A896-1,4)+1</f>
        <v/>
      </c>
      <c r="F896" s="20">
        <f>축시작+INT((A896-1)/32)</f>
        <v/>
      </c>
      <c r="G896" s="20">
        <f>F896+H896</f>
        <v/>
      </c>
      <c r="H896" s="5" t="n">
        <v>5</v>
      </c>
      <c r="I896" s="2">
        <f>ROUND(INDEX(가맹점!$P$2:$P$9,D896)*INDEX(가맹점!$J$2:$M$9,D896,E896),0)</f>
        <v/>
      </c>
      <c r="J896" s="2">
        <f>ROUND(I896*(1-할인율),0)</f>
        <v/>
      </c>
      <c r="K896" s="2">
        <f>ROUNDDOWN(I896*할인율,0)</f>
        <v/>
      </c>
      <c r="L896" s="2">
        <f>ROUND(I896*INDEX(미지급률범위,E896),0)</f>
        <v/>
      </c>
      <c r="M896" s="2">
        <f>ROUND(I896*INDEX(과지급률범위,E896),0)</f>
        <v/>
      </c>
      <c r="N896" s="2">
        <f>MAX(0,L896-M896)</f>
        <v/>
      </c>
      <c r="O896" s="2">
        <f>K896-N896</f>
        <v/>
      </c>
      <c r="P896" s="2">
        <f>I896-N896</f>
        <v/>
      </c>
      <c r="Q896" s="5">
        <f>IF(G896&gt;기준일,1,0)</f>
        <v/>
      </c>
      <c r="R896" s="5">
        <f>IF(G896&lt;=기준일,1,0)</f>
        <v/>
      </c>
      <c r="S896" s="2">
        <f>J896*H896</f>
        <v/>
      </c>
      <c r="T896" s="5">
        <f>IF(AND(F896&gt;=표본시작,F896&lt;=표본종료),1,0)</f>
        <v/>
      </c>
      <c r="U896" s="5">
        <f>IF(AND(G896&gt;=조회시작,G896&lt;=조회종료),1,0)</f>
        <v/>
      </c>
    </row>
    <row r="897">
      <c r="A897" s="2">
        <f>ROW()-1</f>
        <v/>
      </c>
      <c r="B897" s="5">
        <f>INDEX(상호범위,D897)</f>
        <v/>
      </c>
      <c r="C897" s="5">
        <f>INDEX(플랫폼명범위,E897)</f>
        <v/>
      </c>
      <c r="D897" s="2">
        <f>MOD(INT((A897-1)/4),8)+1</f>
        <v/>
      </c>
      <c r="E897" s="2">
        <f>MOD(A897-1,4)+1</f>
        <v/>
      </c>
      <c r="F897" s="20">
        <f>축시작+INT((A897-1)/32)</f>
        <v/>
      </c>
      <c r="G897" s="20">
        <f>F897+H897</f>
        <v/>
      </c>
      <c r="H897" s="5" t="n">
        <v>7</v>
      </c>
      <c r="I897" s="2">
        <f>ROUND(INDEX(가맹점!$P$2:$P$9,D897)*INDEX(가맹점!$J$2:$M$9,D897,E897),0)</f>
        <v/>
      </c>
      <c r="J897" s="2">
        <f>ROUND(I897*(1-할인율),0)</f>
        <v/>
      </c>
      <c r="K897" s="2">
        <f>ROUNDDOWN(I897*할인율,0)</f>
        <v/>
      </c>
      <c r="L897" s="2">
        <f>ROUND(I897*INDEX(미지급률범위,E897),0)</f>
        <v/>
      </c>
      <c r="M897" s="2">
        <f>ROUND(I897*INDEX(과지급률범위,E897),0)</f>
        <v/>
      </c>
      <c r="N897" s="2">
        <f>MAX(0,L897-M897)</f>
        <v/>
      </c>
      <c r="O897" s="2">
        <f>K897-N897</f>
        <v/>
      </c>
      <c r="P897" s="2">
        <f>I897-N897</f>
        <v/>
      </c>
      <c r="Q897" s="5">
        <f>IF(G897&gt;기준일,1,0)</f>
        <v/>
      </c>
      <c r="R897" s="5">
        <f>IF(G897&lt;=기준일,1,0)</f>
        <v/>
      </c>
      <c r="S897" s="2">
        <f>J897*H897</f>
        <v/>
      </c>
      <c r="T897" s="5">
        <f>IF(AND(F897&gt;=표본시작,F897&lt;=표본종료),1,0)</f>
        <v/>
      </c>
      <c r="U897" s="5">
        <f>IF(AND(G897&gt;=조회시작,G897&lt;=조회종료),1,0)</f>
        <v/>
      </c>
    </row>
    <row r="898">
      <c r="A898" s="2">
        <f>ROW()-1</f>
        <v/>
      </c>
      <c r="B898" s="5">
        <f>INDEX(상호범위,D898)</f>
        <v/>
      </c>
      <c r="C898" s="5">
        <f>INDEX(플랫폼명범위,E898)</f>
        <v/>
      </c>
      <c r="D898" s="2">
        <f>MOD(INT((A898-1)/4),8)+1</f>
        <v/>
      </c>
      <c r="E898" s="2">
        <f>MOD(A898-1,4)+1</f>
        <v/>
      </c>
      <c r="F898" s="20">
        <f>축시작+INT((A898-1)/32)</f>
        <v/>
      </c>
      <c r="G898" s="20">
        <f>F898+H898</f>
        <v/>
      </c>
      <c r="H898" s="5" t="n">
        <v>3</v>
      </c>
      <c r="I898" s="2">
        <f>ROUND(INDEX(가맹점!$P$2:$P$9,D898)*INDEX(가맹점!$J$2:$M$9,D898,E898),0)</f>
        <v/>
      </c>
      <c r="J898" s="2">
        <f>ROUND(I898*(1-할인율),0)</f>
        <v/>
      </c>
      <c r="K898" s="2">
        <f>ROUNDDOWN(I898*할인율,0)</f>
        <v/>
      </c>
      <c r="L898" s="2">
        <f>ROUND(I898*INDEX(미지급률범위,E898),0)</f>
        <v/>
      </c>
      <c r="M898" s="2">
        <f>ROUND(I898*INDEX(과지급률범위,E898),0)</f>
        <v/>
      </c>
      <c r="N898" s="2">
        <f>MAX(0,L898-M898)</f>
        <v/>
      </c>
      <c r="O898" s="2">
        <f>K898-N898</f>
        <v/>
      </c>
      <c r="P898" s="2">
        <f>I898-N898</f>
        <v/>
      </c>
      <c r="Q898" s="5">
        <f>IF(G898&gt;기준일,1,0)</f>
        <v/>
      </c>
      <c r="R898" s="5">
        <f>IF(G898&lt;=기준일,1,0)</f>
        <v/>
      </c>
      <c r="S898" s="2">
        <f>J898*H898</f>
        <v/>
      </c>
      <c r="T898" s="5">
        <f>IF(AND(F898&gt;=표본시작,F898&lt;=표본종료),1,0)</f>
        <v/>
      </c>
      <c r="U898" s="5">
        <f>IF(AND(G898&gt;=조회시작,G898&lt;=조회종료),1,0)</f>
        <v/>
      </c>
    </row>
    <row r="899">
      <c r="A899" s="2">
        <f>ROW()-1</f>
        <v/>
      </c>
      <c r="B899" s="5">
        <f>INDEX(상호범위,D899)</f>
        <v/>
      </c>
      <c r="C899" s="5">
        <f>INDEX(플랫폼명범위,E899)</f>
        <v/>
      </c>
      <c r="D899" s="2">
        <f>MOD(INT((A899-1)/4),8)+1</f>
        <v/>
      </c>
      <c r="E899" s="2">
        <f>MOD(A899-1,4)+1</f>
        <v/>
      </c>
      <c r="F899" s="20">
        <f>축시작+INT((A899-1)/32)</f>
        <v/>
      </c>
      <c r="G899" s="20">
        <f>F899+H899</f>
        <v/>
      </c>
      <c r="H899" s="5" t="n">
        <v>2</v>
      </c>
      <c r="I899" s="2">
        <f>ROUND(INDEX(가맹점!$P$2:$P$9,D899)*INDEX(가맹점!$J$2:$M$9,D899,E899),0)</f>
        <v/>
      </c>
      <c r="J899" s="2">
        <f>ROUND(I899*(1-할인율),0)</f>
        <v/>
      </c>
      <c r="K899" s="2">
        <f>ROUNDDOWN(I899*할인율,0)</f>
        <v/>
      </c>
      <c r="L899" s="2">
        <f>ROUND(I899*INDEX(미지급률범위,E899),0)</f>
        <v/>
      </c>
      <c r="M899" s="2">
        <f>ROUND(I899*INDEX(과지급률범위,E899),0)</f>
        <v/>
      </c>
      <c r="N899" s="2">
        <f>MAX(0,L899-M899)</f>
        <v/>
      </c>
      <c r="O899" s="2">
        <f>K899-N899</f>
        <v/>
      </c>
      <c r="P899" s="2">
        <f>I899-N899</f>
        <v/>
      </c>
      <c r="Q899" s="5">
        <f>IF(G899&gt;기준일,1,0)</f>
        <v/>
      </c>
      <c r="R899" s="5">
        <f>IF(G899&lt;=기준일,1,0)</f>
        <v/>
      </c>
      <c r="S899" s="2">
        <f>J899*H899</f>
        <v/>
      </c>
      <c r="T899" s="5">
        <f>IF(AND(F899&gt;=표본시작,F899&lt;=표본종료),1,0)</f>
        <v/>
      </c>
      <c r="U899" s="5">
        <f>IF(AND(G899&gt;=조회시작,G899&lt;=조회종료),1,0)</f>
        <v/>
      </c>
    </row>
    <row r="900">
      <c r="A900" s="2">
        <f>ROW()-1</f>
        <v/>
      </c>
      <c r="B900" s="5">
        <f>INDEX(상호범위,D900)</f>
        <v/>
      </c>
      <c r="C900" s="5">
        <f>INDEX(플랫폼명범위,E900)</f>
        <v/>
      </c>
      <c r="D900" s="2">
        <f>MOD(INT((A900-1)/4),8)+1</f>
        <v/>
      </c>
      <c r="E900" s="2">
        <f>MOD(A900-1,4)+1</f>
        <v/>
      </c>
      <c r="F900" s="20">
        <f>축시작+INT((A900-1)/32)</f>
        <v/>
      </c>
      <c r="G900" s="20">
        <f>F900+H900</f>
        <v/>
      </c>
      <c r="H900" s="5" t="n">
        <v>5</v>
      </c>
      <c r="I900" s="2">
        <f>ROUND(INDEX(가맹점!$P$2:$P$9,D900)*INDEX(가맹점!$J$2:$M$9,D900,E900),0)</f>
        <v/>
      </c>
      <c r="J900" s="2">
        <f>ROUND(I900*(1-할인율),0)</f>
        <v/>
      </c>
      <c r="K900" s="2">
        <f>ROUNDDOWN(I900*할인율,0)</f>
        <v/>
      </c>
      <c r="L900" s="2">
        <f>ROUND(I900*INDEX(미지급률범위,E900),0)</f>
        <v/>
      </c>
      <c r="M900" s="2">
        <f>ROUND(I900*INDEX(과지급률범위,E900),0)</f>
        <v/>
      </c>
      <c r="N900" s="2">
        <f>MAX(0,L900-M900)</f>
        <v/>
      </c>
      <c r="O900" s="2">
        <f>K900-N900</f>
        <v/>
      </c>
      <c r="P900" s="2">
        <f>I900-N900</f>
        <v/>
      </c>
      <c r="Q900" s="5">
        <f>IF(G900&gt;기준일,1,0)</f>
        <v/>
      </c>
      <c r="R900" s="5">
        <f>IF(G900&lt;=기준일,1,0)</f>
        <v/>
      </c>
      <c r="S900" s="2">
        <f>J900*H900</f>
        <v/>
      </c>
      <c r="T900" s="5">
        <f>IF(AND(F900&gt;=표본시작,F900&lt;=표본종료),1,0)</f>
        <v/>
      </c>
      <c r="U900" s="5">
        <f>IF(AND(G900&gt;=조회시작,G900&lt;=조회종료),1,0)</f>
        <v/>
      </c>
    </row>
    <row r="901">
      <c r="A901" s="2">
        <f>ROW()-1</f>
        <v/>
      </c>
      <c r="B901" s="5">
        <f>INDEX(상호범위,D901)</f>
        <v/>
      </c>
      <c r="C901" s="5">
        <f>INDEX(플랫폼명범위,E901)</f>
        <v/>
      </c>
      <c r="D901" s="2">
        <f>MOD(INT((A901-1)/4),8)+1</f>
        <v/>
      </c>
      <c r="E901" s="2">
        <f>MOD(A901-1,4)+1</f>
        <v/>
      </c>
      <c r="F901" s="20">
        <f>축시작+INT((A901-1)/32)</f>
        <v/>
      </c>
      <c r="G901" s="20">
        <f>F901+H901</f>
        <v/>
      </c>
      <c r="H901" s="5" t="n">
        <v>6</v>
      </c>
      <c r="I901" s="2">
        <f>ROUND(INDEX(가맹점!$P$2:$P$9,D901)*INDEX(가맹점!$J$2:$M$9,D901,E901),0)</f>
        <v/>
      </c>
      <c r="J901" s="2">
        <f>ROUND(I901*(1-할인율),0)</f>
        <v/>
      </c>
      <c r="K901" s="2">
        <f>ROUNDDOWN(I901*할인율,0)</f>
        <v/>
      </c>
      <c r="L901" s="2">
        <f>ROUND(I901*INDEX(미지급률범위,E901),0)</f>
        <v/>
      </c>
      <c r="M901" s="2">
        <f>ROUND(I901*INDEX(과지급률범위,E901),0)</f>
        <v/>
      </c>
      <c r="N901" s="2">
        <f>MAX(0,L901-M901)</f>
        <v/>
      </c>
      <c r="O901" s="2">
        <f>K901-N901</f>
        <v/>
      </c>
      <c r="P901" s="2">
        <f>I901-N901</f>
        <v/>
      </c>
      <c r="Q901" s="5">
        <f>IF(G901&gt;기준일,1,0)</f>
        <v/>
      </c>
      <c r="R901" s="5">
        <f>IF(G901&lt;=기준일,1,0)</f>
        <v/>
      </c>
      <c r="S901" s="2">
        <f>J901*H901</f>
        <v/>
      </c>
      <c r="T901" s="5">
        <f>IF(AND(F901&gt;=표본시작,F901&lt;=표본종료),1,0)</f>
        <v/>
      </c>
      <c r="U901" s="5">
        <f>IF(AND(G901&gt;=조회시작,G901&lt;=조회종료),1,0)</f>
        <v/>
      </c>
    </row>
    <row r="902">
      <c r="A902" s="2">
        <f>ROW()-1</f>
        <v/>
      </c>
      <c r="B902" s="5">
        <f>INDEX(상호범위,D902)</f>
        <v/>
      </c>
      <c r="C902" s="5">
        <f>INDEX(플랫폼명범위,E902)</f>
        <v/>
      </c>
      <c r="D902" s="2">
        <f>MOD(INT((A902-1)/4),8)+1</f>
        <v/>
      </c>
      <c r="E902" s="2">
        <f>MOD(A902-1,4)+1</f>
        <v/>
      </c>
      <c r="F902" s="20">
        <f>축시작+INT((A902-1)/32)</f>
        <v/>
      </c>
      <c r="G902" s="20">
        <f>F902+H902</f>
        <v/>
      </c>
      <c r="H902" s="5" t="n">
        <v>3</v>
      </c>
      <c r="I902" s="2">
        <f>ROUND(INDEX(가맹점!$P$2:$P$9,D902)*INDEX(가맹점!$J$2:$M$9,D902,E902),0)</f>
        <v/>
      </c>
      <c r="J902" s="2">
        <f>ROUND(I902*(1-할인율),0)</f>
        <v/>
      </c>
      <c r="K902" s="2">
        <f>ROUNDDOWN(I902*할인율,0)</f>
        <v/>
      </c>
      <c r="L902" s="2">
        <f>ROUND(I902*INDEX(미지급률범위,E902),0)</f>
        <v/>
      </c>
      <c r="M902" s="2">
        <f>ROUND(I902*INDEX(과지급률범위,E902),0)</f>
        <v/>
      </c>
      <c r="N902" s="2">
        <f>MAX(0,L902-M902)</f>
        <v/>
      </c>
      <c r="O902" s="2">
        <f>K902-N902</f>
        <v/>
      </c>
      <c r="P902" s="2">
        <f>I902-N902</f>
        <v/>
      </c>
      <c r="Q902" s="5">
        <f>IF(G902&gt;기준일,1,0)</f>
        <v/>
      </c>
      <c r="R902" s="5">
        <f>IF(G902&lt;=기준일,1,0)</f>
        <v/>
      </c>
      <c r="S902" s="2">
        <f>J902*H902</f>
        <v/>
      </c>
      <c r="T902" s="5">
        <f>IF(AND(F902&gt;=표본시작,F902&lt;=표본종료),1,0)</f>
        <v/>
      </c>
      <c r="U902" s="5">
        <f>IF(AND(G902&gt;=조회시작,G902&lt;=조회종료),1,0)</f>
        <v/>
      </c>
    </row>
    <row r="903">
      <c r="A903" s="2">
        <f>ROW()-1</f>
        <v/>
      </c>
      <c r="B903" s="5">
        <f>INDEX(상호범위,D903)</f>
        <v/>
      </c>
      <c r="C903" s="5">
        <f>INDEX(플랫폼명범위,E903)</f>
        <v/>
      </c>
      <c r="D903" s="2">
        <f>MOD(INT((A903-1)/4),8)+1</f>
        <v/>
      </c>
      <c r="E903" s="2">
        <f>MOD(A903-1,4)+1</f>
        <v/>
      </c>
      <c r="F903" s="20">
        <f>축시작+INT((A903-1)/32)</f>
        <v/>
      </c>
      <c r="G903" s="20">
        <f>F903+H903</f>
        <v/>
      </c>
      <c r="H903" s="5" t="n">
        <v>2</v>
      </c>
      <c r="I903" s="2">
        <f>ROUND(INDEX(가맹점!$P$2:$P$9,D903)*INDEX(가맹점!$J$2:$M$9,D903,E903),0)</f>
        <v/>
      </c>
      <c r="J903" s="2">
        <f>ROUND(I903*(1-할인율),0)</f>
        <v/>
      </c>
      <c r="K903" s="2">
        <f>ROUNDDOWN(I903*할인율,0)</f>
        <v/>
      </c>
      <c r="L903" s="2">
        <f>ROUND(I903*INDEX(미지급률범위,E903),0)</f>
        <v/>
      </c>
      <c r="M903" s="2">
        <f>ROUND(I903*INDEX(과지급률범위,E903),0)</f>
        <v/>
      </c>
      <c r="N903" s="2">
        <f>MAX(0,L903-M903)</f>
        <v/>
      </c>
      <c r="O903" s="2">
        <f>K903-N903</f>
        <v/>
      </c>
      <c r="P903" s="2">
        <f>I903-N903</f>
        <v/>
      </c>
      <c r="Q903" s="5">
        <f>IF(G903&gt;기준일,1,0)</f>
        <v/>
      </c>
      <c r="R903" s="5">
        <f>IF(G903&lt;=기준일,1,0)</f>
        <v/>
      </c>
      <c r="S903" s="2">
        <f>J903*H903</f>
        <v/>
      </c>
      <c r="T903" s="5">
        <f>IF(AND(F903&gt;=표본시작,F903&lt;=표본종료),1,0)</f>
        <v/>
      </c>
      <c r="U903" s="5">
        <f>IF(AND(G903&gt;=조회시작,G903&lt;=조회종료),1,0)</f>
        <v/>
      </c>
    </row>
    <row r="904">
      <c r="A904" s="2">
        <f>ROW()-1</f>
        <v/>
      </c>
      <c r="B904" s="5">
        <f>INDEX(상호범위,D904)</f>
        <v/>
      </c>
      <c r="C904" s="5">
        <f>INDEX(플랫폼명범위,E904)</f>
        <v/>
      </c>
      <c r="D904" s="2">
        <f>MOD(INT((A904-1)/4),8)+1</f>
        <v/>
      </c>
      <c r="E904" s="2">
        <f>MOD(A904-1,4)+1</f>
        <v/>
      </c>
      <c r="F904" s="20">
        <f>축시작+INT((A904-1)/32)</f>
        <v/>
      </c>
      <c r="G904" s="20">
        <f>F904+H904</f>
        <v/>
      </c>
      <c r="H904" s="5" t="n">
        <v>5</v>
      </c>
      <c r="I904" s="2">
        <f>ROUND(INDEX(가맹점!$P$2:$P$9,D904)*INDEX(가맹점!$J$2:$M$9,D904,E904),0)</f>
        <v/>
      </c>
      <c r="J904" s="2">
        <f>ROUND(I904*(1-할인율),0)</f>
        <v/>
      </c>
      <c r="K904" s="2">
        <f>ROUNDDOWN(I904*할인율,0)</f>
        <v/>
      </c>
      <c r="L904" s="2">
        <f>ROUND(I904*INDEX(미지급률범위,E904),0)</f>
        <v/>
      </c>
      <c r="M904" s="2">
        <f>ROUND(I904*INDEX(과지급률범위,E904),0)</f>
        <v/>
      </c>
      <c r="N904" s="2">
        <f>MAX(0,L904-M904)</f>
        <v/>
      </c>
      <c r="O904" s="2">
        <f>K904-N904</f>
        <v/>
      </c>
      <c r="P904" s="2">
        <f>I904-N904</f>
        <v/>
      </c>
      <c r="Q904" s="5">
        <f>IF(G904&gt;기준일,1,0)</f>
        <v/>
      </c>
      <c r="R904" s="5">
        <f>IF(G904&lt;=기준일,1,0)</f>
        <v/>
      </c>
      <c r="S904" s="2">
        <f>J904*H904</f>
        <v/>
      </c>
      <c r="T904" s="5">
        <f>IF(AND(F904&gt;=표본시작,F904&lt;=표본종료),1,0)</f>
        <v/>
      </c>
      <c r="U904" s="5">
        <f>IF(AND(G904&gt;=조회시작,G904&lt;=조회종료),1,0)</f>
        <v/>
      </c>
    </row>
    <row r="905">
      <c r="A905" s="2">
        <f>ROW()-1</f>
        <v/>
      </c>
      <c r="B905" s="5">
        <f>INDEX(상호범위,D905)</f>
        <v/>
      </c>
      <c r="C905" s="5">
        <f>INDEX(플랫폼명범위,E905)</f>
        <v/>
      </c>
      <c r="D905" s="2">
        <f>MOD(INT((A905-1)/4),8)+1</f>
        <v/>
      </c>
      <c r="E905" s="2">
        <f>MOD(A905-1,4)+1</f>
        <v/>
      </c>
      <c r="F905" s="20">
        <f>축시작+INT((A905-1)/32)</f>
        <v/>
      </c>
      <c r="G905" s="20">
        <f>F905+H905</f>
        <v/>
      </c>
      <c r="H905" s="5" t="n">
        <v>6</v>
      </c>
      <c r="I905" s="2">
        <f>ROUND(INDEX(가맹점!$P$2:$P$9,D905)*INDEX(가맹점!$J$2:$M$9,D905,E905),0)</f>
        <v/>
      </c>
      <c r="J905" s="2">
        <f>ROUND(I905*(1-할인율),0)</f>
        <v/>
      </c>
      <c r="K905" s="2">
        <f>ROUNDDOWN(I905*할인율,0)</f>
        <v/>
      </c>
      <c r="L905" s="2">
        <f>ROUND(I905*INDEX(미지급률범위,E905),0)</f>
        <v/>
      </c>
      <c r="M905" s="2">
        <f>ROUND(I905*INDEX(과지급률범위,E905),0)</f>
        <v/>
      </c>
      <c r="N905" s="2">
        <f>MAX(0,L905-M905)</f>
        <v/>
      </c>
      <c r="O905" s="2">
        <f>K905-N905</f>
        <v/>
      </c>
      <c r="P905" s="2">
        <f>I905-N905</f>
        <v/>
      </c>
      <c r="Q905" s="5">
        <f>IF(G905&gt;기준일,1,0)</f>
        <v/>
      </c>
      <c r="R905" s="5">
        <f>IF(G905&lt;=기준일,1,0)</f>
        <v/>
      </c>
      <c r="S905" s="2">
        <f>J905*H905</f>
        <v/>
      </c>
      <c r="T905" s="5">
        <f>IF(AND(F905&gt;=표본시작,F905&lt;=표본종료),1,0)</f>
        <v/>
      </c>
      <c r="U905" s="5">
        <f>IF(AND(G905&gt;=조회시작,G905&lt;=조회종료),1,0)</f>
        <v/>
      </c>
    </row>
    <row r="906">
      <c r="A906" s="2">
        <f>ROW()-1</f>
        <v/>
      </c>
      <c r="B906" s="5">
        <f>INDEX(상호범위,D906)</f>
        <v/>
      </c>
      <c r="C906" s="5">
        <f>INDEX(플랫폼명범위,E906)</f>
        <v/>
      </c>
      <c r="D906" s="2">
        <f>MOD(INT((A906-1)/4),8)+1</f>
        <v/>
      </c>
      <c r="E906" s="2">
        <f>MOD(A906-1,4)+1</f>
        <v/>
      </c>
      <c r="F906" s="20">
        <f>축시작+INT((A906-1)/32)</f>
        <v/>
      </c>
      <c r="G906" s="20">
        <f>F906+H906</f>
        <v/>
      </c>
      <c r="H906" s="5" t="n">
        <v>1</v>
      </c>
      <c r="I906" s="2">
        <f>ROUND(INDEX(가맹점!$P$2:$P$9,D906)*INDEX(가맹점!$J$2:$M$9,D906,E906),0)</f>
        <v/>
      </c>
      <c r="J906" s="2">
        <f>ROUND(I906*(1-할인율),0)</f>
        <v/>
      </c>
      <c r="K906" s="2">
        <f>ROUNDDOWN(I906*할인율,0)</f>
        <v/>
      </c>
      <c r="L906" s="2">
        <f>ROUND(I906*INDEX(미지급률범위,E906),0)</f>
        <v/>
      </c>
      <c r="M906" s="2">
        <f>ROUND(I906*INDEX(과지급률범위,E906),0)</f>
        <v/>
      </c>
      <c r="N906" s="2">
        <f>MAX(0,L906-M906)</f>
        <v/>
      </c>
      <c r="O906" s="2">
        <f>K906-N906</f>
        <v/>
      </c>
      <c r="P906" s="2">
        <f>I906-N906</f>
        <v/>
      </c>
      <c r="Q906" s="5">
        <f>IF(G906&gt;기준일,1,0)</f>
        <v/>
      </c>
      <c r="R906" s="5">
        <f>IF(G906&lt;=기준일,1,0)</f>
        <v/>
      </c>
      <c r="S906" s="2">
        <f>J906*H906</f>
        <v/>
      </c>
      <c r="T906" s="5">
        <f>IF(AND(F906&gt;=표본시작,F906&lt;=표본종료),1,0)</f>
        <v/>
      </c>
      <c r="U906" s="5">
        <f>IF(AND(G906&gt;=조회시작,G906&lt;=조회종료),1,0)</f>
        <v/>
      </c>
    </row>
    <row r="907">
      <c r="A907" s="2">
        <f>ROW()-1</f>
        <v/>
      </c>
      <c r="B907" s="5">
        <f>INDEX(상호범위,D907)</f>
        <v/>
      </c>
      <c r="C907" s="5">
        <f>INDEX(플랫폼명범위,E907)</f>
        <v/>
      </c>
      <c r="D907" s="2">
        <f>MOD(INT((A907-1)/4),8)+1</f>
        <v/>
      </c>
      <c r="E907" s="2">
        <f>MOD(A907-1,4)+1</f>
        <v/>
      </c>
      <c r="F907" s="20">
        <f>축시작+INT((A907-1)/32)</f>
        <v/>
      </c>
      <c r="G907" s="20">
        <f>F907+H907</f>
        <v/>
      </c>
      <c r="H907" s="5" t="n">
        <v>2</v>
      </c>
      <c r="I907" s="2">
        <f>ROUND(INDEX(가맹점!$P$2:$P$9,D907)*INDEX(가맹점!$J$2:$M$9,D907,E907),0)</f>
        <v/>
      </c>
      <c r="J907" s="2">
        <f>ROUND(I907*(1-할인율),0)</f>
        <v/>
      </c>
      <c r="K907" s="2">
        <f>ROUNDDOWN(I907*할인율,0)</f>
        <v/>
      </c>
      <c r="L907" s="2">
        <f>ROUND(I907*INDEX(미지급률범위,E907),0)</f>
        <v/>
      </c>
      <c r="M907" s="2">
        <f>ROUND(I907*INDEX(과지급률범위,E907),0)</f>
        <v/>
      </c>
      <c r="N907" s="2">
        <f>MAX(0,L907-M907)</f>
        <v/>
      </c>
      <c r="O907" s="2">
        <f>K907-N907</f>
        <v/>
      </c>
      <c r="P907" s="2">
        <f>I907-N907</f>
        <v/>
      </c>
      <c r="Q907" s="5">
        <f>IF(G907&gt;기준일,1,0)</f>
        <v/>
      </c>
      <c r="R907" s="5">
        <f>IF(G907&lt;=기준일,1,0)</f>
        <v/>
      </c>
      <c r="S907" s="2">
        <f>J907*H907</f>
        <v/>
      </c>
      <c r="T907" s="5">
        <f>IF(AND(F907&gt;=표본시작,F907&lt;=표본종료),1,0)</f>
        <v/>
      </c>
      <c r="U907" s="5">
        <f>IF(AND(G907&gt;=조회시작,G907&lt;=조회종료),1,0)</f>
        <v/>
      </c>
    </row>
    <row r="908">
      <c r="A908" s="2">
        <f>ROW()-1</f>
        <v/>
      </c>
      <c r="B908" s="5">
        <f>INDEX(상호범위,D908)</f>
        <v/>
      </c>
      <c r="C908" s="5">
        <f>INDEX(플랫폼명범위,E908)</f>
        <v/>
      </c>
      <c r="D908" s="2">
        <f>MOD(INT((A908-1)/4),8)+1</f>
        <v/>
      </c>
      <c r="E908" s="2">
        <f>MOD(A908-1,4)+1</f>
        <v/>
      </c>
      <c r="F908" s="20">
        <f>축시작+INT((A908-1)/32)</f>
        <v/>
      </c>
      <c r="G908" s="20">
        <f>F908+H908</f>
        <v/>
      </c>
      <c r="H908" s="5" t="n">
        <v>5</v>
      </c>
      <c r="I908" s="2">
        <f>ROUND(INDEX(가맹점!$P$2:$P$9,D908)*INDEX(가맹점!$J$2:$M$9,D908,E908),0)</f>
        <v/>
      </c>
      <c r="J908" s="2">
        <f>ROUND(I908*(1-할인율),0)</f>
        <v/>
      </c>
      <c r="K908" s="2">
        <f>ROUNDDOWN(I908*할인율,0)</f>
        <v/>
      </c>
      <c r="L908" s="2">
        <f>ROUND(I908*INDEX(미지급률범위,E908),0)</f>
        <v/>
      </c>
      <c r="M908" s="2">
        <f>ROUND(I908*INDEX(과지급률범위,E908),0)</f>
        <v/>
      </c>
      <c r="N908" s="2">
        <f>MAX(0,L908-M908)</f>
        <v/>
      </c>
      <c r="O908" s="2">
        <f>K908-N908</f>
        <v/>
      </c>
      <c r="P908" s="2">
        <f>I908-N908</f>
        <v/>
      </c>
      <c r="Q908" s="5">
        <f>IF(G908&gt;기준일,1,0)</f>
        <v/>
      </c>
      <c r="R908" s="5">
        <f>IF(G908&lt;=기준일,1,0)</f>
        <v/>
      </c>
      <c r="S908" s="2">
        <f>J908*H908</f>
        <v/>
      </c>
      <c r="T908" s="5">
        <f>IF(AND(F908&gt;=표본시작,F908&lt;=표본종료),1,0)</f>
        <v/>
      </c>
      <c r="U908" s="5">
        <f>IF(AND(G908&gt;=조회시작,G908&lt;=조회종료),1,0)</f>
        <v/>
      </c>
    </row>
    <row r="909">
      <c r="A909" s="2">
        <f>ROW()-1</f>
        <v/>
      </c>
      <c r="B909" s="5">
        <f>INDEX(상호범위,D909)</f>
        <v/>
      </c>
      <c r="C909" s="5">
        <f>INDEX(플랫폼명범위,E909)</f>
        <v/>
      </c>
      <c r="D909" s="2">
        <f>MOD(INT((A909-1)/4),8)+1</f>
        <v/>
      </c>
      <c r="E909" s="2">
        <f>MOD(A909-1,4)+1</f>
        <v/>
      </c>
      <c r="F909" s="20">
        <f>축시작+INT((A909-1)/32)</f>
        <v/>
      </c>
      <c r="G909" s="20">
        <f>F909+H909</f>
        <v/>
      </c>
      <c r="H909" s="5" t="n">
        <v>4</v>
      </c>
      <c r="I909" s="2">
        <f>ROUND(INDEX(가맹점!$P$2:$P$9,D909)*INDEX(가맹점!$J$2:$M$9,D909,E909),0)</f>
        <v/>
      </c>
      <c r="J909" s="2">
        <f>ROUND(I909*(1-할인율),0)</f>
        <v/>
      </c>
      <c r="K909" s="2">
        <f>ROUNDDOWN(I909*할인율,0)</f>
        <v/>
      </c>
      <c r="L909" s="2">
        <f>ROUND(I909*INDEX(미지급률범위,E909),0)</f>
        <v/>
      </c>
      <c r="M909" s="2">
        <f>ROUND(I909*INDEX(과지급률범위,E909),0)</f>
        <v/>
      </c>
      <c r="N909" s="2">
        <f>MAX(0,L909-M909)</f>
        <v/>
      </c>
      <c r="O909" s="2">
        <f>K909-N909</f>
        <v/>
      </c>
      <c r="P909" s="2">
        <f>I909-N909</f>
        <v/>
      </c>
      <c r="Q909" s="5">
        <f>IF(G909&gt;기준일,1,0)</f>
        <v/>
      </c>
      <c r="R909" s="5">
        <f>IF(G909&lt;=기준일,1,0)</f>
        <v/>
      </c>
      <c r="S909" s="2">
        <f>J909*H909</f>
        <v/>
      </c>
      <c r="T909" s="5">
        <f>IF(AND(F909&gt;=표본시작,F909&lt;=표본종료),1,0)</f>
        <v/>
      </c>
      <c r="U909" s="5">
        <f>IF(AND(G909&gt;=조회시작,G909&lt;=조회종료),1,0)</f>
        <v/>
      </c>
    </row>
    <row r="910">
      <c r="A910" s="2">
        <f>ROW()-1</f>
        <v/>
      </c>
      <c r="B910" s="5">
        <f>INDEX(상호범위,D910)</f>
        <v/>
      </c>
      <c r="C910" s="5">
        <f>INDEX(플랫폼명범위,E910)</f>
        <v/>
      </c>
      <c r="D910" s="2">
        <f>MOD(INT((A910-1)/4),8)+1</f>
        <v/>
      </c>
      <c r="E910" s="2">
        <f>MOD(A910-1,4)+1</f>
        <v/>
      </c>
      <c r="F910" s="20">
        <f>축시작+INT((A910-1)/32)</f>
        <v/>
      </c>
      <c r="G910" s="20">
        <f>F910+H910</f>
        <v/>
      </c>
      <c r="H910" s="5" t="n">
        <v>1</v>
      </c>
      <c r="I910" s="2">
        <f>ROUND(INDEX(가맹점!$P$2:$P$9,D910)*INDEX(가맹점!$J$2:$M$9,D910,E910),0)</f>
        <v/>
      </c>
      <c r="J910" s="2">
        <f>ROUND(I910*(1-할인율),0)</f>
        <v/>
      </c>
      <c r="K910" s="2">
        <f>ROUNDDOWN(I910*할인율,0)</f>
        <v/>
      </c>
      <c r="L910" s="2">
        <f>ROUND(I910*INDEX(미지급률범위,E910),0)</f>
        <v/>
      </c>
      <c r="M910" s="2">
        <f>ROUND(I910*INDEX(과지급률범위,E910),0)</f>
        <v/>
      </c>
      <c r="N910" s="2">
        <f>MAX(0,L910-M910)</f>
        <v/>
      </c>
      <c r="O910" s="2">
        <f>K910-N910</f>
        <v/>
      </c>
      <c r="P910" s="2">
        <f>I910-N910</f>
        <v/>
      </c>
      <c r="Q910" s="5">
        <f>IF(G910&gt;기준일,1,0)</f>
        <v/>
      </c>
      <c r="R910" s="5">
        <f>IF(G910&lt;=기준일,1,0)</f>
        <v/>
      </c>
      <c r="S910" s="2">
        <f>J910*H910</f>
        <v/>
      </c>
      <c r="T910" s="5">
        <f>IF(AND(F910&gt;=표본시작,F910&lt;=표본종료),1,0)</f>
        <v/>
      </c>
      <c r="U910" s="5">
        <f>IF(AND(G910&gt;=조회시작,G910&lt;=조회종료),1,0)</f>
        <v/>
      </c>
    </row>
    <row r="911">
      <c r="A911" s="2">
        <f>ROW()-1</f>
        <v/>
      </c>
      <c r="B911" s="5">
        <f>INDEX(상호범위,D911)</f>
        <v/>
      </c>
      <c r="C911" s="5">
        <f>INDEX(플랫폼명범위,E911)</f>
        <v/>
      </c>
      <c r="D911" s="2">
        <f>MOD(INT((A911-1)/4),8)+1</f>
        <v/>
      </c>
      <c r="E911" s="2">
        <f>MOD(A911-1,4)+1</f>
        <v/>
      </c>
      <c r="F911" s="20">
        <f>축시작+INT((A911-1)/32)</f>
        <v/>
      </c>
      <c r="G911" s="20">
        <f>F911+H911</f>
        <v/>
      </c>
      <c r="H911" s="5" t="n">
        <v>4</v>
      </c>
      <c r="I911" s="2">
        <f>ROUND(INDEX(가맹점!$P$2:$P$9,D911)*INDEX(가맹점!$J$2:$M$9,D911,E911),0)</f>
        <v/>
      </c>
      <c r="J911" s="2">
        <f>ROUND(I911*(1-할인율),0)</f>
        <v/>
      </c>
      <c r="K911" s="2">
        <f>ROUNDDOWN(I911*할인율,0)</f>
        <v/>
      </c>
      <c r="L911" s="2">
        <f>ROUND(I911*INDEX(미지급률범위,E911),0)</f>
        <v/>
      </c>
      <c r="M911" s="2">
        <f>ROUND(I911*INDEX(과지급률범위,E911),0)</f>
        <v/>
      </c>
      <c r="N911" s="2">
        <f>MAX(0,L911-M911)</f>
        <v/>
      </c>
      <c r="O911" s="2">
        <f>K911-N911</f>
        <v/>
      </c>
      <c r="P911" s="2">
        <f>I911-N911</f>
        <v/>
      </c>
      <c r="Q911" s="5">
        <f>IF(G911&gt;기준일,1,0)</f>
        <v/>
      </c>
      <c r="R911" s="5">
        <f>IF(G911&lt;=기준일,1,0)</f>
        <v/>
      </c>
      <c r="S911" s="2">
        <f>J911*H911</f>
        <v/>
      </c>
      <c r="T911" s="5">
        <f>IF(AND(F911&gt;=표본시작,F911&lt;=표본종료),1,0)</f>
        <v/>
      </c>
      <c r="U911" s="5">
        <f>IF(AND(G911&gt;=조회시작,G911&lt;=조회종료),1,0)</f>
        <v/>
      </c>
    </row>
    <row r="912">
      <c r="A912" s="2">
        <f>ROW()-1</f>
        <v/>
      </c>
      <c r="B912" s="5">
        <f>INDEX(상호범위,D912)</f>
        <v/>
      </c>
      <c r="C912" s="5">
        <f>INDEX(플랫폼명범위,E912)</f>
        <v/>
      </c>
      <c r="D912" s="2">
        <f>MOD(INT((A912-1)/4),8)+1</f>
        <v/>
      </c>
      <c r="E912" s="2">
        <f>MOD(A912-1,4)+1</f>
        <v/>
      </c>
      <c r="F912" s="20">
        <f>축시작+INT((A912-1)/32)</f>
        <v/>
      </c>
      <c r="G912" s="20">
        <f>F912+H912</f>
        <v/>
      </c>
      <c r="H912" s="5" t="n">
        <v>5</v>
      </c>
      <c r="I912" s="2">
        <f>ROUND(INDEX(가맹점!$P$2:$P$9,D912)*INDEX(가맹점!$J$2:$M$9,D912,E912),0)</f>
        <v/>
      </c>
      <c r="J912" s="2">
        <f>ROUND(I912*(1-할인율),0)</f>
        <v/>
      </c>
      <c r="K912" s="2">
        <f>ROUNDDOWN(I912*할인율,0)</f>
        <v/>
      </c>
      <c r="L912" s="2">
        <f>ROUND(I912*INDEX(미지급률범위,E912),0)</f>
        <v/>
      </c>
      <c r="M912" s="2">
        <f>ROUND(I912*INDEX(과지급률범위,E912),0)</f>
        <v/>
      </c>
      <c r="N912" s="2">
        <f>MAX(0,L912-M912)</f>
        <v/>
      </c>
      <c r="O912" s="2">
        <f>K912-N912</f>
        <v/>
      </c>
      <c r="P912" s="2">
        <f>I912-N912</f>
        <v/>
      </c>
      <c r="Q912" s="5">
        <f>IF(G912&gt;기준일,1,0)</f>
        <v/>
      </c>
      <c r="R912" s="5">
        <f>IF(G912&lt;=기준일,1,0)</f>
        <v/>
      </c>
      <c r="S912" s="2">
        <f>J912*H912</f>
        <v/>
      </c>
      <c r="T912" s="5">
        <f>IF(AND(F912&gt;=표본시작,F912&lt;=표본종료),1,0)</f>
        <v/>
      </c>
      <c r="U912" s="5">
        <f>IF(AND(G912&gt;=조회시작,G912&lt;=조회종료),1,0)</f>
        <v/>
      </c>
    </row>
    <row r="913">
      <c r="A913" s="2">
        <f>ROW()-1</f>
        <v/>
      </c>
      <c r="B913" s="5">
        <f>INDEX(상호범위,D913)</f>
        <v/>
      </c>
      <c r="C913" s="5">
        <f>INDEX(플랫폼명범위,E913)</f>
        <v/>
      </c>
      <c r="D913" s="2">
        <f>MOD(INT((A913-1)/4),8)+1</f>
        <v/>
      </c>
      <c r="E913" s="2">
        <f>MOD(A913-1,4)+1</f>
        <v/>
      </c>
      <c r="F913" s="20">
        <f>축시작+INT((A913-1)/32)</f>
        <v/>
      </c>
      <c r="G913" s="20">
        <f>F913+H913</f>
        <v/>
      </c>
      <c r="H913" s="5" t="n">
        <v>8</v>
      </c>
      <c r="I913" s="2">
        <f>ROUND(INDEX(가맹점!$P$2:$P$9,D913)*INDEX(가맹점!$J$2:$M$9,D913,E913),0)</f>
        <v/>
      </c>
      <c r="J913" s="2">
        <f>ROUND(I913*(1-할인율),0)</f>
        <v/>
      </c>
      <c r="K913" s="2">
        <f>ROUNDDOWN(I913*할인율,0)</f>
        <v/>
      </c>
      <c r="L913" s="2">
        <f>ROUND(I913*INDEX(미지급률범위,E913),0)</f>
        <v/>
      </c>
      <c r="M913" s="2">
        <f>ROUND(I913*INDEX(과지급률범위,E913),0)</f>
        <v/>
      </c>
      <c r="N913" s="2">
        <f>MAX(0,L913-M913)</f>
        <v/>
      </c>
      <c r="O913" s="2">
        <f>K913-N913</f>
        <v/>
      </c>
      <c r="P913" s="2">
        <f>I913-N913</f>
        <v/>
      </c>
      <c r="Q913" s="5">
        <f>IF(G913&gt;기준일,1,0)</f>
        <v/>
      </c>
      <c r="R913" s="5">
        <f>IF(G913&lt;=기준일,1,0)</f>
        <v/>
      </c>
      <c r="S913" s="2">
        <f>J913*H913</f>
        <v/>
      </c>
      <c r="T913" s="5">
        <f>IF(AND(F913&gt;=표본시작,F913&lt;=표본종료),1,0)</f>
        <v/>
      </c>
      <c r="U913" s="5">
        <f>IF(AND(G913&gt;=조회시작,G913&lt;=조회종료),1,0)</f>
        <v/>
      </c>
    </row>
    <row r="914">
      <c r="A914" s="2">
        <f>ROW()-1</f>
        <v/>
      </c>
      <c r="B914" s="5">
        <f>INDEX(상호범위,D914)</f>
        <v/>
      </c>
      <c r="C914" s="5">
        <f>INDEX(플랫폼명범위,E914)</f>
        <v/>
      </c>
      <c r="D914" s="2">
        <f>MOD(INT((A914-1)/4),8)+1</f>
        <v/>
      </c>
      <c r="E914" s="2">
        <f>MOD(A914-1,4)+1</f>
        <v/>
      </c>
      <c r="F914" s="20">
        <f>축시작+INT((A914-1)/32)</f>
        <v/>
      </c>
      <c r="G914" s="20">
        <f>F914+H914</f>
        <v/>
      </c>
      <c r="H914" s="5" t="n">
        <v>3</v>
      </c>
      <c r="I914" s="2">
        <f>ROUND(INDEX(가맹점!$P$2:$P$9,D914)*INDEX(가맹점!$J$2:$M$9,D914,E914),0)</f>
        <v/>
      </c>
      <c r="J914" s="2">
        <f>ROUND(I914*(1-할인율),0)</f>
        <v/>
      </c>
      <c r="K914" s="2">
        <f>ROUNDDOWN(I914*할인율,0)</f>
        <v/>
      </c>
      <c r="L914" s="2">
        <f>ROUND(I914*INDEX(미지급률범위,E914),0)</f>
        <v/>
      </c>
      <c r="M914" s="2">
        <f>ROUND(I914*INDEX(과지급률범위,E914),0)</f>
        <v/>
      </c>
      <c r="N914" s="2">
        <f>MAX(0,L914-M914)</f>
        <v/>
      </c>
      <c r="O914" s="2">
        <f>K914-N914</f>
        <v/>
      </c>
      <c r="P914" s="2">
        <f>I914-N914</f>
        <v/>
      </c>
      <c r="Q914" s="5">
        <f>IF(G914&gt;기준일,1,0)</f>
        <v/>
      </c>
      <c r="R914" s="5">
        <f>IF(G914&lt;=기준일,1,0)</f>
        <v/>
      </c>
      <c r="S914" s="2">
        <f>J914*H914</f>
        <v/>
      </c>
      <c r="T914" s="5">
        <f>IF(AND(F914&gt;=표본시작,F914&lt;=표본종료),1,0)</f>
        <v/>
      </c>
      <c r="U914" s="5">
        <f>IF(AND(G914&gt;=조회시작,G914&lt;=조회종료),1,0)</f>
        <v/>
      </c>
    </row>
    <row r="915">
      <c r="A915" s="2">
        <f>ROW()-1</f>
        <v/>
      </c>
      <c r="B915" s="5">
        <f>INDEX(상호범위,D915)</f>
        <v/>
      </c>
      <c r="C915" s="5">
        <f>INDEX(플랫폼명범위,E915)</f>
        <v/>
      </c>
      <c r="D915" s="2">
        <f>MOD(INT((A915-1)/4),8)+1</f>
        <v/>
      </c>
      <c r="E915" s="2">
        <f>MOD(A915-1,4)+1</f>
        <v/>
      </c>
      <c r="F915" s="20">
        <f>축시작+INT((A915-1)/32)</f>
        <v/>
      </c>
      <c r="G915" s="20">
        <f>F915+H915</f>
        <v/>
      </c>
      <c r="H915" s="5" t="n">
        <v>4</v>
      </c>
      <c r="I915" s="2">
        <f>ROUND(INDEX(가맹점!$P$2:$P$9,D915)*INDEX(가맹점!$J$2:$M$9,D915,E915),0)</f>
        <v/>
      </c>
      <c r="J915" s="2">
        <f>ROUND(I915*(1-할인율),0)</f>
        <v/>
      </c>
      <c r="K915" s="2">
        <f>ROUNDDOWN(I915*할인율,0)</f>
        <v/>
      </c>
      <c r="L915" s="2">
        <f>ROUND(I915*INDEX(미지급률범위,E915),0)</f>
        <v/>
      </c>
      <c r="M915" s="2">
        <f>ROUND(I915*INDEX(과지급률범위,E915),0)</f>
        <v/>
      </c>
      <c r="N915" s="2">
        <f>MAX(0,L915-M915)</f>
        <v/>
      </c>
      <c r="O915" s="2">
        <f>K915-N915</f>
        <v/>
      </c>
      <c r="P915" s="2">
        <f>I915-N915</f>
        <v/>
      </c>
      <c r="Q915" s="5">
        <f>IF(G915&gt;기준일,1,0)</f>
        <v/>
      </c>
      <c r="R915" s="5">
        <f>IF(G915&lt;=기준일,1,0)</f>
        <v/>
      </c>
      <c r="S915" s="2">
        <f>J915*H915</f>
        <v/>
      </c>
      <c r="T915" s="5">
        <f>IF(AND(F915&gt;=표본시작,F915&lt;=표본종료),1,0)</f>
        <v/>
      </c>
      <c r="U915" s="5">
        <f>IF(AND(G915&gt;=조회시작,G915&lt;=조회종료),1,0)</f>
        <v/>
      </c>
    </row>
    <row r="916">
      <c r="A916" s="2">
        <f>ROW()-1</f>
        <v/>
      </c>
      <c r="B916" s="5">
        <f>INDEX(상호범위,D916)</f>
        <v/>
      </c>
      <c r="C916" s="5">
        <f>INDEX(플랫폼명범위,E916)</f>
        <v/>
      </c>
      <c r="D916" s="2">
        <f>MOD(INT((A916-1)/4),8)+1</f>
        <v/>
      </c>
      <c r="E916" s="2">
        <f>MOD(A916-1,4)+1</f>
        <v/>
      </c>
      <c r="F916" s="20">
        <f>축시작+INT((A916-1)/32)</f>
        <v/>
      </c>
      <c r="G916" s="20">
        <f>F916+H916</f>
        <v/>
      </c>
      <c r="H916" s="5" t="n">
        <v>5</v>
      </c>
      <c r="I916" s="2">
        <f>ROUND(INDEX(가맹점!$P$2:$P$9,D916)*INDEX(가맹점!$J$2:$M$9,D916,E916),0)</f>
        <v/>
      </c>
      <c r="J916" s="2">
        <f>ROUND(I916*(1-할인율),0)</f>
        <v/>
      </c>
      <c r="K916" s="2">
        <f>ROUNDDOWN(I916*할인율,0)</f>
        <v/>
      </c>
      <c r="L916" s="2">
        <f>ROUND(I916*INDEX(미지급률범위,E916),0)</f>
        <v/>
      </c>
      <c r="M916" s="2">
        <f>ROUND(I916*INDEX(과지급률범위,E916),0)</f>
        <v/>
      </c>
      <c r="N916" s="2">
        <f>MAX(0,L916-M916)</f>
        <v/>
      </c>
      <c r="O916" s="2">
        <f>K916-N916</f>
        <v/>
      </c>
      <c r="P916" s="2">
        <f>I916-N916</f>
        <v/>
      </c>
      <c r="Q916" s="5">
        <f>IF(G916&gt;기준일,1,0)</f>
        <v/>
      </c>
      <c r="R916" s="5">
        <f>IF(G916&lt;=기준일,1,0)</f>
        <v/>
      </c>
      <c r="S916" s="2">
        <f>J916*H916</f>
        <v/>
      </c>
      <c r="T916" s="5">
        <f>IF(AND(F916&gt;=표본시작,F916&lt;=표본종료),1,0)</f>
        <v/>
      </c>
      <c r="U916" s="5">
        <f>IF(AND(G916&gt;=조회시작,G916&lt;=조회종료),1,0)</f>
        <v/>
      </c>
    </row>
    <row r="917">
      <c r="A917" s="2">
        <f>ROW()-1</f>
        <v/>
      </c>
      <c r="B917" s="5">
        <f>INDEX(상호범위,D917)</f>
        <v/>
      </c>
      <c r="C917" s="5">
        <f>INDEX(플랫폼명범위,E917)</f>
        <v/>
      </c>
      <c r="D917" s="2">
        <f>MOD(INT((A917-1)/4),8)+1</f>
        <v/>
      </c>
      <c r="E917" s="2">
        <f>MOD(A917-1,4)+1</f>
        <v/>
      </c>
      <c r="F917" s="20">
        <f>축시작+INT((A917-1)/32)</f>
        <v/>
      </c>
      <c r="G917" s="20">
        <f>F917+H917</f>
        <v/>
      </c>
      <c r="H917" s="5" t="n">
        <v>4</v>
      </c>
      <c r="I917" s="2">
        <f>ROUND(INDEX(가맹점!$P$2:$P$9,D917)*INDEX(가맹점!$J$2:$M$9,D917,E917),0)</f>
        <v/>
      </c>
      <c r="J917" s="2">
        <f>ROUND(I917*(1-할인율),0)</f>
        <v/>
      </c>
      <c r="K917" s="2">
        <f>ROUNDDOWN(I917*할인율,0)</f>
        <v/>
      </c>
      <c r="L917" s="2">
        <f>ROUND(I917*INDEX(미지급률범위,E917),0)</f>
        <v/>
      </c>
      <c r="M917" s="2">
        <f>ROUND(I917*INDEX(과지급률범위,E917),0)</f>
        <v/>
      </c>
      <c r="N917" s="2">
        <f>MAX(0,L917-M917)</f>
        <v/>
      </c>
      <c r="O917" s="2">
        <f>K917-N917</f>
        <v/>
      </c>
      <c r="P917" s="2">
        <f>I917-N917</f>
        <v/>
      </c>
      <c r="Q917" s="5">
        <f>IF(G917&gt;기준일,1,0)</f>
        <v/>
      </c>
      <c r="R917" s="5">
        <f>IF(G917&lt;=기준일,1,0)</f>
        <v/>
      </c>
      <c r="S917" s="2">
        <f>J917*H917</f>
        <v/>
      </c>
      <c r="T917" s="5">
        <f>IF(AND(F917&gt;=표본시작,F917&lt;=표본종료),1,0)</f>
        <v/>
      </c>
      <c r="U917" s="5">
        <f>IF(AND(G917&gt;=조회시작,G917&lt;=조회종료),1,0)</f>
        <v/>
      </c>
    </row>
    <row r="918">
      <c r="A918" s="2">
        <f>ROW()-1</f>
        <v/>
      </c>
      <c r="B918" s="5">
        <f>INDEX(상호범위,D918)</f>
        <v/>
      </c>
      <c r="C918" s="5">
        <f>INDEX(플랫폼명범위,E918)</f>
        <v/>
      </c>
      <c r="D918" s="2">
        <f>MOD(INT((A918-1)/4),8)+1</f>
        <v/>
      </c>
      <c r="E918" s="2">
        <f>MOD(A918-1,4)+1</f>
        <v/>
      </c>
      <c r="F918" s="20">
        <f>축시작+INT((A918-1)/32)</f>
        <v/>
      </c>
      <c r="G918" s="20">
        <f>F918+H918</f>
        <v/>
      </c>
      <c r="H918" s="5" t="n">
        <v>3</v>
      </c>
      <c r="I918" s="2">
        <f>ROUND(INDEX(가맹점!$P$2:$P$9,D918)*INDEX(가맹점!$J$2:$M$9,D918,E918),0)</f>
        <v/>
      </c>
      <c r="J918" s="2">
        <f>ROUND(I918*(1-할인율),0)</f>
        <v/>
      </c>
      <c r="K918" s="2">
        <f>ROUNDDOWN(I918*할인율,0)</f>
        <v/>
      </c>
      <c r="L918" s="2">
        <f>ROUND(I918*INDEX(미지급률범위,E918),0)</f>
        <v/>
      </c>
      <c r="M918" s="2">
        <f>ROUND(I918*INDEX(과지급률범위,E918),0)</f>
        <v/>
      </c>
      <c r="N918" s="2">
        <f>MAX(0,L918-M918)</f>
        <v/>
      </c>
      <c r="O918" s="2">
        <f>K918-N918</f>
        <v/>
      </c>
      <c r="P918" s="2">
        <f>I918-N918</f>
        <v/>
      </c>
      <c r="Q918" s="5">
        <f>IF(G918&gt;기준일,1,0)</f>
        <v/>
      </c>
      <c r="R918" s="5">
        <f>IF(G918&lt;=기준일,1,0)</f>
        <v/>
      </c>
      <c r="S918" s="2">
        <f>J918*H918</f>
        <v/>
      </c>
      <c r="T918" s="5">
        <f>IF(AND(F918&gt;=표본시작,F918&lt;=표본종료),1,0)</f>
        <v/>
      </c>
      <c r="U918" s="5">
        <f>IF(AND(G918&gt;=조회시작,G918&lt;=조회종료),1,0)</f>
        <v/>
      </c>
    </row>
    <row r="919">
      <c r="A919" s="2">
        <f>ROW()-1</f>
        <v/>
      </c>
      <c r="B919" s="5">
        <f>INDEX(상호범위,D919)</f>
        <v/>
      </c>
      <c r="C919" s="5">
        <f>INDEX(플랫폼명범위,E919)</f>
        <v/>
      </c>
      <c r="D919" s="2">
        <f>MOD(INT((A919-1)/4),8)+1</f>
        <v/>
      </c>
      <c r="E919" s="2">
        <f>MOD(A919-1,4)+1</f>
        <v/>
      </c>
      <c r="F919" s="20">
        <f>축시작+INT((A919-1)/32)</f>
        <v/>
      </c>
      <c r="G919" s="20">
        <f>F919+H919</f>
        <v/>
      </c>
      <c r="H919" s="5" t="n">
        <v>4</v>
      </c>
      <c r="I919" s="2">
        <f>ROUND(INDEX(가맹점!$P$2:$P$9,D919)*INDEX(가맹점!$J$2:$M$9,D919,E919),0)</f>
        <v/>
      </c>
      <c r="J919" s="2">
        <f>ROUND(I919*(1-할인율),0)</f>
        <v/>
      </c>
      <c r="K919" s="2">
        <f>ROUNDDOWN(I919*할인율,0)</f>
        <v/>
      </c>
      <c r="L919" s="2">
        <f>ROUND(I919*INDEX(미지급률범위,E919),0)</f>
        <v/>
      </c>
      <c r="M919" s="2">
        <f>ROUND(I919*INDEX(과지급률범위,E919),0)</f>
        <v/>
      </c>
      <c r="N919" s="2">
        <f>MAX(0,L919-M919)</f>
        <v/>
      </c>
      <c r="O919" s="2">
        <f>K919-N919</f>
        <v/>
      </c>
      <c r="P919" s="2">
        <f>I919-N919</f>
        <v/>
      </c>
      <c r="Q919" s="5">
        <f>IF(G919&gt;기준일,1,0)</f>
        <v/>
      </c>
      <c r="R919" s="5">
        <f>IF(G919&lt;=기준일,1,0)</f>
        <v/>
      </c>
      <c r="S919" s="2">
        <f>J919*H919</f>
        <v/>
      </c>
      <c r="T919" s="5">
        <f>IF(AND(F919&gt;=표본시작,F919&lt;=표본종료),1,0)</f>
        <v/>
      </c>
      <c r="U919" s="5">
        <f>IF(AND(G919&gt;=조회시작,G919&lt;=조회종료),1,0)</f>
        <v/>
      </c>
    </row>
    <row r="920">
      <c r="A920" s="2">
        <f>ROW()-1</f>
        <v/>
      </c>
      <c r="B920" s="5">
        <f>INDEX(상호범위,D920)</f>
        <v/>
      </c>
      <c r="C920" s="5">
        <f>INDEX(플랫폼명범위,E920)</f>
        <v/>
      </c>
      <c r="D920" s="2">
        <f>MOD(INT((A920-1)/4),8)+1</f>
        <v/>
      </c>
      <c r="E920" s="2">
        <f>MOD(A920-1,4)+1</f>
        <v/>
      </c>
      <c r="F920" s="20">
        <f>축시작+INT((A920-1)/32)</f>
        <v/>
      </c>
      <c r="G920" s="20">
        <f>F920+H920</f>
        <v/>
      </c>
      <c r="H920" s="5" t="n">
        <v>6</v>
      </c>
      <c r="I920" s="2">
        <f>ROUND(INDEX(가맹점!$P$2:$P$9,D920)*INDEX(가맹점!$J$2:$M$9,D920,E920),0)</f>
        <v/>
      </c>
      <c r="J920" s="2">
        <f>ROUND(I920*(1-할인율),0)</f>
        <v/>
      </c>
      <c r="K920" s="2">
        <f>ROUNDDOWN(I920*할인율,0)</f>
        <v/>
      </c>
      <c r="L920" s="2">
        <f>ROUND(I920*INDEX(미지급률범위,E920),0)</f>
        <v/>
      </c>
      <c r="M920" s="2">
        <f>ROUND(I920*INDEX(과지급률범위,E920),0)</f>
        <v/>
      </c>
      <c r="N920" s="2">
        <f>MAX(0,L920-M920)</f>
        <v/>
      </c>
      <c r="O920" s="2">
        <f>K920-N920</f>
        <v/>
      </c>
      <c r="P920" s="2">
        <f>I920-N920</f>
        <v/>
      </c>
      <c r="Q920" s="5">
        <f>IF(G920&gt;기준일,1,0)</f>
        <v/>
      </c>
      <c r="R920" s="5">
        <f>IF(G920&lt;=기준일,1,0)</f>
        <v/>
      </c>
      <c r="S920" s="2">
        <f>J920*H920</f>
        <v/>
      </c>
      <c r="T920" s="5">
        <f>IF(AND(F920&gt;=표본시작,F920&lt;=표본종료),1,0)</f>
        <v/>
      </c>
      <c r="U920" s="5">
        <f>IF(AND(G920&gt;=조회시작,G920&lt;=조회종료),1,0)</f>
        <v/>
      </c>
    </row>
    <row r="921">
      <c r="A921" s="2">
        <f>ROW()-1</f>
        <v/>
      </c>
      <c r="B921" s="5">
        <f>INDEX(상호범위,D921)</f>
        <v/>
      </c>
      <c r="C921" s="5">
        <f>INDEX(플랫폼명범위,E921)</f>
        <v/>
      </c>
      <c r="D921" s="2">
        <f>MOD(INT((A921-1)/4),8)+1</f>
        <v/>
      </c>
      <c r="E921" s="2">
        <f>MOD(A921-1,4)+1</f>
        <v/>
      </c>
      <c r="F921" s="20">
        <f>축시작+INT((A921-1)/32)</f>
        <v/>
      </c>
      <c r="G921" s="20">
        <f>F921+H921</f>
        <v/>
      </c>
      <c r="H921" s="5" t="n">
        <v>7</v>
      </c>
      <c r="I921" s="2">
        <f>ROUND(INDEX(가맹점!$P$2:$P$9,D921)*INDEX(가맹점!$J$2:$M$9,D921,E921),0)</f>
        <v/>
      </c>
      <c r="J921" s="2">
        <f>ROUND(I921*(1-할인율),0)</f>
        <v/>
      </c>
      <c r="K921" s="2">
        <f>ROUNDDOWN(I921*할인율,0)</f>
        <v/>
      </c>
      <c r="L921" s="2">
        <f>ROUND(I921*INDEX(미지급률범위,E921),0)</f>
        <v/>
      </c>
      <c r="M921" s="2">
        <f>ROUND(I921*INDEX(과지급률범위,E921),0)</f>
        <v/>
      </c>
      <c r="N921" s="2">
        <f>MAX(0,L921-M921)</f>
        <v/>
      </c>
      <c r="O921" s="2">
        <f>K921-N921</f>
        <v/>
      </c>
      <c r="P921" s="2">
        <f>I921-N921</f>
        <v/>
      </c>
      <c r="Q921" s="5">
        <f>IF(G921&gt;기준일,1,0)</f>
        <v/>
      </c>
      <c r="R921" s="5">
        <f>IF(G921&lt;=기준일,1,0)</f>
        <v/>
      </c>
      <c r="S921" s="2">
        <f>J921*H921</f>
        <v/>
      </c>
      <c r="T921" s="5">
        <f>IF(AND(F921&gt;=표본시작,F921&lt;=표본종료),1,0)</f>
        <v/>
      </c>
      <c r="U921" s="5">
        <f>IF(AND(G921&gt;=조회시작,G921&lt;=조회종료),1,0)</f>
        <v/>
      </c>
    </row>
    <row r="922">
      <c r="A922" s="2">
        <f>ROW()-1</f>
        <v/>
      </c>
      <c r="B922" s="5">
        <f>INDEX(상호범위,D922)</f>
        <v/>
      </c>
      <c r="C922" s="5">
        <f>INDEX(플랫폼명범위,E922)</f>
        <v/>
      </c>
      <c r="D922" s="2">
        <f>MOD(INT((A922-1)/4),8)+1</f>
        <v/>
      </c>
      <c r="E922" s="2">
        <f>MOD(A922-1,4)+1</f>
        <v/>
      </c>
      <c r="F922" s="20">
        <f>축시작+INT((A922-1)/32)</f>
        <v/>
      </c>
      <c r="G922" s="20">
        <f>F922+H922</f>
        <v/>
      </c>
      <c r="H922" s="5" t="n">
        <v>1</v>
      </c>
      <c r="I922" s="2">
        <f>ROUND(INDEX(가맹점!$P$2:$P$9,D922)*INDEX(가맹점!$J$2:$M$9,D922,E922),0)</f>
        <v/>
      </c>
      <c r="J922" s="2">
        <f>ROUND(I922*(1-할인율),0)</f>
        <v/>
      </c>
      <c r="K922" s="2">
        <f>ROUNDDOWN(I922*할인율,0)</f>
        <v/>
      </c>
      <c r="L922" s="2">
        <f>ROUND(I922*INDEX(미지급률범위,E922),0)</f>
        <v/>
      </c>
      <c r="M922" s="2">
        <f>ROUND(I922*INDEX(과지급률범위,E922),0)</f>
        <v/>
      </c>
      <c r="N922" s="2">
        <f>MAX(0,L922-M922)</f>
        <v/>
      </c>
      <c r="O922" s="2">
        <f>K922-N922</f>
        <v/>
      </c>
      <c r="P922" s="2">
        <f>I922-N922</f>
        <v/>
      </c>
      <c r="Q922" s="5">
        <f>IF(G922&gt;기준일,1,0)</f>
        <v/>
      </c>
      <c r="R922" s="5">
        <f>IF(G922&lt;=기준일,1,0)</f>
        <v/>
      </c>
      <c r="S922" s="2">
        <f>J922*H922</f>
        <v/>
      </c>
      <c r="T922" s="5">
        <f>IF(AND(F922&gt;=표본시작,F922&lt;=표본종료),1,0)</f>
        <v/>
      </c>
      <c r="U922" s="5">
        <f>IF(AND(G922&gt;=조회시작,G922&lt;=조회종료),1,0)</f>
        <v/>
      </c>
    </row>
    <row r="923">
      <c r="A923" s="2">
        <f>ROW()-1</f>
        <v/>
      </c>
      <c r="B923" s="5">
        <f>INDEX(상호범위,D923)</f>
        <v/>
      </c>
      <c r="C923" s="5">
        <f>INDEX(플랫폼명범위,E923)</f>
        <v/>
      </c>
      <c r="D923" s="2">
        <f>MOD(INT((A923-1)/4),8)+1</f>
        <v/>
      </c>
      <c r="E923" s="2">
        <f>MOD(A923-1,4)+1</f>
        <v/>
      </c>
      <c r="F923" s="20">
        <f>축시작+INT((A923-1)/32)</f>
        <v/>
      </c>
      <c r="G923" s="20">
        <f>F923+H923</f>
        <v/>
      </c>
      <c r="H923" s="5" t="n">
        <v>4</v>
      </c>
      <c r="I923" s="2">
        <f>ROUND(INDEX(가맹점!$P$2:$P$9,D923)*INDEX(가맹점!$J$2:$M$9,D923,E923),0)</f>
        <v/>
      </c>
      <c r="J923" s="2">
        <f>ROUND(I923*(1-할인율),0)</f>
        <v/>
      </c>
      <c r="K923" s="2">
        <f>ROUNDDOWN(I923*할인율,0)</f>
        <v/>
      </c>
      <c r="L923" s="2">
        <f>ROUND(I923*INDEX(미지급률범위,E923),0)</f>
        <v/>
      </c>
      <c r="M923" s="2">
        <f>ROUND(I923*INDEX(과지급률범위,E923),0)</f>
        <v/>
      </c>
      <c r="N923" s="2">
        <f>MAX(0,L923-M923)</f>
        <v/>
      </c>
      <c r="O923" s="2">
        <f>K923-N923</f>
        <v/>
      </c>
      <c r="P923" s="2">
        <f>I923-N923</f>
        <v/>
      </c>
      <c r="Q923" s="5">
        <f>IF(G923&gt;기준일,1,0)</f>
        <v/>
      </c>
      <c r="R923" s="5">
        <f>IF(G923&lt;=기준일,1,0)</f>
        <v/>
      </c>
      <c r="S923" s="2">
        <f>J923*H923</f>
        <v/>
      </c>
      <c r="T923" s="5">
        <f>IF(AND(F923&gt;=표본시작,F923&lt;=표본종료),1,0)</f>
        <v/>
      </c>
      <c r="U923" s="5">
        <f>IF(AND(G923&gt;=조회시작,G923&lt;=조회종료),1,0)</f>
        <v/>
      </c>
    </row>
    <row r="924">
      <c r="A924" s="2">
        <f>ROW()-1</f>
        <v/>
      </c>
      <c r="B924" s="5">
        <f>INDEX(상호범위,D924)</f>
        <v/>
      </c>
      <c r="C924" s="5">
        <f>INDEX(플랫폼명범위,E924)</f>
        <v/>
      </c>
      <c r="D924" s="2">
        <f>MOD(INT((A924-1)/4),8)+1</f>
        <v/>
      </c>
      <c r="E924" s="2">
        <f>MOD(A924-1,4)+1</f>
        <v/>
      </c>
      <c r="F924" s="20">
        <f>축시작+INT((A924-1)/32)</f>
        <v/>
      </c>
      <c r="G924" s="20">
        <f>F924+H924</f>
        <v/>
      </c>
      <c r="H924" s="5" t="n">
        <v>5</v>
      </c>
      <c r="I924" s="2">
        <f>ROUND(INDEX(가맹점!$P$2:$P$9,D924)*INDEX(가맹점!$J$2:$M$9,D924,E924),0)</f>
        <v/>
      </c>
      <c r="J924" s="2">
        <f>ROUND(I924*(1-할인율),0)</f>
        <v/>
      </c>
      <c r="K924" s="2">
        <f>ROUNDDOWN(I924*할인율,0)</f>
        <v/>
      </c>
      <c r="L924" s="2">
        <f>ROUND(I924*INDEX(미지급률범위,E924),0)</f>
        <v/>
      </c>
      <c r="M924" s="2">
        <f>ROUND(I924*INDEX(과지급률범위,E924),0)</f>
        <v/>
      </c>
      <c r="N924" s="2">
        <f>MAX(0,L924-M924)</f>
        <v/>
      </c>
      <c r="O924" s="2">
        <f>K924-N924</f>
        <v/>
      </c>
      <c r="P924" s="2">
        <f>I924-N924</f>
        <v/>
      </c>
      <c r="Q924" s="5">
        <f>IF(G924&gt;기준일,1,0)</f>
        <v/>
      </c>
      <c r="R924" s="5">
        <f>IF(G924&lt;=기준일,1,0)</f>
        <v/>
      </c>
      <c r="S924" s="2">
        <f>J924*H924</f>
        <v/>
      </c>
      <c r="T924" s="5">
        <f>IF(AND(F924&gt;=표본시작,F924&lt;=표본종료),1,0)</f>
        <v/>
      </c>
      <c r="U924" s="5">
        <f>IF(AND(G924&gt;=조회시작,G924&lt;=조회종료),1,0)</f>
        <v/>
      </c>
    </row>
    <row r="925">
      <c r="A925" s="2">
        <f>ROW()-1</f>
        <v/>
      </c>
      <c r="B925" s="5">
        <f>INDEX(상호범위,D925)</f>
        <v/>
      </c>
      <c r="C925" s="5">
        <f>INDEX(플랫폼명범위,E925)</f>
        <v/>
      </c>
      <c r="D925" s="2">
        <f>MOD(INT((A925-1)/4),8)+1</f>
        <v/>
      </c>
      <c r="E925" s="2">
        <f>MOD(A925-1,4)+1</f>
        <v/>
      </c>
      <c r="F925" s="20">
        <f>축시작+INT((A925-1)/32)</f>
        <v/>
      </c>
      <c r="G925" s="20">
        <f>F925+H925</f>
        <v/>
      </c>
      <c r="H925" s="5" t="n">
        <v>6</v>
      </c>
      <c r="I925" s="2">
        <f>ROUND(INDEX(가맹점!$P$2:$P$9,D925)*INDEX(가맹점!$J$2:$M$9,D925,E925),0)</f>
        <v/>
      </c>
      <c r="J925" s="2">
        <f>ROUND(I925*(1-할인율),0)</f>
        <v/>
      </c>
      <c r="K925" s="2">
        <f>ROUNDDOWN(I925*할인율,0)</f>
        <v/>
      </c>
      <c r="L925" s="2">
        <f>ROUND(I925*INDEX(미지급률범위,E925),0)</f>
        <v/>
      </c>
      <c r="M925" s="2">
        <f>ROUND(I925*INDEX(과지급률범위,E925),0)</f>
        <v/>
      </c>
      <c r="N925" s="2">
        <f>MAX(0,L925-M925)</f>
        <v/>
      </c>
      <c r="O925" s="2">
        <f>K925-N925</f>
        <v/>
      </c>
      <c r="P925" s="2">
        <f>I925-N925</f>
        <v/>
      </c>
      <c r="Q925" s="5">
        <f>IF(G925&gt;기준일,1,0)</f>
        <v/>
      </c>
      <c r="R925" s="5">
        <f>IF(G925&lt;=기준일,1,0)</f>
        <v/>
      </c>
      <c r="S925" s="2">
        <f>J925*H925</f>
        <v/>
      </c>
      <c r="T925" s="5">
        <f>IF(AND(F925&gt;=표본시작,F925&lt;=표본종료),1,0)</f>
        <v/>
      </c>
      <c r="U925" s="5">
        <f>IF(AND(G925&gt;=조회시작,G925&lt;=조회종료),1,0)</f>
        <v/>
      </c>
    </row>
    <row r="926">
      <c r="A926" s="2">
        <f>ROW()-1</f>
        <v/>
      </c>
      <c r="B926" s="5">
        <f>INDEX(상호범위,D926)</f>
        <v/>
      </c>
      <c r="C926" s="5">
        <f>INDEX(플랫폼명범위,E926)</f>
        <v/>
      </c>
      <c r="D926" s="2">
        <f>MOD(INT((A926-1)/4),8)+1</f>
        <v/>
      </c>
      <c r="E926" s="2">
        <f>MOD(A926-1,4)+1</f>
        <v/>
      </c>
      <c r="F926" s="20">
        <f>축시작+INT((A926-1)/32)</f>
        <v/>
      </c>
      <c r="G926" s="20">
        <f>F926+H926</f>
        <v/>
      </c>
      <c r="H926" s="5" t="n">
        <v>3</v>
      </c>
      <c r="I926" s="2">
        <f>ROUND(INDEX(가맹점!$P$2:$P$9,D926)*INDEX(가맹점!$J$2:$M$9,D926,E926),0)</f>
        <v/>
      </c>
      <c r="J926" s="2">
        <f>ROUND(I926*(1-할인율),0)</f>
        <v/>
      </c>
      <c r="K926" s="2">
        <f>ROUNDDOWN(I926*할인율,0)</f>
        <v/>
      </c>
      <c r="L926" s="2">
        <f>ROUND(I926*INDEX(미지급률범위,E926),0)</f>
        <v/>
      </c>
      <c r="M926" s="2">
        <f>ROUND(I926*INDEX(과지급률범위,E926),0)</f>
        <v/>
      </c>
      <c r="N926" s="2">
        <f>MAX(0,L926-M926)</f>
        <v/>
      </c>
      <c r="O926" s="2">
        <f>K926-N926</f>
        <v/>
      </c>
      <c r="P926" s="2">
        <f>I926-N926</f>
        <v/>
      </c>
      <c r="Q926" s="5">
        <f>IF(G926&gt;기준일,1,0)</f>
        <v/>
      </c>
      <c r="R926" s="5">
        <f>IF(G926&lt;=기준일,1,0)</f>
        <v/>
      </c>
      <c r="S926" s="2">
        <f>J926*H926</f>
        <v/>
      </c>
      <c r="T926" s="5">
        <f>IF(AND(F926&gt;=표본시작,F926&lt;=표본종료),1,0)</f>
        <v/>
      </c>
      <c r="U926" s="5">
        <f>IF(AND(G926&gt;=조회시작,G926&lt;=조회종료),1,0)</f>
        <v/>
      </c>
    </row>
    <row r="927">
      <c r="A927" s="2">
        <f>ROW()-1</f>
        <v/>
      </c>
      <c r="B927" s="5">
        <f>INDEX(상호범위,D927)</f>
        <v/>
      </c>
      <c r="C927" s="5">
        <f>INDEX(플랫폼명범위,E927)</f>
        <v/>
      </c>
      <c r="D927" s="2">
        <f>MOD(INT((A927-1)/4),8)+1</f>
        <v/>
      </c>
      <c r="E927" s="2">
        <f>MOD(A927-1,4)+1</f>
        <v/>
      </c>
      <c r="F927" s="20">
        <f>축시작+INT((A927-1)/32)</f>
        <v/>
      </c>
      <c r="G927" s="20">
        <f>F927+H927</f>
        <v/>
      </c>
      <c r="H927" s="5" t="n">
        <v>2</v>
      </c>
      <c r="I927" s="2">
        <f>ROUND(INDEX(가맹점!$P$2:$P$9,D927)*INDEX(가맹점!$J$2:$M$9,D927,E927),0)</f>
        <v/>
      </c>
      <c r="J927" s="2">
        <f>ROUND(I927*(1-할인율),0)</f>
        <v/>
      </c>
      <c r="K927" s="2">
        <f>ROUNDDOWN(I927*할인율,0)</f>
        <v/>
      </c>
      <c r="L927" s="2">
        <f>ROUND(I927*INDEX(미지급률범위,E927),0)</f>
        <v/>
      </c>
      <c r="M927" s="2">
        <f>ROUND(I927*INDEX(과지급률범위,E927),0)</f>
        <v/>
      </c>
      <c r="N927" s="2">
        <f>MAX(0,L927-M927)</f>
        <v/>
      </c>
      <c r="O927" s="2">
        <f>K927-N927</f>
        <v/>
      </c>
      <c r="P927" s="2">
        <f>I927-N927</f>
        <v/>
      </c>
      <c r="Q927" s="5">
        <f>IF(G927&gt;기준일,1,0)</f>
        <v/>
      </c>
      <c r="R927" s="5">
        <f>IF(G927&lt;=기준일,1,0)</f>
        <v/>
      </c>
      <c r="S927" s="2">
        <f>J927*H927</f>
        <v/>
      </c>
      <c r="T927" s="5">
        <f>IF(AND(F927&gt;=표본시작,F927&lt;=표본종료),1,0)</f>
        <v/>
      </c>
      <c r="U927" s="5">
        <f>IF(AND(G927&gt;=조회시작,G927&lt;=조회종료),1,0)</f>
        <v/>
      </c>
    </row>
    <row r="928">
      <c r="A928" s="2">
        <f>ROW()-1</f>
        <v/>
      </c>
      <c r="B928" s="5">
        <f>INDEX(상호범위,D928)</f>
        <v/>
      </c>
      <c r="C928" s="5">
        <f>INDEX(플랫폼명범위,E928)</f>
        <v/>
      </c>
      <c r="D928" s="2">
        <f>MOD(INT((A928-1)/4),8)+1</f>
        <v/>
      </c>
      <c r="E928" s="2">
        <f>MOD(A928-1,4)+1</f>
        <v/>
      </c>
      <c r="F928" s="20">
        <f>축시작+INT((A928-1)/32)</f>
        <v/>
      </c>
      <c r="G928" s="20">
        <f>F928+H928</f>
        <v/>
      </c>
      <c r="H928" s="5" t="n">
        <v>5</v>
      </c>
      <c r="I928" s="2">
        <f>ROUND(INDEX(가맹점!$P$2:$P$9,D928)*INDEX(가맹점!$J$2:$M$9,D928,E928),0)</f>
        <v/>
      </c>
      <c r="J928" s="2">
        <f>ROUND(I928*(1-할인율),0)</f>
        <v/>
      </c>
      <c r="K928" s="2">
        <f>ROUNDDOWN(I928*할인율,0)</f>
        <v/>
      </c>
      <c r="L928" s="2">
        <f>ROUND(I928*INDEX(미지급률범위,E928),0)</f>
        <v/>
      </c>
      <c r="M928" s="2">
        <f>ROUND(I928*INDEX(과지급률범위,E928),0)</f>
        <v/>
      </c>
      <c r="N928" s="2">
        <f>MAX(0,L928-M928)</f>
        <v/>
      </c>
      <c r="O928" s="2">
        <f>K928-N928</f>
        <v/>
      </c>
      <c r="P928" s="2">
        <f>I928-N928</f>
        <v/>
      </c>
      <c r="Q928" s="5">
        <f>IF(G928&gt;기준일,1,0)</f>
        <v/>
      </c>
      <c r="R928" s="5">
        <f>IF(G928&lt;=기준일,1,0)</f>
        <v/>
      </c>
      <c r="S928" s="2">
        <f>J928*H928</f>
        <v/>
      </c>
      <c r="T928" s="5">
        <f>IF(AND(F928&gt;=표본시작,F928&lt;=표본종료),1,0)</f>
        <v/>
      </c>
      <c r="U928" s="5">
        <f>IF(AND(G928&gt;=조회시작,G928&lt;=조회종료),1,0)</f>
        <v/>
      </c>
    </row>
    <row r="929">
      <c r="A929" s="2">
        <f>ROW()-1</f>
        <v/>
      </c>
      <c r="B929" s="5">
        <f>INDEX(상호범위,D929)</f>
        <v/>
      </c>
      <c r="C929" s="5">
        <f>INDEX(플랫폼명범위,E929)</f>
        <v/>
      </c>
      <c r="D929" s="2">
        <f>MOD(INT((A929-1)/4),8)+1</f>
        <v/>
      </c>
      <c r="E929" s="2">
        <f>MOD(A929-1,4)+1</f>
        <v/>
      </c>
      <c r="F929" s="20">
        <f>축시작+INT((A929-1)/32)</f>
        <v/>
      </c>
      <c r="G929" s="20">
        <f>F929+H929</f>
        <v/>
      </c>
      <c r="H929" s="5" t="n">
        <v>8</v>
      </c>
      <c r="I929" s="2">
        <f>ROUND(INDEX(가맹점!$P$2:$P$9,D929)*INDEX(가맹점!$J$2:$M$9,D929,E929),0)</f>
        <v/>
      </c>
      <c r="J929" s="2">
        <f>ROUND(I929*(1-할인율),0)</f>
        <v/>
      </c>
      <c r="K929" s="2">
        <f>ROUNDDOWN(I929*할인율,0)</f>
        <v/>
      </c>
      <c r="L929" s="2">
        <f>ROUND(I929*INDEX(미지급률범위,E929),0)</f>
        <v/>
      </c>
      <c r="M929" s="2">
        <f>ROUND(I929*INDEX(과지급률범위,E929),0)</f>
        <v/>
      </c>
      <c r="N929" s="2">
        <f>MAX(0,L929-M929)</f>
        <v/>
      </c>
      <c r="O929" s="2">
        <f>K929-N929</f>
        <v/>
      </c>
      <c r="P929" s="2">
        <f>I929-N929</f>
        <v/>
      </c>
      <c r="Q929" s="5">
        <f>IF(G929&gt;기준일,1,0)</f>
        <v/>
      </c>
      <c r="R929" s="5">
        <f>IF(G929&lt;=기준일,1,0)</f>
        <v/>
      </c>
      <c r="S929" s="2">
        <f>J929*H929</f>
        <v/>
      </c>
      <c r="T929" s="5">
        <f>IF(AND(F929&gt;=표본시작,F929&lt;=표본종료),1,0)</f>
        <v/>
      </c>
      <c r="U929" s="5">
        <f>IF(AND(G929&gt;=조회시작,G929&lt;=조회종료),1,0)</f>
        <v/>
      </c>
    </row>
    <row r="930">
      <c r="A930" s="2">
        <f>ROW()-1</f>
        <v/>
      </c>
      <c r="B930" s="5">
        <f>INDEX(상호범위,D930)</f>
        <v/>
      </c>
      <c r="C930" s="5">
        <f>INDEX(플랫폼명범위,E930)</f>
        <v/>
      </c>
      <c r="D930" s="2">
        <f>MOD(INT((A930-1)/4),8)+1</f>
        <v/>
      </c>
      <c r="E930" s="2">
        <f>MOD(A930-1,4)+1</f>
        <v/>
      </c>
      <c r="F930" s="20">
        <f>축시작+INT((A930-1)/32)</f>
        <v/>
      </c>
      <c r="G930" s="20">
        <f>F930+H930</f>
        <v/>
      </c>
      <c r="H930" s="5" t="n">
        <v>1</v>
      </c>
      <c r="I930" s="2">
        <f>ROUND(INDEX(가맹점!$P$2:$P$9,D930)*INDEX(가맹점!$J$2:$M$9,D930,E930),0)</f>
        <v/>
      </c>
      <c r="J930" s="2">
        <f>ROUND(I930*(1-할인율),0)</f>
        <v/>
      </c>
      <c r="K930" s="2">
        <f>ROUNDDOWN(I930*할인율,0)</f>
        <v/>
      </c>
      <c r="L930" s="2">
        <f>ROUND(I930*INDEX(미지급률범위,E930),0)</f>
        <v/>
      </c>
      <c r="M930" s="2">
        <f>ROUND(I930*INDEX(과지급률범위,E930),0)</f>
        <v/>
      </c>
      <c r="N930" s="2">
        <f>MAX(0,L930-M930)</f>
        <v/>
      </c>
      <c r="O930" s="2">
        <f>K930-N930</f>
        <v/>
      </c>
      <c r="P930" s="2">
        <f>I930-N930</f>
        <v/>
      </c>
      <c r="Q930" s="5">
        <f>IF(G930&gt;기준일,1,0)</f>
        <v/>
      </c>
      <c r="R930" s="5">
        <f>IF(G930&lt;=기준일,1,0)</f>
        <v/>
      </c>
      <c r="S930" s="2">
        <f>J930*H930</f>
        <v/>
      </c>
      <c r="T930" s="5">
        <f>IF(AND(F930&gt;=표본시작,F930&lt;=표본종료),1,0)</f>
        <v/>
      </c>
      <c r="U930" s="5">
        <f>IF(AND(G930&gt;=조회시작,G930&lt;=조회종료),1,0)</f>
        <v/>
      </c>
    </row>
    <row r="931">
      <c r="A931" s="2">
        <f>ROW()-1</f>
        <v/>
      </c>
      <c r="B931" s="5">
        <f>INDEX(상호범위,D931)</f>
        <v/>
      </c>
      <c r="C931" s="5">
        <f>INDEX(플랫폼명범위,E931)</f>
        <v/>
      </c>
      <c r="D931" s="2">
        <f>MOD(INT((A931-1)/4),8)+1</f>
        <v/>
      </c>
      <c r="E931" s="2">
        <f>MOD(A931-1,4)+1</f>
        <v/>
      </c>
      <c r="F931" s="20">
        <f>축시작+INT((A931-1)/32)</f>
        <v/>
      </c>
      <c r="G931" s="20">
        <f>F931+H931</f>
        <v/>
      </c>
      <c r="H931" s="5" t="n">
        <v>4</v>
      </c>
      <c r="I931" s="2">
        <f>ROUND(INDEX(가맹점!$P$2:$P$9,D931)*INDEX(가맹점!$J$2:$M$9,D931,E931),0)</f>
        <v/>
      </c>
      <c r="J931" s="2">
        <f>ROUND(I931*(1-할인율),0)</f>
        <v/>
      </c>
      <c r="K931" s="2">
        <f>ROUNDDOWN(I931*할인율,0)</f>
        <v/>
      </c>
      <c r="L931" s="2">
        <f>ROUND(I931*INDEX(미지급률범위,E931),0)</f>
        <v/>
      </c>
      <c r="M931" s="2">
        <f>ROUND(I931*INDEX(과지급률범위,E931),0)</f>
        <v/>
      </c>
      <c r="N931" s="2">
        <f>MAX(0,L931-M931)</f>
        <v/>
      </c>
      <c r="O931" s="2">
        <f>K931-N931</f>
        <v/>
      </c>
      <c r="P931" s="2">
        <f>I931-N931</f>
        <v/>
      </c>
      <c r="Q931" s="5">
        <f>IF(G931&gt;기준일,1,0)</f>
        <v/>
      </c>
      <c r="R931" s="5">
        <f>IF(G931&lt;=기준일,1,0)</f>
        <v/>
      </c>
      <c r="S931" s="2">
        <f>J931*H931</f>
        <v/>
      </c>
      <c r="T931" s="5">
        <f>IF(AND(F931&gt;=표본시작,F931&lt;=표본종료),1,0)</f>
        <v/>
      </c>
      <c r="U931" s="5">
        <f>IF(AND(G931&gt;=조회시작,G931&lt;=조회종료),1,0)</f>
        <v/>
      </c>
    </row>
    <row r="932">
      <c r="A932" s="2">
        <f>ROW()-1</f>
        <v/>
      </c>
      <c r="B932" s="5">
        <f>INDEX(상호범위,D932)</f>
        <v/>
      </c>
      <c r="C932" s="5">
        <f>INDEX(플랫폼명범위,E932)</f>
        <v/>
      </c>
      <c r="D932" s="2">
        <f>MOD(INT((A932-1)/4),8)+1</f>
        <v/>
      </c>
      <c r="E932" s="2">
        <f>MOD(A932-1,4)+1</f>
        <v/>
      </c>
      <c r="F932" s="20">
        <f>축시작+INT((A932-1)/32)</f>
        <v/>
      </c>
      <c r="G932" s="20">
        <f>F932+H932</f>
        <v/>
      </c>
      <c r="H932" s="5" t="n">
        <v>5</v>
      </c>
      <c r="I932" s="2">
        <f>ROUND(INDEX(가맹점!$P$2:$P$9,D932)*INDEX(가맹점!$J$2:$M$9,D932,E932),0)</f>
        <v/>
      </c>
      <c r="J932" s="2">
        <f>ROUND(I932*(1-할인율),0)</f>
        <v/>
      </c>
      <c r="K932" s="2">
        <f>ROUNDDOWN(I932*할인율,0)</f>
        <v/>
      </c>
      <c r="L932" s="2">
        <f>ROUND(I932*INDEX(미지급률범위,E932),0)</f>
        <v/>
      </c>
      <c r="M932" s="2">
        <f>ROUND(I932*INDEX(과지급률범위,E932),0)</f>
        <v/>
      </c>
      <c r="N932" s="2">
        <f>MAX(0,L932-M932)</f>
        <v/>
      </c>
      <c r="O932" s="2">
        <f>K932-N932</f>
        <v/>
      </c>
      <c r="P932" s="2">
        <f>I932-N932</f>
        <v/>
      </c>
      <c r="Q932" s="5">
        <f>IF(G932&gt;기준일,1,0)</f>
        <v/>
      </c>
      <c r="R932" s="5">
        <f>IF(G932&lt;=기준일,1,0)</f>
        <v/>
      </c>
      <c r="S932" s="2">
        <f>J932*H932</f>
        <v/>
      </c>
      <c r="T932" s="5">
        <f>IF(AND(F932&gt;=표본시작,F932&lt;=표본종료),1,0)</f>
        <v/>
      </c>
      <c r="U932" s="5">
        <f>IF(AND(G932&gt;=조회시작,G932&lt;=조회종료),1,0)</f>
        <v/>
      </c>
    </row>
    <row r="933">
      <c r="A933" s="2">
        <f>ROW()-1</f>
        <v/>
      </c>
      <c r="B933" s="5">
        <f>INDEX(상호범위,D933)</f>
        <v/>
      </c>
      <c r="C933" s="5">
        <f>INDEX(플랫폼명범위,E933)</f>
        <v/>
      </c>
      <c r="D933" s="2">
        <f>MOD(INT((A933-1)/4),8)+1</f>
        <v/>
      </c>
      <c r="E933" s="2">
        <f>MOD(A933-1,4)+1</f>
        <v/>
      </c>
      <c r="F933" s="20">
        <f>축시작+INT((A933-1)/32)</f>
        <v/>
      </c>
      <c r="G933" s="20">
        <f>F933+H933</f>
        <v/>
      </c>
      <c r="H933" s="5" t="n">
        <v>6</v>
      </c>
      <c r="I933" s="2">
        <f>ROUND(INDEX(가맹점!$P$2:$P$9,D933)*INDEX(가맹점!$J$2:$M$9,D933,E933),0)</f>
        <v/>
      </c>
      <c r="J933" s="2">
        <f>ROUND(I933*(1-할인율),0)</f>
        <v/>
      </c>
      <c r="K933" s="2">
        <f>ROUNDDOWN(I933*할인율,0)</f>
        <v/>
      </c>
      <c r="L933" s="2">
        <f>ROUND(I933*INDEX(미지급률범위,E933),0)</f>
        <v/>
      </c>
      <c r="M933" s="2">
        <f>ROUND(I933*INDEX(과지급률범위,E933),0)</f>
        <v/>
      </c>
      <c r="N933" s="2">
        <f>MAX(0,L933-M933)</f>
        <v/>
      </c>
      <c r="O933" s="2">
        <f>K933-N933</f>
        <v/>
      </c>
      <c r="P933" s="2">
        <f>I933-N933</f>
        <v/>
      </c>
      <c r="Q933" s="5">
        <f>IF(G933&gt;기준일,1,0)</f>
        <v/>
      </c>
      <c r="R933" s="5">
        <f>IF(G933&lt;=기준일,1,0)</f>
        <v/>
      </c>
      <c r="S933" s="2">
        <f>J933*H933</f>
        <v/>
      </c>
      <c r="T933" s="5">
        <f>IF(AND(F933&gt;=표본시작,F933&lt;=표본종료),1,0)</f>
        <v/>
      </c>
      <c r="U933" s="5">
        <f>IF(AND(G933&gt;=조회시작,G933&lt;=조회종료),1,0)</f>
        <v/>
      </c>
    </row>
    <row r="934">
      <c r="A934" s="2">
        <f>ROW()-1</f>
        <v/>
      </c>
      <c r="B934" s="5">
        <f>INDEX(상호범위,D934)</f>
        <v/>
      </c>
      <c r="C934" s="5">
        <f>INDEX(플랫폼명범위,E934)</f>
        <v/>
      </c>
      <c r="D934" s="2">
        <f>MOD(INT((A934-1)/4),8)+1</f>
        <v/>
      </c>
      <c r="E934" s="2">
        <f>MOD(A934-1,4)+1</f>
        <v/>
      </c>
      <c r="F934" s="20">
        <f>축시작+INT((A934-1)/32)</f>
        <v/>
      </c>
      <c r="G934" s="20">
        <f>F934+H934</f>
        <v/>
      </c>
      <c r="H934" s="5" t="n">
        <v>3</v>
      </c>
      <c r="I934" s="2">
        <f>ROUND(INDEX(가맹점!$P$2:$P$9,D934)*INDEX(가맹점!$J$2:$M$9,D934,E934),0)</f>
        <v/>
      </c>
      <c r="J934" s="2">
        <f>ROUND(I934*(1-할인율),0)</f>
        <v/>
      </c>
      <c r="K934" s="2">
        <f>ROUNDDOWN(I934*할인율,0)</f>
        <v/>
      </c>
      <c r="L934" s="2">
        <f>ROUND(I934*INDEX(미지급률범위,E934),0)</f>
        <v/>
      </c>
      <c r="M934" s="2">
        <f>ROUND(I934*INDEX(과지급률범위,E934),0)</f>
        <v/>
      </c>
      <c r="N934" s="2">
        <f>MAX(0,L934-M934)</f>
        <v/>
      </c>
      <c r="O934" s="2">
        <f>K934-N934</f>
        <v/>
      </c>
      <c r="P934" s="2">
        <f>I934-N934</f>
        <v/>
      </c>
      <c r="Q934" s="5">
        <f>IF(G934&gt;기준일,1,0)</f>
        <v/>
      </c>
      <c r="R934" s="5">
        <f>IF(G934&lt;=기준일,1,0)</f>
        <v/>
      </c>
      <c r="S934" s="2">
        <f>J934*H934</f>
        <v/>
      </c>
      <c r="T934" s="5">
        <f>IF(AND(F934&gt;=표본시작,F934&lt;=표본종료),1,0)</f>
        <v/>
      </c>
      <c r="U934" s="5">
        <f>IF(AND(G934&gt;=조회시작,G934&lt;=조회종료),1,0)</f>
        <v/>
      </c>
    </row>
    <row r="935">
      <c r="A935" s="2">
        <f>ROW()-1</f>
        <v/>
      </c>
      <c r="B935" s="5">
        <f>INDEX(상호범위,D935)</f>
        <v/>
      </c>
      <c r="C935" s="5">
        <f>INDEX(플랫폼명범위,E935)</f>
        <v/>
      </c>
      <c r="D935" s="2">
        <f>MOD(INT((A935-1)/4),8)+1</f>
        <v/>
      </c>
      <c r="E935" s="2">
        <f>MOD(A935-1,4)+1</f>
        <v/>
      </c>
      <c r="F935" s="20">
        <f>축시작+INT((A935-1)/32)</f>
        <v/>
      </c>
      <c r="G935" s="20">
        <f>F935+H935</f>
        <v/>
      </c>
      <c r="H935" s="5" t="n">
        <v>2</v>
      </c>
      <c r="I935" s="2">
        <f>ROUND(INDEX(가맹점!$P$2:$P$9,D935)*INDEX(가맹점!$J$2:$M$9,D935,E935),0)</f>
        <v/>
      </c>
      <c r="J935" s="2">
        <f>ROUND(I935*(1-할인율),0)</f>
        <v/>
      </c>
      <c r="K935" s="2">
        <f>ROUNDDOWN(I935*할인율,0)</f>
        <v/>
      </c>
      <c r="L935" s="2">
        <f>ROUND(I935*INDEX(미지급률범위,E935),0)</f>
        <v/>
      </c>
      <c r="M935" s="2">
        <f>ROUND(I935*INDEX(과지급률범위,E935),0)</f>
        <v/>
      </c>
      <c r="N935" s="2">
        <f>MAX(0,L935-M935)</f>
        <v/>
      </c>
      <c r="O935" s="2">
        <f>K935-N935</f>
        <v/>
      </c>
      <c r="P935" s="2">
        <f>I935-N935</f>
        <v/>
      </c>
      <c r="Q935" s="5">
        <f>IF(G935&gt;기준일,1,0)</f>
        <v/>
      </c>
      <c r="R935" s="5">
        <f>IF(G935&lt;=기준일,1,0)</f>
        <v/>
      </c>
      <c r="S935" s="2">
        <f>J935*H935</f>
        <v/>
      </c>
      <c r="T935" s="5">
        <f>IF(AND(F935&gt;=표본시작,F935&lt;=표본종료),1,0)</f>
        <v/>
      </c>
      <c r="U935" s="5">
        <f>IF(AND(G935&gt;=조회시작,G935&lt;=조회종료),1,0)</f>
        <v/>
      </c>
    </row>
    <row r="936">
      <c r="A936" s="2">
        <f>ROW()-1</f>
        <v/>
      </c>
      <c r="B936" s="5">
        <f>INDEX(상호범위,D936)</f>
        <v/>
      </c>
      <c r="C936" s="5">
        <f>INDEX(플랫폼명범위,E936)</f>
        <v/>
      </c>
      <c r="D936" s="2">
        <f>MOD(INT((A936-1)/4),8)+1</f>
        <v/>
      </c>
      <c r="E936" s="2">
        <f>MOD(A936-1,4)+1</f>
        <v/>
      </c>
      <c r="F936" s="20">
        <f>축시작+INT((A936-1)/32)</f>
        <v/>
      </c>
      <c r="G936" s="20">
        <f>F936+H936</f>
        <v/>
      </c>
      <c r="H936" s="5" t="n">
        <v>7</v>
      </c>
      <c r="I936" s="2">
        <f>ROUND(INDEX(가맹점!$P$2:$P$9,D936)*INDEX(가맹점!$J$2:$M$9,D936,E936),0)</f>
        <v/>
      </c>
      <c r="J936" s="2">
        <f>ROUND(I936*(1-할인율),0)</f>
        <v/>
      </c>
      <c r="K936" s="2">
        <f>ROUNDDOWN(I936*할인율,0)</f>
        <v/>
      </c>
      <c r="L936" s="2">
        <f>ROUND(I936*INDEX(미지급률범위,E936),0)</f>
        <v/>
      </c>
      <c r="M936" s="2">
        <f>ROUND(I936*INDEX(과지급률범위,E936),0)</f>
        <v/>
      </c>
      <c r="N936" s="2">
        <f>MAX(0,L936-M936)</f>
        <v/>
      </c>
      <c r="O936" s="2">
        <f>K936-N936</f>
        <v/>
      </c>
      <c r="P936" s="2">
        <f>I936-N936</f>
        <v/>
      </c>
      <c r="Q936" s="5">
        <f>IF(G936&gt;기준일,1,0)</f>
        <v/>
      </c>
      <c r="R936" s="5">
        <f>IF(G936&lt;=기준일,1,0)</f>
        <v/>
      </c>
      <c r="S936" s="2">
        <f>J936*H936</f>
        <v/>
      </c>
      <c r="T936" s="5">
        <f>IF(AND(F936&gt;=표본시작,F936&lt;=표본종료),1,0)</f>
        <v/>
      </c>
      <c r="U936" s="5">
        <f>IF(AND(G936&gt;=조회시작,G936&lt;=조회종료),1,0)</f>
        <v/>
      </c>
    </row>
    <row r="937">
      <c r="A937" s="2">
        <f>ROW()-1</f>
        <v/>
      </c>
      <c r="B937" s="5">
        <f>INDEX(상호범위,D937)</f>
        <v/>
      </c>
      <c r="C937" s="5">
        <f>INDEX(플랫폼명범위,E937)</f>
        <v/>
      </c>
      <c r="D937" s="2">
        <f>MOD(INT((A937-1)/4),8)+1</f>
        <v/>
      </c>
      <c r="E937" s="2">
        <f>MOD(A937-1,4)+1</f>
        <v/>
      </c>
      <c r="F937" s="20">
        <f>축시작+INT((A937-1)/32)</f>
        <v/>
      </c>
      <c r="G937" s="20">
        <f>F937+H937</f>
        <v/>
      </c>
      <c r="H937" s="5" t="n">
        <v>6</v>
      </c>
      <c r="I937" s="2">
        <f>ROUND(INDEX(가맹점!$P$2:$P$9,D937)*INDEX(가맹점!$J$2:$M$9,D937,E937),0)</f>
        <v/>
      </c>
      <c r="J937" s="2">
        <f>ROUND(I937*(1-할인율),0)</f>
        <v/>
      </c>
      <c r="K937" s="2">
        <f>ROUNDDOWN(I937*할인율,0)</f>
        <v/>
      </c>
      <c r="L937" s="2">
        <f>ROUND(I937*INDEX(미지급률범위,E937),0)</f>
        <v/>
      </c>
      <c r="M937" s="2">
        <f>ROUND(I937*INDEX(과지급률범위,E937),0)</f>
        <v/>
      </c>
      <c r="N937" s="2">
        <f>MAX(0,L937-M937)</f>
        <v/>
      </c>
      <c r="O937" s="2">
        <f>K937-N937</f>
        <v/>
      </c>
      <c r="P937" s="2">
        <f>I937-N937</f>
        <v/>
      </c>
      <c r="Q937" s="5">
        <f>IF(G937&gt;기준일,1,0)</f>
        <v/>
      </c>
      <c r="R937" s="5">
        <f>IF(G937&lt;=기준일,1,0)</f>
        <v/>
      </c>
      <c r="S937" s="2">
        <f>J937*H937</f>
        <v/>
      </c>
      <c r="T937" s="5">
        <f>IF(AND(F937&gt;=표본시작,F937&lt;=표본종료),1,0)</f>
        <v/>
      </c>
      <c r="U937" s="5">
        <f>IF(AND(G937&gt;=조회시작,G937&lt;=조회종료),1,0)</f>
        <v/>
      </c>
    </row>
    <row r="938">
      <c r="A938" s="2">
        <f>ROW()-1</f>
        <v/>
      </c>
      <c r="B938" s="5">
        <f>INDEX(상호범위,D938)</f>
        <v/>
      </c>
      <c r="C938" s="5">
        <f>INDEX(플랫폼명범위,E938)</f>
        <v/>
      </c>
      <c r="D938" s="2">
        <f>MOD(INT((A938-1)/4),8)+1</f>
        <v/>
      </c>
      <c r="E938" s="2">
        <f>MOD(A938-1,4)+1</f>
        <v/>
      </c>
      <c r="F938" s="20">
        <f>축시작+INT((A938-1)/32)</f>
        <v/>
      </c>
      <c r="G938" s="20">
        <f>F938+H938</f>
        <v/>
      </c>
      <c r="H938" s="5" t="n">
        <v>3</v>
      </c>
      <c r="I938" s="2">
        <f>ROUND(INDEX(가맹점!$P$2:$P$9,D938)*INDEX(가맹점!$J$2:$M$9,D938,E938),0)</f>
        <v/>
      </c>
      <c r="J938" s="2">
        <f>ROUND(I938*(1-할인율),0)</f>
        <v/>
      </c>
      <c r="K938" s="2">
        <f>ROUNDDOWN(I938*할인율,0)</f>
        <v/>
      </c>
      <c r="L938" s="2">
        <f>ROUND(I938*INDEX(미지급률범위,E938),0)</f>
        <v/>
      </c>
      <c r="M938" s="2">
        <f>ROUND(I938*INDEX(과지급률범위,E938),0)</f>
        <v/>
      </c>
      <c r="N938" s="2">
        <f>MAX(0,L938-M938)</f>
        <v/>
      </c>
      <c r="O938" s="2">
        <f>K938-N938</f>
        <v/>
      </c>
      <c r="P938" s="2">
        <f>I938-N938</f>
        <v/>
      </c>
      <c r="Q938" s="5">
        <f>IF(G938&gt;기준일,1,0)</f>
        <v/>
      </c>
      <c r="R938" s="5">
        <f>IF(G938&lt;=기준일,1,0)</f>
        <v/>
      </c>
      <c r="S938" s="2">
        <f>J938*H938</f>
        <v/>
      </c>
      <c r="T938" s="5">
        <f>IF(AND(F938&gt;=표본시작,F938&lt;=표본종료),1,0)</f>
        <v/>
      </c>
      <c r="U938" s="5">
        <f>IF(AND(G938&gt;=조회시작,G938&lt;=조회종료),1,0)</f>
        <v/>
      </c>
    </row>
    <row r="939">
      <c r="A939" s="2">
        <f>ROW()-1</f>
        <v/>
      </c>
      <c r="B939" s="5">
        <f>INDEX(상호범위,D939)</f>
        <v/>
      </c>
      <c r="C939" s="5">
        <f>INDEX(플랫폼명범위,E939)</f>
        <v/>
      </c>
      <c r="D939" s="2">
        <f>MOD(INT((A939-1)/4),8)+1</f>
        <v/>
      </c>
      <c r="E939" s="2">
        <f>MOD(A939-1,4)+1</f>
        <v/>
      </c>
      <c r="F939" s="20">
        <f>축시작+INT((A939-1)/32)</f>
        <v/>
      </c>
      <c r="G939" s="20">
        <f>F939+H939</f>
        <v/>
      </c>
      <c r="H939" s="5" t="n">
        <v>2</v>
      </c>
      <c r="I939" s="2">
        <f>ROUND(INDEX(가맹점!$P$2:$P$9,D939)*INDEX(가맹점!$J$2:$M$9,D939,E939),0)</f>
        <v/>
      </c>
      <c r="J939" s="2">
        <f>ROUND(I939*(1-할인율),0)</f>
        <v/>
      </c>
      <c r="K939" s="2">
        <f>ROUNDDOWN(I939*할인율,0)</f>
        <v/>
      </c>
      <c r="L939" s="2">
        <f>ROUND(I939*INDEX(미지급률범위,E939),0)</f>
        <v/>
      </c>
      <c r="M939" s="2">
        <f>ROUND(I939*INDEX(과지급률범위,E939),0)</f>
        <v/>
      </c>
      <c r="N939" s="2">
        <f>MAX(0,L939-M939)</f>
        <v/>
      </c>
      <c r="O939" s="2">
        <f>K939-N939</f>
        <v/>
      </c>
      <c r="P939" s="2">
        <f>I939-N939</f>
        <v/>
      </c>
      <c r="Q939" s="5">
        <f>IF(G939&gt;기준일,1,0)</f>
        <v/>
      </c>
      <c r="R939" s="5">
        <f>IF(G939&lt;=기준일,1,0)</f>
        <v/>
      </c>
      <c r="S939" s="2">
        <f>J939*H939</f>
        <v/>
      </c>
      <c r="T939" s="5">
        <f>IF(AND(F939&gt;=표본시작,F939&lt;=표본종료),1,0)</f>
        <v/>
      </c>
      <c r="U939" s="5">
        <f>IF(AND(G939&gt;=조회시작,G939&lt;=조회종료),1,0)</f>
        <v/>
      </c>
    </row>
    <row r="940">
      <c r="A940" s="2">
        <f>ROW()-1</f>
        <v/>
      </c>
      <c r="B940" s="5">
        <f>INDEX(상호범위,D940)</f>
        <v/>
      </c>
      <c r="C940" s="5">
        <f>INDEX(플랫폼명범위,E940)</f>
        <v/>
      </c>
      <c r="D940" s="2">
        <f>MOD(INT((A940-1)/4),8)+1</f>
        <v/>
      </c>
      <c r="E940" s="2">
        <f>MOD(A940-1,4)+1</f>
        <v/>
      </c>
      <c r="F940" s="20">
        <f>축시작+INT((A940-1)/32)</f>
        <v/>
      </c>
      <c r="G940" s="20">
        <f>F940+H940</f>
        <v/>
      </c>
      <c r="H940" s="5" t="n">
        <v>7</v>
      </c>
      <c r="I940" s="2">
        <f>ROUND(INDEX(가맹점!$P$2:$P$9,D940)*INDEX(가맹점!$J$2:$M$9,D940,E940),0)</f>
        <v/>
      </c>
      <c r="J940" s="2">
        <f>ROUND(I940*(1-할인율),0)</f>
        <v/>
      </c>
      <c r="K940" s="2">
        <f>ROUNDDOWN(I940*할인율,0)</f>
        <v/>
      </c>
      <c r="L940" s="2">
        <f>ROUND(I940*INDEX(미지급률범위,E940),0)</f>
        <v/>
      </c>
      <c r="M940" s="2">
        <f>ROUND(I940*INDEX(과지급률범위,E940),0)</f>
        <v/>
      </c>
      <c r="N940" s="2">
        <f>MAX(0,L940-M940)</f>
        <v/>
      </c>
      <c r="O940" s="2">
        <f>K940-N940</f>
        <v/>
      </c>
      <c r="P940" s="2">
        <f>I940-N940</f>
        <v/>
      </c>
      <c r="Q940" s="5">
        <f>IF(G940&gt;기준일,1,0)</f>
        <v/>
      </c>
      <c r="R940" s="5">
        <f>IF(G940&lt;=기준일,1,0)</f>
        <v/>
      </c>
      <c r="S940" s="2">
        <f>J940*H940</f>
        <v/>
      </c>
      <c r="T940" s="5">
        <f>IF(AND(F940&gt;=표본시작,F940&lt;=표본종료),1,0)</f>
        <v/>
      </c>
      <c r="U940" s="5">
        <f>IF(AND(G940&gt;=조회시작,G940&lt;=조회종료),1,0)</f>
        <v/>
      </c>
    </row>
    <row r="941">
      <c r="A941" s="2">
        <f>ROW()-1</f>
        <v/>
      </c>
      <c r="B941" s="5">
        <f>INDEX(상호범위,D941)</f>
        <v/>
      </c>
      <c r="C941" s="5">
        <f>INDEX(플랫폼명범위,E941)</f>
        <v/>
      </c>
      <c r="D941" s="2">
        <f>MOD(INT((A941-1)/4),8)+1</f>
        <v/>
      </c>
      <c r="E941" s="2">
        <f>MOD(A941-1,4)+1</f>
        <v/>
      </c>
      <c r="F941" s="20">
        <f>축시작+INT((A941-1)/32)</f>
        <v/>
      </c>
      <c r="G941" s="20">
        <f>F941+H941</f>
        <v/>
      </c>
      <c r="H941" s="5" t="n">
        <v>6</v>
      </c>
      <c r="I941" s="2">
        <f>ROUND(INDEX(가맹점!$P$2:$P$9,D941)*INDEX(가맹점!$J$2:$M$9,D941,E941),0)</f>
        <v/>
      </c>
      <c r="J941" s="2">
        <f>ROUND(I941*(1-할인율),0)</f>
        <v/>
      </c>
      <c r="K941" s="2">
        <f>ROUNDDOWN(I941*할인율,0)</f>
        <v/>
      </c>
      <c r="L941" s="2">
        <f>ROUND(I941*INDEX(미지급률범위,E941),0)</f>
        <v/>
      </c>
      <c r="M941" s="2">
        <f>ROUND(I941*INDEX(과지급률범위,E941),0)</f>
        <v/>
      </c>
      <c r="N941" s="2">
        <f>MAX(0,L941-M941)</f>
        <v/>
      </c>
      <c r="O941" s="2">
        <f>K941-N941</f>
        <v/>
      </c>
      <c r="P941" s="2">
        <f>I941-N941</f>
        <v/>
      </c>
      <c r="Q941" s="5">
        <f>IF(G941&gt;기준일,1,0)</f>
        <v/>
      </c>
      <c r="R941" s="5">
        <f>IF(G941&lt;=기준일,1,0)</f>
        <v/>
      </c>
      <c r="S941" s="2">
        <f>J941*H941</f>
        <v/>
      </c>
      <c r="T941" s="5">
        <f>IF(AND(F941&gt;=표본시작,F941&lt;=표본종료),1,0)</f>
        <v/>
      </c>
      <c r="U941" s="5">
        <f>IF(AND(G941&gt;=조회시작,G941&lt;=조회종료),1,0)</f>
        <v/>
      </c>
    </row>
    <row r="942">
      <c r="A942" s="2">
        <f>ROW()-1</f>
        <v/>
      </c>
      <c r="B942" s="5">
        <f>INDEX(상호범위,D942)</f>
        <v/>
      </c>
      <c r="C942" s="5">
        <f>INDEX(플랫폼명범위,E942)</f>
        <v/>
      </c>
      <c r="D942" s="2">
        <f>MOD(INT((A942-1)/4),8)+1</f>
        <v/>
      </c>
      <c r="E942" s="2">
        <f>MOD(A942-1,4)+1</f>
        <v/>
      </c>
      <c r="F942" s="20">
        <f>축시작+INT((A942-1)/32)</f>
        <v/>
      </c>
      <c r="G942" s="20">
        <f>F942+H942</f>
        <v/>
      </c>
      <c r="H942" s="5" t="n">
        <v>3</v>
      </c>
      <c r="I942" s="2">
        <f>ROUND(INDEX(가맹점!$P$2:$P$9,D942)*INDEX(가맹점!$J$2:$M$9,D942,E942),0)</f>
        <v/>
      </c>
      <c r="J942" s="2">
        <f>ROUND(I942*(1-할인율),0)</f>
        <v/>
      </c>
      <c r="K942" s="2">
        <f>ROUNDDOWN(I942*할인율,0)</f>
        <v/>
      </c>
      <c r="L942" s="2">
        <f>ROUND(I942*INDEX(미지급률범위,E942),0)</f>
        <v/>
      </c>
      <c r="M942" s="2">
        <f>ROUND(I942*INDEX(과지급률범위,E942),0)</f>
        <v/>
      </c>
      <c r="N942" s="2">
        <f>MAX(0,L942-M942)</f>
        <v/>
      </c>
      <c r="O942" s="2">
        <f>K942-N942</f>
        <v/>
      </c>
      <c r="P942" s="2">
        <f>I942-N942</f>
        <v/>
      </c>
      <c r="Q942" s="5">
        <f>IF(G942&gt;기준일,1,0)</f>
        <v/>
      </c>
      <c r="R942" s="5">
        <f>IF(G942&lt;=기준일,1,0)</f>
        <v/>
      </c>
      <c r="S942" s="2">
        <f>J942*H942</f>
        <v/>
      </c>
      <c r="T942" s="5">
        <f>IF(AND(F942&gt;=표본시작,F942&lt;=표본종료),1,0)</f>
        <v/>
      </c>
      <c r="U942" s="5">
        <f>IF(AND(G942&gt;=조회시작,G942&lt;=조회종료),1,0)</f>
        <v/>
      </c>
    </row>
    <row r="943">
      <c r="A943" s="2">
        <f>ROW()-1</f>
        <v/>
      </c>
      <c r="B943" s="5">
        <f>INDEX(상호범위,D943)</f>
        <v/>
      </c>
      <c r="C943" s="5">
        <f>INDEX(플랫폼명범위,E943)</f>
        <v/>
      </c>
      <c r="D943" s="2">
        <f>MOD(INT((A943-1)/4),8)+1</f>
        <v/>
      </c>
      <c r="E943" s="2">
        <f>MOD(A943-1,4)+1</f>
        <v/>
      </c>
      <c r="F943" s="20">
        <f>축시작+INT((A943-1)/32)</f>
        <v/>
      </c>
      <c r="G943" s="20">
        <f>F943+H943</f>
        <v/>
      </c>
      <c r="H943" s="5" t="n">
        <v>4</v>
      </c>
      <c r="I943" s="2">
        <f>ROUND(INDEX(가맹점!$P$2:$P$9,D943)*INDEX(가맹점!$J$2:$M$9,D943,E943),0)</f>
        <v/>
      </c>
      <c r="J943" s="2">
        <f>ROUND(I943*(1-할인율),0)</f>
        <v/>
      </c>
      <c r="K943" s="2">
        <f>ROUNDDOWN(I943*할인율,0)</f>
        <v/>
      </c>
      <c r="L943" s="2">
        <f>ROUND(I943*INDEX(미지급률범위,E943),0)</f>
        <v/>
      </c>
      <c r="M943" s="2">
        <f>ROUND(I943*INDEX(과지급률범위,E943),0)</f>
        <v/>
      </c>
      <c r="N943" s="2">
        <f>MAX(0,L943-M943)</f>
        <v/>
      </c>
      <c r="O943" s="2">
        <f>K943-N943</f>
        <v/>
      </c>
      <c r="P943" s="2">
        <f>I943-N943</f>
        <v/>
      </c>
      <c r="Q943" s="5">
        <f>IF(G943&gt;기준일,1,0)</f>
        <v/>
      </c>
      <c r="R943" s="5">
        <f>IF(G943&lt;=기준일,1,0)</f>
        <v/>
      </c>
      <c r="S943" s="2">
        <f>J943*H943</f>
        <v/>
      </c>
      <c r="T943" s="5">
        <f>IF(AND(F943&gt;=표본시작,F943&lt;=표본종료),1,0)</f>
        <v/>
      </c>
      <c r="U943" s="5">
        <f>IF(AND(G943&gt;=조회시작,G943&lt;=조회종료),1,0)</f>
        <v/>
      </c>
    </row>
    <row r="944">
      <c r="A944" s="2">
        <f>ROW()-1</f>
        <v/>
      </c>
      <c r="B944" s="5">
        <f>INDEX(상호범위,D944)</f>
        <v/>
      </c>
      <c r="C944" s="5">
        <f>INDEX(플랫폼명범위,E944)</f>
        <v/>
      </c>
      <c r="D944" s="2">
        <f>MOD(INT((A944-1)/4),8)+1</f>
        <v/>
      </c>
      <c r="E944" s="2">
        <f>MOD(A944-1,4)+1</f>
        <v/>
      </c>
      <c r="F944" s="20">
        <f>축시작+INT((A944-1)/32)</f>
        <v/>
      </c>
      <c r="G944" s="20">
        <f>F944+H944</f>
        <v/>
      </c>
      <c r="H944" s="5" t="n">
        <v>5</v>
      </c>
      <c r="I944" s="2">
        <f>ROUND(INDEX(가맹점!$P$2:$P$9,D944)*INDEX(가맹점!$J$2:$M$9,D944,E944),0)</f>
        <v/>
      </c>
      <c r="J944" s="2">
        <f>ROUND(I944*(1-할인율),0)</f>
        <v/>
      </c>
      <c r="K944" s="2">
        <f>ROUNDDOWN(I944*할인율,0)</f>
        <v/>
      </c>
      <c r="L944" s="2">
        <f>ROUND(I944*INDEX(미지급률범위,E944),0)</f>
        <v/>
      </c>
      <c r="M944" s="2">
        <f>ROUND(I944*INDEX(과지급률범위,E944),0)</f>
        <v/>
      </c>
      <c r="N944" s="2">
        <f>MAX(0,L944-M944)</f>
        <v/>
      </c>
      <c r="O944" s="2">
        <f>K944-N944</f>
        <v/>
      </c>
      <c r="P944" s="2">
        <f>I944-N944</f>
        <v/>
      </c>
      <c r="Q944" s="5">
        <f>IF(G944&gt;기준일,1,0)</f>
        <v/>
      </c>
      <c r="R944" s="5">
        <f>IF(G944&lt;=기준일,1,0)</f>
        <v/>
      </c>
      <c r="S944" s="2">
        <f>J944*H944</f>
        <v/>
      </c>
      <c r="T944" s="5">
        <f>IF(AND(F944&gt;=표본시작,F944&lt;=표본종료),1,0)</f>
        <v/>
      </c>
      <c r="U944" s="5">
        <f>IF(AND(G944&gt;=조회시작,G944&lt;=조회종료),1,0)</f>
        <v/>
      </c>
    </row>
    <row r="945">
      <c r="A945" s="2">
        <f>ROW()-1</f>
        <v/>
      </c>
      <c r="B945" s="5">
        <f>INDEX(상호범위,D945)</f>
        <v/>
      </c>
      <c r="C945" s="5">
        <f>INDEX(플랫폼명범위,E945)</f>
        <v/>
      </c>
      <c r="D945" s="2">
        <f>MOD(INT((A945-1)/4),8)+1</f>
        <v/>
      </c>
      <c r="E945" s="2">
        <f>MOD(A945-1,4)+1</f>
        <v/>
      </c>
      <c r="F945" s="20">
        <f>축시작+INT((A945-1)/32)</f>
        <v/>
      </c>
      <c r="G945" s="20">
        <f>F945+H945</f>
        <v/>
      </c>
      <c r="H945" s="5" t="n">
        <v>6</v>
      </c>
      <c r="I945" s="2">
        <f>ROUND(INDEX(가맹점!$P$2:$P$9,D945)*INDEX(가맹점!$J$2:$M$9,D945,E945),0)</f>
        <v/>
      </c>
      <c r="J945" s="2">
        <f>ROUND(I945*(1-할인율),0)</f>
        <v/>
      </c>
      <c r="K945" s="2">
        <f>ROUNDDOWN(I945*할인율,0)</f>
        <v/>
      </c>
      <c r="L945" s="2">
        <f>ROUND(I945*INDEX(미지급률범위,E945),0)</f>
        <v/>
      </c>
      <c r="M945" s="2">
        <f>ROUND(I945*INDEX(과지급률범위,E945),0)</f>
        <v/>
      </c>
      <c r="N945" s="2">
        <f>MAX(0,L945-M945)</f>
        <v/>
      </c>
      <c r="O945" s="2">
        <f>K945-N945</f>
        <v/>
      </c>
      <c r="P945" s="2">
        <f>I945-N945</f>
        <v/>
      </c>
      <c r="Q945" s="5">
        <f>IF(G945&gt;기준일,1,0)</f>
        <v/>
      </c>
      <c r="R945" s="5">
        <f>IF(G945&lt;=기준일,1,0)</f>
        <v/>
      </c>
      <c r="S945" s="2">
        <f>J945*H945</f>
        <v/>
      </c>
      <c r="T945" s="5">
        <f>IF(AND(F945&gt;=표본시작,F945&lt;=표본종료),1,0)</f>
        <v/>
      </c>
      <c r="U945" s="5">
        <f>IF(AND(G945&gt;=조회시작,G945&lt;=조회종료),1,0)</f>
        <v/>
      </c>
    </row>
    <row r="946">
      <c r="A946" s="2">
        <f>ROW()-1</f>
        <v/>
      </c>
      <c r="B946" s="5">
        <f>INDEX(상호범위,D946)</f>
        <v/>
      </c>
      <c r="C946" s="5">
        <f>INDEX(플랫폼명범위,E946)</f>
        <v/>
      </c>
      <c r="D946" s="2">
        <f>MOD(INT((A946-1)/4),8)+1</f>
        <v/>
      </c>
      <c r="E946" s="2">
        <f>MOD(A946-1,4)+1</f>
        <v/>
      </c>
      <c r="F946" s="20">
        <f>축시작+INT((A946-1)/32)</f>
        <v/>
      </c>
      <c r="G946" s="20">
        <f>F946+H946</f>
        <v/>
      </c>
      <c r="H946" s="5" t="n">
        <v>3</v>
      </c>
      <c r="I946" s="2">
        <f>ROUND(INDEX(가맹점!$P$2:$P$9,D946)*INDEX(가맹점!$J$2:$M$9,D946,E946),0)</f>
        <v/>
      </c>
      <c r="J946" s="2">
        <f>ROUND(I946*(1-할인율),0)</f>
        <v/>
      </c>
      <c r="K946" s="2">
        <f>ROUNDDOWN(I946*할인율,0)</f>
        <v/>
      </c>
      <c r="L946" s="2">
        <f>ROUND(I946*INDEX(미지급률범위,E946),0)</f>
        <v/>
      </c>
      <c r="M946" s="2">
        <f>ROUND(I946*INDEX(과지급률범위,E946),0)</f>
        <v/>
      </c>
      <c r="N946" s="2">
        <f>MAX(0,L946-M946)</f>
        <v/>
      </c>
      <c r="O946" s="2">
        <f>K946-N946</f>
        <v/>
      </c>
      <c r="P946" s="2">
        <f>I946-N946</f>
        <v/>
      </c>
      <c r="Q946" s="5">
        <f>IF(G946&gt;기준일,1,0)</f>
        <v/>
      </c>
      <c r="R946" s="5">
        <f>IF(G946&lt;=기준일,1,0)</f>
        <v/>
      </c>
      <c r="S946" s="2">
        <f>J946*H946</f>
        <v/>
      </c>
      <c r="T946" s="5">
        <f>IF(AND(F946&gt;=표본시작,F946&lt;=표본종료),1,0)</f>
        <v/>
      </c>
      <c r="U946" s="5">
        <f>IF(AND(G946&gt;=조회시작,G946&lt;=조회종료),1,0)</f>
        <v/>
      </c>
    </row>
    <row r="947">
      <c r="A947" s="2">
        <f>ROW()-1</f>
        <v/>
      </c>
      <c r="B947" s="5">
        <f>INDEX(상호범위,D947)</f>
        <v/>
      </c>
      <c r="C947" s="5">
        <f>INDEX(플랫폼명범위,E947)</f>
        <v/>
      </c>
      <c r="D947" s="2">
        <f>MOD(INT((A947-1)/4),8)+1</f>
        <v/>
      </c>
      <c r="E947" s="2">
        <f>MOD(A947-1,4)+1</f>
        <v/>
      </c>
      <c r="F947" s="20">
        <f>축시작+INT((A947-1)/32)</f>
        <v/>
      </c>
      <c r="G947" s="20">
        <f>F947+H947</f>
        <v/>
      </c>
      <c r="H947" s="5" t="n">
        <v>2</v>
      </c>
      <c r="I947" s="2">
        <f>ROUND(INDEX(가맹점!$P$2:$P$9,D947)*INDEX(가맹점!$J$2:$M$9,D947,E947),0)</f>
        <v/>
      </c>
      <c r="J947" s="2">
        <f>ROUND(I947*(1-할인율),0)</f>
        <v/>
      </c>
      <c r="K947" s="2">
        <f>ROUNDDOWN(I947*할인율,0)</f>
        <v/>
      </c>
      <c r="L947" s="2">
        <f>ROUND(I947*INDEX(미지급률범위,E947),0)</f>
        <v/>
      </c>
      <c r="M947" s="2">
        <f>ROUND(I947*INDEX(과지급률범위,E947),0)</f>
        <v/>
      </c>
      <c r="N947" s="2">
        <f>MAX(0,L947-M947)</f>
        <v/>
      </c>
      <c r="O947" s="2">
        <f>K947-N947</f>
        <v/>
      </c>
      <c r="P947" s="2">
        <f>I947-N947</f>
        <v/>
      </c>
      <c r="Q947" s="5">
        <f>IF(G947&gt;기준일,1,0)</f>
        <v/>
      </c>
      <c r="R947" s="5">
        <f>IF(G947&lt;=기준일,1,0)</f>
        <v/>
      </c>
      <c r="S947" s="2">
        <f>J947*H947</f>
        <v/>
      </c>
      <c r="T947" s="5">
        <f>IF(AND(F947&gt;=표본시작,F947&lt;=표본종료),1,0)</f>
        <v/>
      </c>
      <c r="U947" s="5">
        <f>IF(AND(G947&gt;=조회시작,G947&lt;=조회종료),1,0)</f>
        <v/>
      </c>
    </row>
    <row r="948">
      <c r="A948" s="2">
        <f>ROW()-1</f>
        <v/>
      </c>
      <c r="B948" s="5">
        <f>INDEX(상호범위,D948)</f>
        <v/>
      </c>
      <c r="C948" s="5">
        <f>INDEX(플랫폼명범위,E948)</f>
        <v/>
      </c>
      <c r="D948" s="2">
        <f>MOD(INT((A948-1)/4),8)+1</f>
        <v/>
      </c>
      <c r="E948" s="2">
        <f>MOD(A948-1,4)+1</f>
        <v/>
      </c>
      <c r="F948" s="20">
        <f>축시작+INT((A948-1)/32)</f>
        <v/>
      </c>
      <c r="G948" s="20">
        <f>F948+H948</f>
        <v/>
      </c>
      <c r="H948" s="5" t="n">
        <v>7</v>
      </c>
      <c r="I948" s="2">
        <f>ROUND(INDEX(가맹점!$P$2:$P$9,D948)*INDEX(가맹점!$J$2:$M$9,D948,E948),0)</f>
        <v/>
      </c>
      <c r="J948" s="2">
        <f>ROUND(I948*(1-할인율),0)</f>
        <v/>
      </c>
      <c r="K948" s="2">
        <f>ROUNDDOWN(I948*할인율,0)</f>
        <v/>
      </c>
      <c r="L948" s="2">
        <f>ROUND(I948*INDEX(미지급률범위,E948),0)</f>
        <v/>
      </c>
      <c r="M948" s="2">
        <f>ROUND(I948*INDEX(과지급률범위,E948),0)</f>
        <v/>
      </c>
      <c r="N948" s="2">
        <f>MAX(0,L948-M948)</f>
        <v/>
      </c>
      <c r="O948" s="2">
        <f>K948-N948</f>
        <v/>
      </c>
      <c r="P948" s="2">
        <f>I948-N948</f>
        <v/>
      </c>
      <c r="Q948" s="5">
        <f>IF(G948&gt;기준일,1,0)</f>
        <v/>
      </c>
      <c r="R948" s="5">
        <f>IF(G948&lt;=기준일,1,0)</f>
        <v/>
      </c>
      <c r="S948" s="2">
        <f>J948*H948</f>
        <v/>
      </c>
      <c r="T948" s="5">
        <f>IF(AND(F948&gt;=표본시작,F948&lt;=표본종료),1,0)</f>
        <v/>
      </c>
      <c r="U948" s="5">
        <f>IF(AND(G948&gt;=조회시작,G948&lt;=조회종료),1,0)</f>
        <v/>
      </c>
    </row>
    <row r="949">
      <c r="A949" s="2">
        <f>ROW()-1</f>
        <v/>
      </c>
      <c r="B949" s="5">
        <f>INDEX(상호범위,D949)</f>
        <v/>
      </c>
      <c r="C949" s="5">
        <f>INDEX(플랫폼명범위,E949)</f>
        <v/>
      </c>
      <c r="D949" s="2">
        <f>MOD(INT((A949-1)/4),8)+1</f>
        <v/>
      </c>
      <c r="E949" s="2">
        <f>MOD(A949-1,4)+1</f>
        <v/>
      </c>
      <c r="F949" s="20">
        <f>축시작+INT((A949-1)/32)</f>
        <v/>
      </c>
      <c r="G949" s="20">
        <f>F949+H949</f>
        <v/>
      </c>
      <c r="H949" s="5" t="n">
        <v>6</v>
      </c>
      <c r="I949" s="2">
        <f>ROUND(INDEX(가맹점!$P$2:$P$9,D949)*INDEX(가맹점!$J$2:$M$9,D949,E949),0)</f>
        <v/>
      </c>
      <c r="J949" s="2">
        <f>ROUND(I949*(1-할인율),0)</f>
        <v/>
      </c>
      <c r="K949" s="2">
        <f>ROUNDDOWN(I949*할인율,0)</f>
        <v/>
      </c>
      <c r="L949" s="2">
        <f>ROUND(I949*INDEX(미지급률범위,E949),0)</f>
        <v/>
      </c>
      <c r="M949" s="2">
        <f>ROUND(I949*INDEX(과지급률범위,E949),0)</f>
        <v/>
      </c>
      <c r="N949" s="2">
        <f>MAX(0,L949-M949)</f>
        <v/>
      </c>
      <c r="O949" s="2">
        <f>K949-N949</f>
        <v/>
      </c>
      <c r="P949" s="2">
        <f>I949-N949</f>
        <v/>
      </c>
      <c r="Q949" s="5">
        <f>IF(G949&gt;기준일,1,0)</f>
        <v/>
      </c>
      <c r="R949" s="5">
        <f>IF(G949&lt;=기준일,1,0)</f>
        <v/>
      </c>
      <c r="S949" s="2">
        <f>J949*H949</f>
        <v/>
      </c>
      <c r="T949" s="5">
        <f>IF(AND(F949&gt;=표본시작,F949&lt;=표본종료),1,0)</f>
        <v/>
      </c>
      <c r="U949" s="5">
        <f>IF(AND(G949&gt;=조회시작,G949&lt;=조회종료),1,0)</f>
        <v/>
      </c>
    </row>
    <row r="950">
      <c r="A950" s="2">
        <f>ROW()-1</f>
        <v/>
      </c>
      <c r="B950" s="5">
        <f>INDEX(상호범위,D950)</f>
        <v/>
      </c>
      <c r="C950" s="5">
        <f>INDEX(플랫폼명범위,E950)</f>
        <v/>
      </c>
      <c r="D950" s="2">
        <f>MOD(INT((A950-1)/4),8)+1</f>
        <v/>
      </c>
      <c r="E950" s="2">
        <f>MOD(A950-1,4)+1</f>
        <v/>
      </c>
      <c r="F950" s="20">
        <f>축시작+INT((A950-1)/32)</f>
        <v/>
      </c>
      <c r="G950" s="20">
        <f>F950+H950</f>
        <v/>
      </c>
      <c r="H950" s="5" t="n">
        <v>3</v>
      </c>
      <c r="I950" s="2">
        <f>ROUND(INDEX(가맹점!$P$2:$P$9,D950)*INDEX(가맹점!$J$2:$M$9,D950,E950),0)</f>
        <v/>
      </c>
      <c r="J950" s="2">
        <f>ROUND(I950*(1-할인율),0)</f>
        <v/>
      </c>
      <c r="K950" s="2">
        <f>ROUNDDOWN(I950*할인율,0)</f>
        <v/>
      </c>
      <c r="L950" s="2">
        <f>ROUND(I950*INDEX(미지급률범위,E950),0)</f>
        <v/>
      </c>
      <c r="M950" s="2">
        <f>ROUND(I950*INDEX(과지급률범위,E950),0)</f>
        <v/>
      </c>
      <c r="N950" s="2">
        <f>MAX(0,L950-M950)</f>
        <v/>
      </c>
      <c r="O950" s="2">
        <f>K950-N950</f>
        <v/>
      </c>
      <c r="P950" s="2">
        <f>I950-N950</f>
        <v/>
      </c>
      <c r="Q950" s="5">
        <f>IF(G950&gt;기준일,1,0)</f>
        <v/>
      </c>
      <c r="R950" s="5">
        <f>IF(G950&lt;=기준일,1,0)</f>
        <v/>
      </c>
      <c r="S950" s="2">
        <f>J950*H950</f>
        <v/>
      </c>
      <c r="T950" s="5">
        <f>IF(AND(F950&gt;=표본시작,F950&lt;=표본종료),1,0)</f>
        <v/>
      </c>
      <c r="U950" s="5">
        <f>IF(AND(G950&gt;=조회시작,G950&lt;=조회종료),1,0)</f>
        <v/>
      </c>
    </row>
    <row r="951">
      <c r="A951" s="2">
        <f>ROW()-1</f>
        <v/>
      </c>
      <c r="B951" s="5">
        <f>INDEX(상호범위,D951)</f>
        <v/>
      </c>
      <c r="C951" s="5">
        <f>INDEX(플랫폼명범위,E951)</f>
        <v/>
      </c>
      <c r="D951" s="2">
        <f>MOD(INT((A951-1)/4),8)+1</f>
        <v/>
      </c>
      <c r="E951" s="2">
        <f>MOD(A951-1,4)+1</f>
        <v/>
      </c>
      <c r="F951" s="20">
        <f>축시작+INT((A951-1)/32)</f>
        <v/>
      </c>
      <c r="G951" s="20">
        <f>F951+H951</f>
        <v/>
      </c>
      <c r="H951" s="5" t="n">
        <v>2</v>
      </c>
      <c r="I951" s="2">
        <f>ROUND(INDEX(가맹점!$P$2:$P$9,D951)*INDEX(가맹점!$J$2:$M$9,D951,E951),0)</f>
        <v/>
      </c>
      <c r="J951" s="2">
        <f>ROUND(I951*(1-할인율),0)</f>
        <v/>
      </c>
      <c r="K951" s="2">
        <f>ROUNDDOWN(I951*할인율,0)</f>
        <v/>
      </c>
      <c r="L951" s="2">
        <f>ROUND(I951*INDEX(미지급률범위,E951),0)</f>
        <v/>
      </c>
      <c r="M951" s="2">
        <f>ROUND(I951*INDEX(과지급률범위,E951),0)</f>
        <v/>
      </c>
      <c r="N951" s="2">
        <f>MAX(0,L951-M951)</f>
        <v/>
      </c>
      <c r="O951" s="2">
        <f>K951-N951</f>
        <v/>
      </c>
      <c r="P951" s="2">
        <f>I951-N951</f>
        <v/>
      </c>
      <c r="Q951" s="5">
        <f>IF(G951&gt;기준일,1,0)</f>
        <v/>
      </c>
      <c r="R951" s="5">
        <f>IF(G951&lt;=기준일,1,0)</f>
        <v/>
      </c>
      <c r="S951" s="2">
        <f>J951*H951</f>
        <v/>
      </c>
      <c r="T951" s="5">
        <f>IF(AND(F951&gt;=표본시작,F951&lt;=표본종료),1,0)</f>
        <v/>
      </c>
      <c r="U951" s="5">
        <f>IF(AND(G951&gt;=조회시작,G951&lt;=조회종료),1,0)</f>
        <v/>
      </c>
    </row>
    <row r="952">
      <c r="A952" s="2">
        <f>ROW()-1</f>
        <v/>
      </c>
      <c r="B952" s="5">
        <f>INDEX(상호범위,D952)</f>
        <v/>
      </c>
      <c r="C952" s="5">
        <f>INDEX(플랫폼명범위,E952)</f>
        <v/>
      </c>
      <c r="D952" s="2">
        <f>MOD(INT((A952-1)/4),8)+1</f>
        <v/>
      </c>
      <c r="E952" s="2">
        <f>MOD(A952-1,4)+1</f>
        <v/>
      </c>
      <c r="F952" s="20">
        <f>축시작+INT((A952-1)/32)</f>
        <v/>
      </c>
      <c r="G952" s="20">
        <f>F952+H952</f>
        <v/>
      </c>
      <c r="H952" s="5" t="n">
        <v>7</v>
      </c>
      <c r="I952" s="2">
        <f>ROUND(INDEX(가맹점!$P$2:$P$9,D952)*INDEX(가맹점!$J$2:$M$9,D952,E952),0)</f>
        <v/>
      </c>
      <c r="J952" s="2">
        <f>ROUND(I952*(1-할인율),0)</f>
        <v/>
      </c>
      <c r="K952" s="2">
        <f>ROUNDDOWN(I952*할인율,0)</f>
        <v/>
      </c>
      <c r="L952" s="2">
        <f>ROUND(I952*INDEX(미지급률범위,E952),0)</f>
        <v/>
      </c>
      <c r="M952" s="2">
        <f>ROUND(I952*INDEX(과지급률범위,E952),0)</f>
        <v/>
      </c>
      <c r="N952" s="2">
        <f>MAX(0,L952-M952)</f>
        <v/>
      </c>
      <c r="O952" s="2">
        <f>K952-N952</f>
        <v/>
      </c>
      <c r="P952" s="2">
        <f>I952-N952</f>
        <v/>
      </c>
      <c r="Q952" s="5">
        <f>IF(G952&gt;기준일,1,0)</f>
        <v/>
      </c>
      <c r="R952" s="5">
        <f>IF(G952&lt;=기준일,1,0)</f>
        <v/>
      </c>
      <c r="S952" s="2">
        <f>J952*H952</f>
        <v/>
      </c>
      <c r="T952" s="5">
        <f>IF(AND(F952&gt;=표본시작,F952&lt;=표본종료),1,0)</f>
        <v/>
      </c>
      <c r="U952" s="5">
        <f>IF(AND(G952&gt;=조회시작,G952&lt;=조회종료),1,0)</f>
        <v/>
      </c>
    </row>
    <row r="953">
      <c r="A953" s="2">
        <f>ROW()-1</f>
        <v/>
      </c>
      <c r="B953" s="5">
        <f>INDEX(상호범위,D953)</f>
        <v/>
      </c>
      <c r="C953" s="5">
        <f>INDEX(플랫폼명범위,E953)</f>
        <v/>
      </c>
      <c r="D953" s="2">
        <f>MOD(INT((A953-1)/4),8)+1</f>
        <v/>
      </c>
      <c r="E953" s="2">
        <f>MOD(A953-1,4)+1</f>
        <v/>
      </c>
      <c r="F953" s="20">
        <f>축시작+INT((A953-1)/32)</f>
        <v/>
      </c>
      <c r="G953" s="20">
        <f>F953+H953</f>
        <v/>
      </c>
      <c r="H953" s="5" t="n">
        <v>7</v>
      </c>
      <c r="I953" s="2">
        <f>ROUND(INDEX(가맹점!$P$2:$P$9,D953)*INDEX(가맹점!$J$2:$M$9,D953,E953),0)</f>
        <v/>
      </c>
      <c r="J953" s="2">
        <f>ROUND(I953*(1-할인율),0)</f>
        <v/>
      </c>
      <c r="K953" s="2">
        <f>ROUNDDOWN(I953*할인율,0)</f>
        <v/>
      </c>
      <c r="L953" s="2">
        <f>ROUND(I953*INDEX(미지급률범위,E953),0)</f>
        <v/>
      </c>
      <c r="M953" s="2">
        <f>ROUND(I953*INDEX(과지급률범위,E953),0)</f>
        <v/>
      </c>
      <c r="N953" s="2">
        <f>MAX(0,L953-M953)</f>
        <v/>
      </c>
      <c r="O953" s="2">
        <f>K953-N953</f>
        <v/>
      </c>
      <c r="P953" s="2">
        <f>I953-N953</f>
        <v/>
      </c>
      <c r="Q953" s="5">
        <f>IF(G953&gt;기준일,1,0)</f>
        <v/>
      </c>
      <c r="R953" s="5">
        <f>IF(G953&lt;=기준일,1,0)</f>
        <v/>
      </c>
      <c r="S953" s="2">
        <f>J953*H953</f>
        <v/>
      </c>
      <c r="T953" s="5">
        <f>IF(AND(F953&gt;=표본시작,F953&lt;=표본종료),1,0)</f>
        <v/>
      </c>
      <c r="U953" s="5">
        <f>IF(AND(G953&gt;=조회시작,G953&lt;=조회종료),1,0)</f>
        <v/>
      </c>
    </row>
    <row r="954">
      <c r="A954" s="2">
        <f>ROW()-1</f>
        <v/>
      </c>
      <c r="B954" s="5">
        <f>INDEX(상호범위,D954)</f>
        <v/>
      </c>
      <c r="C954" s="5">
        <f>INDEX(플랫폼명범위,E954)</f>
        <v/>
      </c>
      <c r="D954" s="2">
        <f>MOD(INT((A954-1)/4),8)+1</f>
        <v/>
      </c>
      <c r="E954" s="2">
        <f>MOD(A954-1,4)+1</f>
        <v/>
      </c>
      <c r="F954" s="20">
        <f>축시작+INT((A954-1)/32)</f>
        <v/>
      </c>
      <c r="G954" s="20">
        <f>F954+H954</f>
        <v/>
      </c>
      <c r="H954" s="5" t="n">
        <v>3</v>
      </c>
      <c r="I954" s="2">
        <f>ROUND(INDEX(가맹점!$P$2:$P$9,D954)*INDEX(가맹점!$J$2:$M$9,D954,E954),0)</f>
        <v/>
      </c>
      <c r="J954" s="2">
        <f>ROUND(I954*(1-할인율),0)</f>
        <v/>
      </c>
      <c r="K954" s="2">
        <f>ROUNDDOWN(I954*할인율,0)</f>
        <v/>
      </c>
      <c r="L954" s="2">
        <f>ROUND(I954*INDEX(미지급률범위,E954),0)</f>
        <v/>
      </c>
      <c r="M954" s="2">
        <f>ROUND(I954*INDEX(과지급률범위,E954),0)</f>
        <v/>
      </c>
      <c r="N954" s="2">
        <f>MAX(0,L954-M954)</f>
        <v/>
      </c>
      <c r="O954" s="2">
        <f>K954-N954</f>
        <v/>
      </c>
      <c r="P954" s="2">
        <f>I954-N954</f>
        <v/>
      </c>
      <c r="Q954" s="5">
        <f>IF(G954&gt;기준일,1,0)</f>
        <v/>
      </c>
      <c r="R954" s="5">
        <f>IF(G954&lt;=기준일,1,0)</f>
        <v/>
      </c>
      <c r="S954" s="2">
        <f>J954*H954</f>
        <v/>
      </c>
      <c r="T954" s="5">
        <f>IF(AND(F954&gt;=표본시작,F954&lt;=표본종료),1,0)</f>
        <v/>
      </c>
      <c r="U954" s="5">
        <f>IF(AND(G954&gt;=조회시작,G954&lt;=조회종료),1,0)</f>
        <v/>
      </c>
    </row>
    <row r="955">
      <c r="A955" s="2">
        <f>ROW()-1</f>
        <v/>
      </c>
      <c r="B955" s="5">
        <f>INDEX(상호범위,D955)</f>
        <v/>
      </c>
      <c r="C955" s="5">
        <f>INDEX(플랫폼명범위,E955)</f>
        <v/>
      </c>
      <c r="D955" s="2">
        <f>MOD(INT((A955-1)/4),8)+1</f>
        <v/>
      </c>
      <c r="E955" s="2">
        <f>MOD(A955-1,4)+1</f>
        <v/>
      </c>
      <c r="F955" s="20">
        <f>축시작+INT((A955-1)/32)</f>
        <v/>
      </c>
      <c r="G955" s="20">
        <f>F955+H955</f>
        <v/>
      </c>
      <c r="H955" s="5" t="n">
        <v>4</v>
      </c>
      <c r="I955" s="2">
        <f>ROUND(INDEX(가맹점!$P$2:$P$9,D955)*INDEX(가맹점!$J$2:$M$9,D955,E955),0)</f>
        <v/>
      </c>
      <c r="J955" s="2">
        <f>ROUND(I955*(1-할인율),0)</f>
        <v/>
      </c>
      <c r="K955" s="2">
        <f>ROUNDDOWN(I955*할인율,0)</f>
        <v/>
      </c>
      <c r="L955" s="2">
        <f>ROUND(I955*INDEX(미지급률범위,E955),0)</f>
        <v/>
      </c>
      <c r="M955" s="2">
        <f>ROUND(I955*INDEX(과지급률범위,E955),0)</f>
        <v/>
      </c>
      <c r="N955" s="2">
        <f>MAX(0,L955-M955)</f>
        <v/>
      </c>
      <c r="O955" s="2">
        <f>K955-N955</f>
        <v/>
      </c>
      <c r="P955" s="2">
        <f>I955-N955</f>
        <v/>
      </c>
      <c r="Q955" s="5">
        <f>IF(G955&gt;기준일,1,0)</f>
        <v/>
      </c>
      <c r="R955" s="5">
        <f>IF(G955&lt;=기준일,1,0)</f>
        <v/>
      </c>
      <c r="S955" s="2">
        <f>J955*H955</f>
        <v/>
      </c>
      <c r="T955" s="5">
        <f>IF(AND(F955&gt;=표본시작,F955&lt;=표본종료),1,0)</f>
        <v/>
      </c>
      <c r="U955" s="5">
        <f>IF(AND(G955&gt;=조회시작,G955&lt;=조회종료),1,0)</f>
        <v/>
      </c>
    </row>
    <row r="956">
      <c r="A956" s="2">
        <f>ROW()-1</f>
        <v/>
      </c>
      <c r="B956" s="5">
        <f>INDEX(상호범위,D956)</f>
        <v/>
      </c>
      <c r="C956" s="5">
        <f>INDEX(플랫폼명범위,E956)</f>
        <v/>
      </c>
      <c r="D956" s="2">
        <f>MOD(INT((A956-1)/4),8)+1</f>
        <v/>
      </c>
      <c r="E956" s="2">
        <f>MOD(A956-1,4)+1</f>
        <v/>
      </c>
      <c r="F956" s="20">
        <f>축시작+INT((A956-1)/32)</f>
        <v/>
      </c>
      <c r="G956" s="20">
        <f>F956+H956</f>
        <v/>
      </c>
      <c r="H956" s="5" t="n">
        <v>5</v>
      </c>
      <c r="I956" s="2">
        <f>ROUND(INDEX(가맹점!$P$2:$P$9,D956)*INDEX(가맹점!$J$2:$M$9,D956,E956),0)</f>
        <v/>
      </c>
      <c r="J956" s="2">
        <f>ROUND(I956*(1-할인율),0)</f>
        <v/>
      </c>
      <c r="K956" s="2">
        <f>ROUNDDOWN(I956*할인율,0)</f>
        <v/>
      </c>
      <c r="L956" s="2">
        <f>ROUND(I956*INDEX(미지급률범위,E956),0)</f>
        <v/>
      </c>
      <c r="M956" s="2">
        <f>ROUND(I956*INDEX(과지급률범위,E956),0)</f>
        <v/>
      </c>
      <c r="N956" s="2">
        <f>MAX(0,L956-M956)</f>
        <v/>
      </c>
      <c r="O956" s="2">
        <f>K956-N956</f>
        <v/>
      </c>
      <c r="P956" s="2">
        <f>I956-N956</f>
        <v/>
      </c>
      <c r="Q956" s="5">
        <f>IF(G956&gt;기준일,1,0)</f>
        <v/>
      </c>
      <c r="R956" s="5">
        <f>IF(G956&lt;=기준일,1,0)</f>
        <v/>
      </c>
      <c r="S956" s="2">
        <f>J956*H956</f>
        <v/>
      </c>
      <c r="T956" s="5">
        <f>IF(AND(F956&gt;=표본시작,F956&lt;=표본종료),1,0)</f>
        <v/>
      </c>
      <c r="U956" s="5">
        <f>IF(AND(G956&gt;=조회시작,G956&lt;=조회종료),1,0)</f>
        <v/>
      </c>
    </row>
    <row r="957">
      <c r="A957" s="2">
        <f>ROW()-1</f>
        <v/>
      </c>
      <c r="B957" s="5">
        <f>INDEX(상호범위,D957)</f>
        <v/>
      </c>
      <c r="C957" s="5">
        <f>INDEX(플랫폼명범위,E957)</f>
        <v/>
      </c>
      <c r="D957" s="2">
        <f>MOD(INT((A957-1)/4),8)+1</f>
        <v/>
      </c>
      <c r="E957" s="2">
        <f>MOD(A957-1,4)+1</f>
        <v/>
      </c>
      <c r="F957" s="20">
        <f>축시작+INT((A957-1)/32)</f>
        <v/>
      </c>
      <c r="G957" s="20">
        <f>F957+H957</f>
        <v/>
      </c>
      <c r="H957" s="5" t="n">
        <v>4</v>
      </c>
      <c r="I957" s="2">
        <f>ROUND(INDEX(가맹점!$P$2:$P$9,D957)*INDEX(가맹점!$J$2:$M$9,D957,E957),0)</f>
        <v/>
      </c>
      <c r="J957" s="2">
        <f>ROUND(I957*(1-할인율),0)</f>
        <v/>
      </c>
      <c r="K957" s="2">
        <f>ROUNDDOWN(I957*할인율,0)</f>
        <v/>
      </c>
      <c r="L957" s="2">
        <f>ROUND(I957*INDEX(미지급률범위,E957),0)</f>
        <v/>
      </c>
      <c r="M957" s="2">
        <f>ROUND(I957*INDEX(과지급률범위,E957),0)</f>
        <v/>
      </c>
      <c r="N957" s="2">
        <f>MAX(0,L957-M957)</f>
        <v/>
      </c>
      <c r="O957" s="2">
        <f>K957-N957</f>
        <v/>
      </c>
      <c r="P957" s="2">
        <f>I957-N957</f>
        <v/>
      </c>
      <c r="Q957" s="5">
        <f>IF(G957&gt;기준일,1,0)</f>
        <v/>
      </c>
      <c r="R957" s="5">
        <f>IF(G957&lt;=기준일,1,0)</f>
        <v/>
      </c>
      <c r="S957" s="2">
        <f>J957*H957</f>
        <v/>
      </c>
      <c r="T957" s="5">
        <f>IF(AND(F957&gt;=표본시작,F957&lt;=표본종료),1,0)</f>
        <v/>
      </c>
      <c r="U957" s="5">
        <f>IF(AND(G957&gt;=조회시작,G957&lt;=조회종료),1,0)</f>
        <v/>
      </c>
    </row>
    <row r="958">
      <c r="A958" s="2">
        <f>ROW()-1</f>
        <v/>
      </c>
      <c r="B958" s="5">
        <f>INDEX(상호범위,D958)</f>
        <v/>
      </c>
      <c r="C958" s="5">
        <f>INDEX(플랫폼명범위,E958)</f>
        <v/>
      </c>
      <c r="D958" s="2">
        <f>MOD(INT((A958-1)/4),8)+1</f>
        <v/>
      </c>
      <c r="E958" s="2">
        <f>MOD(A958-1,4)+1</f>
        <v/>
      </c>
      <c r="F958" s="20">
        <f>축시작+INT((A958-1)/32)</f>
        <v/>
      </c>
      <c r="G958" s="20">
        <f>F958+H958</f>
        <v/>
      </c>
      <c r="H958" s="5" t="n">
        <v>3</v>
      </c>
      <c r="I958" s="2">
        <f>ROUND(INDEX(가맹점!$P$2:$P$9,D958)*INDEX(가맹점!$J$2:$M$9,D958,E958),0)</f>
        <v/>
      </c>
      <c r="J958" s="2">
        <f>ROUND(I958*(1-할인율),0)</f>
        <v/>
      </c>
      <c r="K958" s="2">
        <f>ROUNDDOWN(I958*할인율,0)</f>
        <v/>
      </c>
      <c r="L958" s="2">
        <f>ROUND(I958*INDEX(미지급률범위,E958),0)</f>
        <v/>
      </c>
      <c r="M958" s="2">
        <f>ROUND(I958*INDEX(과지급률범위,E958),0)</f>
        <v/>
      </c>
      <c r="N958" s="2">
        <f>MAX(0,L958-M958)</f>
        <v/>
      </c>
      <c r="O958" s="2">
        <f>K958-N958</f>
        <v/>
      </c>
      <c r="P958" s="2">
        <f>I958-N958</f>
        <v/>
      </c>
      <c r="Q958" s="5">
        <f>IF(G958&gt;기준일,1,0)</f>
        <v/>
      </c>
      <c r="R958" s="5">
        <f>IF(G958&lt;=기준일,1,0)</f>
        <v/>
      </c>
      <c r="S958" s="2">
        <f>J958*H958</f>
        <v/>
      </c>
      <c r="T958" s="5">
        <f>IF(AND(F958&gt;=표본시작,F958&lt;=표본종료),1,0)</f>
        <v/>
      </c>
      <c r="U958" s="5">
        <f>IF(AND(G958&gt;=조회시작,G958&lt;=조회종료),1,0)</f>
        <v/>
      </c>
    </row>
    <row r="959">
      <c r="A959" s="2">
        <f>ROW()-1</f>
        <v/>
      </c>
      <c r="B959" s="5">
        <f>INDEX(상호범위,D959)</f>
        <v/>
      </c>
      <c r="C959" s="5">
        <f>INDEX(플랫폼명범위,E959)</f>
        <v/>
      </c>
      <c r="D959" s="2">
        <f>MOD(INT((A959-1)/4),8)+1</f>
        <v/>
      </c>
      <c r="E959" s="2">
        <f>MOD(A959-1,4)+1</f>
        <v/>
      </c>
      <c r="F959" s="20">
        <f>축시작+INT((A959-1)/32)</f>
        <v/>
      </c>
      <c r="G959" s="20">
        <f>F959+H959</f>
        <v/>
      </c>
      <c r="H959" s="5" t="n">
        <v>4</v>
      </c>
      <c r="I959" s="2">
        <f>ROUND(INDEX(가맹점!$P$2:$P$9,D959)*INDEX(가맹점!$J$2:$M$9,D959,E959),0)</f>
        <v/>
      </c>
      <c r="J959" s="2">
        <f>ROUND(I959*(1-할인율),0)</f>
        <v/>
      </c>
      <c r="K959" s="2">
        <f>ROUNDDOWN(I959*할인율,0)</f>
        <v/>
      </c>
      <c r="L959" s="2">
        <f>ROUND(I959*INDEX(미지급률범위,E959),0)</f>
        <v/>
      </c>
      <c r="M959" s="2">
        <f>ROUND(I959*INDEX(과지급률범위,E959),0)</f>
        <v/>
      </c>
      <c r="N959" s="2">
        <f>MAX(0,L959-M959)</f>
        <v/>
      </c>
      <c r="O959" s="2">
        <f>K959-N959</f>
        <v/>
      </c>
      <c r="P959" s="2">
        <f>I959-N959</f>
        <v/>
      </c>
      <c r="Q959" s="5">
        <f>IF(G959&gt;기준일,1,0)</f>
        <v/>
      </c>
      <c r="R959" s="5">
        <f>IF(G959&lt;=기준일,1,0)</f>
        <v/>
      </c>
      <c r="S959" s="2">
        <f>J959*H959</f>
        <v/>
      </c>
      <c r="T959" s="5">
        <f>IF(AND(F959&gt;=표본시작,F959&lt;=표본종료),1,0)</f>
        <v/>
      </c>
      <c r="U959" s="5">
        <f>IF(AND(G959&gt;=조회시작,G959&lt;=조회종료),1,0)</f>
        <v/>
      </c>
    </row>
    <row r="960">
      <c r="A960" s="2">
        <f>ROW()-1</f>
        <v/>
      </c>
      <c r="B960" s="5">
        <f>INDEX(상호범위,D960)</f>
        <v/>
      </c>
      <c r="C960" s="5">
        <f>INDEX(플랫폼명범위,E960)</f>
        <v/>
      </c>
      <c r="D960" s="2">
        <f>MOD(INT((A960-1)/4),8)+1</f>
        <v/>
      </c>
      <c r="E960" s="2">
        <f>MOD(A960-1,4)+1</f>
        <v/>
      </c>
      <c r="F960" s="20">
        <f>축시작+INT((A960-1)/32)</f>
        <v/>
      </c>
      <c r="G960" s="20">
        <f>F960+H960</f>
        <v/>
      </c>
      <c r="H960" s="5" t="n">
        <v>5</v>
      </c>
      <c r="I960" s="2">
        <f>ROUND(INDEX(가맹점!$P$2:$P$9,D960)*INDEX(가맹점!$J$2:$M$9,D960,E960),0)</f>
        <v/>
      </c>
      <c r="J960" s="2">
        <f>ROUND(I960*(1-할인율),0)</f>
        <v/>
      </c>
      <c r="K960" s="2">
        <f>ROUNDDOWN(I960*할인율,0)</f>
        <v/>
      </c>
      <c r="L960" s="2">
        <f>ROUND(I960*INDEX(미지급률범위,E960),0)</f>
        <v/>
      </c>
      <c r="M960" s="2">
        <f>ROUND(I960*INDEX(과지급률범위,E960),0)</f>
        <v/>
      </c>
      <c r="N960" s="2">
        <f>MAX(0,L960-M960)</f>
        <v/>
      </c>
      <c r="O960" s="2">
        <f>K960-N960</f>
        <v/>
      </c>
      <c r="P960" s="2">
        <f>I960-N960</f>
        <v/>
      </c>
      <c r="Q960" s="5">
        <f>IF(G960&gt;기준일,1,0)</f>
        <v/>
      </c>
      <c r="R960" s="5">
        <f>IF(G960&lt;=기준일,1,0)</f>
        <v/>
      </c>
      <c r="S960" s="2">
        <f>J960*H960</f>
        <v/>
      </c>
      <c r="T960" s="5">
        <f>IF(AND(F960&gt;=표본시작,F960&lt;=표본종료),1,0)</f>
        <v/>
      </c>
      <c r="U960" s="5">
        <f>IF(AND(G960&gt;=조회시작,G960&lt;=조회종료),1,0)</f>
        <v/>
      </c>
    </row>
    <row r="961">
      <c r="A961" s="2">
        <f>ROW()-1</f>
        <v/>
      </c>
      <c r="B961" s="5">
        <f>INDEX(상호범위,D961)</f>
        <v/>
      </c>
      <c r="C961" s="5">
        <f>INDEX(플랫폼명범위,E961)</f>
        <v/>
      </c>
      <c r="D961" s="2">
        <f>MOD(INT((A961-1)/4),8)+1</f>
        <v/>
      </c>
      <c r="E961" s="2">
        <f>MOD(A961-1,4)+1</f>
        <v/>
      </c>
      <c r="F961" s="20">
        <f>축시작+INT((A961-1)/32)</f>
        <v/>
      </c>
      <c r="G961" s="20">
        <f>F961+H961</f>
        <v/>
      </c>
      <c r="H961" s="5" t="n">
        <v>8</v>
      </c>
      <c r="I961" s="2">
        <f>ROUND(INDEX(가맹점!$P$2:$P$9,D961)*INDEX(가맹점!$J$2:$M$9,D961,E961),0)</f>
        <v/>
      </c>
      <c r="J961" s="2">
        <f>ROUND(I961*(1-할인율),0)</f>
        <v/>
      </c>
      <c r="K961" s="2">
        <f>ROUNDDOWN(I961*할인율,0)</f>
        <v/>
      </c>
      <c r="L961" s="2">
        <f>ROUND(I961*INDEX(미지급률범위,E961),0)</f>
        <v/>
      </c>
      <c r="M961" s="2">
        <f>ROUND(I961*INDEX(과지급률범위,E961),0)</f>
        <v/>
      </c>
      <c r="N961" s="2">
        <f>MAX(0,L961-M961)</f>
        <v/>
      </c>
      <c r="O961" s="2">
        <f>K961-N961</f>
        <v/>
      </c>
      <c r="P961" s="2">
        <f>I961-N961</f>
        <v/>
      </c>
      <c r="Q961" s="5">
        <f>IF(G961&gt;기준일,1,0)</f>
        <v/>
      </c>
      <c r="R961" s="5">
        <f>IF(G961&lt;=기준일,1,0)</f>
        <v/>
      </c>
      <c r="S961" s="2">
        <f>J961*H961</f>
        <v/>
      </c>
      <c r="T961" s="5">
        <f>IF(AND(F961&gt;=표본시작,F961&lt;=표본종료),1,0)</f>
        <v/>
      </c>
      <c r="U961" s="5">
        <f>IF(AND(G961&gt;=조회시작,G961&lt;=조회종료),1,0)</f>
        <v/>
      </c>
    </row>
    <row r="962">
      <c r="A962" s="2">
        <f>ROW()-1</f>
        <v/>
      </c>
      <c r="B962" s="5">
        <f>INDEX(상호범위,D962)</f>
        <v/>
      </c>
      <c r="C962" s="5">
        <f>INDEX(플랫폼명범위,E962)</f>
        <v/>
      </c>
      <c r="D962" s="2">
        <f>MOD(INT((A962-1)/4),8)+1</f>
        <v/>
      </c>
      <c r="E962" s="2">
        <f>MOD(A962-1,4)+1</f>
        <v/>
      </c>
      <c r="F962" s="20">
        <f>축시작+INT((A962-1)/32)</f>
        <v/>
      </c>
      <c r="G962" s="20">
        <f>F962+H962</f>
        <v/>
      </c>
      <c r="H962" s="5" t="n">
        <v>3</v>
      </c>
      <c r="I962" s="2">
        <f>ROUND(INDEX(가맹점!$P$2:$P$9,D962)*INDEX(가맹점!$J$2:$M$9,D962,E962),0)</f>
        <v/>
      </c>
      <c r="J962" s="2">
        <f>ROUND(I962*(1-할인율),0)</f>
        <v/>
      </c>
      <c r="K962" s="2">
        <f>ROUNDDOWN(I962*할인율,0)</f>
        <v/>
      </c>
      <c r="L962" s="2">
        <f>ROUND(I962*INDEX(미지급률범위,E962),0)</f>
        <v/>
      </c>
      <c r="M962" s="2">
        <f>ROUND(I962*INDEX(과지급률범위,E962),0)</f>
        <v/>
      </c>
      <c r="N962" s="2">
        <f>MAX(0,L962-M962)</f>
        <v/>
      </c>
      <c r="O962" s="2">
        <f>K962-N962</f>
        <v/>
      </c>
      <c r="P962" s="2">
        <f>I962-N962</f>
        <v/>
      </c>
      <c r="Q962" s="5">
        <f>IF(G962&gt;기준일,1,0)</f>
        <v/>
      </c>
      <c r="R962" s="5">
        <f>IF(G962&lt;=기준일,1,0)</f>
        <v/>
      </c>
      <c r="S962" s="2">
        <f>J962*H962</f>
        <v/>
      </c>
      <c r="T962" s="5">
        <f>IF(AND(F962&gt;=표본시작,F962&lt;=표본종료),1,0)</f>
        <v/>
      </c>
      <c r="U962" s="5">
        <f>IF(AND(G962&gt;=조회시작,G962&lt;=조회종료),1,0)</f>
        <v/>
      </c>
    </row>
    <row r="963">
      <c r="A963" s="2">
        <f>ROW()-1</f>
        <v/>
      </c>
      <c r="B963" s="5">
        <f>INDEX(상호범위,D963)</f>
        <v/>
      </c>
      <c r="C963" s="5">
        <f>INDEX(플랫폼명범위,E963)</f>
        <v/>
      </c>
      <c r="D963" s="2">
        <f>MOD(INT((A963-1)/4),8)+1</f>
        <v/>
      </c>
      <c r="E963" s="2">
        <f>MOD(A963-1,4)+1</f>
        <v/>
      </c>
      <c r="F963" s="20">
        <f>축시작+INT((A963-1)/32)</f>
        <v/>
      </c>
      <c r="G963" s="20">
        <f>F963+H963</f>
        <v/>
      </c>
      <c r="H963" s="5" t="n">
        <v>2</v>
      </c>
      <c r="I963" s="2">
        <f>ROUND(INDEX(가맹점!$P$2:$P$9,D963)*INDEX(가맹점!$J$2:$M$9,D963,E963),0)</f>
        <v/>
      </c>
      <c r="J963" s="2">
        <f>ROUND(I963*(1-할인율),0)</f>
        <v/>
      </c>
      <c r="K963" s="2">
        <f>ROUNDDOWN(I963*할인율,0)</f>
        <v/>
      </c>
      <c r="L963" s="2">
        <f>ROUND(I963*INDEX(미지급률범위,E963),0)</f>
        <v/>
      </c>
      <c r="M963" s="2">
        <f>ROUND(I963*INDEX(과지급률범위,E963),0)</f>
        <v/>
      </c>
      <c r="N963" s="2">
        <f>MAX(0,L963-M963)</f>
        <v/>
      </c>
      <c r="O963" s="2">
        <f>K963-N963</f>
        <v/>
      </c>
      <c r="P963" s="2">
        <f>I963-N963</f>
        <v/>
      </c>
      <c r="Q963" s="5">
        <f>IF(G963&gt;기준일,1,0)</f>
        <v/>
      </c>
      <c r="R963" s="5">
        <f>IF(G963&lt;=기준일,1,0)</f>
        <v/>
      </c>
      <c r="S963" s="2">
        <f>J963*H963</f>
        <v/>
      </c>
      <c r="T963" s="5">
        <f>IF(AND(F963&gt;=표본시작,F963&lt;=표본종료),1,0)</f>
        <v/>
      </c>
      <c r="U963" s="5">
        <f>IF(AND(G963&gt;=조회시작,G963&lt;=조회종료),1,0)</f>
        <v/>
      </c>
    </row>
    <row r="964">
      <c r="A964" s="2">
        <f>ROW()-1</f>
        <v/>
      </c>
      <c r="B964" s="5">
        <f>INDEX(상호범위,D964)</f>
        <v/>
      </c>
      <c r="C964" s="5">
        <f>INDEX(플랫폼명범위,E964)</f>
        <v/>
      </c>
      <c r="D964" s="2">
        <f>MOD(INT((A964-1)/4),8)+1</f>
        <v/>
      </c>
      <c r="E964" s="2">
        <f>MOD(A964-1,4)+1</f>
        <v/>
      </c>
      <c r="F964" s="20">
        <f>축시작+INT((A964-1)/32)</f>
        <v/>
      </c>
      <c r="G964" s="20">
        <f>F964+H964</f>
        <v/>
      </c>
      <c r="H964" s="5" t="n">
        <v>5</v>
      </c>
      <c r="I964" s="2">
        <f>ROUND(INDEX(가맹점!$P$2:$P$9,D964)*INDEX(가맹점!$J$2:$M$9,D964,E964),0)</f>
        <v/>
      </c>
      <c r="J964" s="2">
        <f>ROUND(I964*(1-할인율),0)</f>
        <v/>
      </c>
      <c r="K964" s="2">
        <f>ROUNDDOWN(I964*할인율,0)</f>
        <v/>
      </c>
      <c r="L964" s="2">
        <f>ROUND(I964*INDEX(미지급률범위,E964),0)</f>
        <v/>
      </c>
      <c r="M964" s="2">
        <f>ROUND(I964*INDEX(과지급률범위,E964),0)</f>
        <v/>
      </c>
      <c r="N964" s="2">
        <f>MAX(0,L964-M964)</f>
        <v/>
      </c>
      <c r="O964" s="2">
        <f>K964-N964</f>
        <v/>
      </c>
      <c r="P964" s="2">
        <f>I964-N964</f>
        <v/>
      </c>
      <c r="Q964" s="5">
        <f>IF(G964&gt;기준일,1,0)</f>
        <v/>
      </c>
      <c r="R964" s="5">
        <f>IF(G964&lt;=기준일,1,0)</f>
        <v/>
      </c>
      <c r="S964" s="2">
        <f>J964*H964</f>
        <v/>
      </c>
      <c r="T964" s="5">
        <f>IF(AND(F964&gt;=표본시작,F964&lt;=표본종료),1,0)</f>
        <v/>
      </c>
      <c r="U964" s="5">
        <f>IF(AND(G964&gt;=조회시작,G964&lt;=조회종료),1,0)</f>
        <v/>
      </c>
    </row>
    <row r="965">
      <c r="A965" s="2">
        <f>ROW()-1</f>
        <v/>
      </c>
      <c r="B965" s="5">
        <f>INDEX(상호범위,D965)</f>
        <v/>
      </c>
      <c r="C965" s="5">
        <f>INDEX(플랫폼명범위,E965)</f>
        <v/>
      </c>
      <c r="D965" s="2">
        <f>MOD(INT((A965-1)/4),8)+1</f>
        <v/>
      </c>
      <c r="E965" s="2">
        <f>MOD(A965-1,4)+1</f>
        <v/>
      </c>
      <c r="F965" s="20">
        <f>축시작+INT((A965-1)/32)</f>
        <v/>
      </c>
      <c r="G965" s="20">
        <f>F965+H965</f>
        <v/>
      </c>
      <c r="H965" s="5" t="n">
        <v>8</v>
      </c>
      <c r="I965" s="2">
        <f>ROUND(INDEX(가맹점!$P$2:$P$9,D965)*INDEX(가맹점!$J$2:$M$9,D965,E965),0)</f>
        <v/>
      </c>
      <c r="J965" s="2">
        <f>ROUND(I965*(1-할인율),0)</f>
        <v/>
      </c>
      <c r="K965" s="2">
        <f>ROUNDDOWN(I965*할인율,0)</f>
        <v/>
      </c>
      <c r="L965" s="2">
        <f>ROUND(I965*INDEX(미지급률범위,E965),0)</f>
        <v/>
      </c>
      <c r="M965" s="2">
        <f>ROUND(I965*INDEX(과지급률범위,E965),0)</f>
        <v/>
      </c>
      <c r="N965" s="2">
        <f>MAX(0,L965-M965)</f>
        <v/>
      </c>
      <c r="O965" s="2">
        <f>K965-N965</f>
        <v/>
      </c>
      <c r="P965" s="2">
        <f>I965-N965</f>
        <v/>
      </c>
      <c r="Q965" s="5">
        <f>IF(G965&gt;기준일,1,0)</f>
        <v/>
      </c>
      <c r="R965" s="5">
        <f>IF(G965&lt;=기준일,1,0)</f>
        <v/>
      </c>
      <c r="S965" s="2">
        <f>J965*H965</f>
        <v/>
      </c>
      <c r="T965" s="5">
        <f>IF(AND(F965&gt;=표본시작,F965&lt;=표본종료),1,0)</f>
        <v/>
      </c>
      <c r="U965" s="5">
        <f>IF(AND(G965&gt;=조회시작,G965&lt;=조회종료),1,0)</f>
        <v/>
      </c>
    </row>
    <row r="966">
      <c r="A966" s="2">
        <f>ROW()-1</f>
        <v/>
      </c>
      <c r="B966" s="5">
        <f>INDEX(상호범위,D966)</f>
        <v/>
      </c>
      <c r="C966" s="5">
        <f>INDEX(플랫폼명범위,E966)</f>
        <v/>
      </c>
      <c r="D966" s="2">
        <f>MOD(INT((A966-1)/4),8)+1</f>
        <v/>
      </c>
      <c r="E966" s="2">
        <f>MOD(A966-1,4)+1</f>
        <v/>
      </c>
      <c r="F966" s="20">
        <f>축시작+INT((A966-1)/32)</f>
        <v/>
      </c>
      <c r="G966" s="20">
        <f>F966+H966</f>
        <v/>
      </c>
      <c r="H966" s="5" t="n">
        <v>3</v>
      </c>
      <c r="I966" s="2">
        <f>ROUND(INDEX(가맹점!$P$2:$P$9,D966)*INDEX(가맹점!$J$2:$M$9,D966,E966),0)</f>
        <v/>
      </c>
      <c r="J966" s="2">
        <f>ROUND(I966*(1-할인율),0)</f>
        <v/>
      </c>
      <c r="K966" s="2">
        <f>ROUNDDOWN(I966*할인율,0)</f>
        <v/>
      </c>
      <c r="L966" s="2">
        <f>ROUND(I966*INDEX(미지급률범위,E966),0)</f>
        <v/>
      </c>
      <c r="M966" s="2">
        <f>ROUND(I966*INDEX(과지급률범위,E966),0)</f>
        <v/>
      </c>
      <c r="N966" s="2">
        <f>MAX(0,L966-M966)</f>
        <v/>
      </c>
      <c r="O966" s="2">
        <f>K966-N966</f>
        <v/>
      </c>
      <c r="P966" s="2">
        <f>I966-N966</f>
        <v/>
      </c>
      <c r="Q966" s="5">
        <f>IF(G966&gt;기준일,1,0)</f>
        <v/>
      </c>
      <c r="R966" s="5">
        <f>IF(G966&lt;=기준일,1,0)</f>
        <v/>
      </c>
      <c r="S966" s="2">
        <f>J966*H966</f>
        <v/>
      </c>
      <c r="T966" s="5">
        <f>IF(AND(F966&gt;=표본시작,F966&lt;=표본종료),1,0)</f>
        <v/>
      </c>
      <c r="U966" s="5">
        <f>IF(AND(G966&gt;=조회시작,G966&lt;=조회종료),1,0)</f>
        <v/>
      </c>
    </row>
    <row r="967">
      <c r="A967" s="2">
        <f>ROW()-1</f>
        <v/>
      </c>
      <c r="B967" s="5">
        <f>INDEX(상호범위,D967)</f>
        <v/>
      </c>
      <c r="C967" s="5">
        <f>INDEX(플랫폼명범위,E967)</f>
        <v/>
      </c>
      <c r="D967" s="2">
        <f>MOD(INT((A967-1)/4),8)+1</f>
        <v/>
      </c>
      <c r="E967" s="2">
        <f>MOD(A967-1,4)+1</f>
        <v/>
      </c>
      <c r="F967" s="20">
        <f>축시작+INT((A967-1)/32)</f>
        <v/>
      </c>
      <c r="G967" s="20">
        <f>F967+H967</f>
        <v/>
      </c>
      <c r="H967" s="5" t="n">
        <v>2</v>
      </c>
      <c r="I967" s="2">
        <f>ROUND(INDEX(가맹점!$P$2:$P$9,D967)*INDEX(가맹점!$J$2:$M$9,D967,E967),0)</f>
        <v/>
      </c>
      <c r="J967" s="2">
        <f>ROUND(I967*(1-할인율),0)</f>
        <v/>
      </c>
      <c r="K967" s="2">
        <f>ROUNDDOWN(I967*할인율,0)</f>
        <v/>
      </c>
      <c r="L967" s="2">
        <f>ROUND(I967*INDEX(미지급률범위,E967),0)</f>
        <v/>
      </c>
      <c r="M967" s="2">
        <f>ROUND(I967*INDEX(과지급률범위,E967),0)</f>
        <v/>
      </c>
      <c r="N967" s="2">
        <f>MAX(0,L967-M967)</f>
        <v/>
      </c>
      <c r="O967" s="2">
        <f>K967-N967</f>
        <v/>
      </c>
      <c r="P967" s="2">
        <f>I967-N967</f>
        <v/>
      </c>
      <c r="Q967" s="5">
        <f>IF(G967&gt;기준일,1,0)</f>
        <v/>
      </c>
      <c r="R967" s="5">
        <f>IF(G967&lt;=기준일,1,0)</f>
        <v/>
      </c>
      <c r="S967" s="2">
        <f>J967*H967</f>
        <v/>
      </c>
      <c r="T967" s="5">
        <f>IF(AND(F967&gt;=표본시작,F967&lt;=표본종료),1,0)</f>
        <v/>
      </c>
      <c r="U967" s="5">
        <f>IF(AND(G967&gt;=조회시작,G967&lt;=조회종료),1,0)</f>
        <v/>
      </c>
    </row>
    <row r="968">
      <c r="A968" s="2">
        <f>ROW()-1</f>
        <v/>
      </c>
      <c r="B968" s="5">
        <f>INDEX(상호범위,D968)</f>
        <v/>
      </c>
      <c r="C968" s="5">
        <f>INDEX(플랫폼명범위,E968)</f>
        <v/>
      </c>
      <c r="D968" s="2">
        <f>MOD(INT((A968-1)/4),8)+1</f>
        <v/>
      </c>
      <c r="E968" s="2">
        <f>MOD(A968-1,4)+1</f>
        <v/>
      </c>
      <c r="F968" s="20">
        <f>축시작+INT((A968-1)/32)</f>
        <v/>
      </c>
      <c r="G968" s="20">
        <f>F968+H968</f>
        <v/>
      </c>
      <c r="H968" s="5" t="n">
        <v>5</v>
      </c>
      <c r="I968" s="2">
        <f>ROUND(INDEX(가맹점!$P$2:$P$9,D968)*INDEX(가맹점!$J$2:$M$9,D968,E968),0)</f>
        <v/>
      </c>
      <c r="J968" s="2">
        <f>ROUND(I968*(1-할인율),0)</f>
        <v/>
      </c>
      <c r="K968" s="2">
        <f>ROUNDDOWN(I968*할인율,0)</f>
        <v/>
      </c>
      <c r="L968" s="2">
        <f>ROUND(I968*INDEX(미지급률범위,E968),0)</f>
        <v/>
      </c>
      <c r="M968" s="2">
        <f>ROUND(I968*INDEX(과지급률범위,E968),0)</f>
        <v/>
      </c>
      <c r="N968" s="2">
        <f>MAX(0,L968-M968)</f>
        <v/>
      </c>
      <c r="O968" s="2">
        <f>K968-N968</f>
        <v/>
      </c>
      <c r="P968" s="2">
        <f>I968-N968</f>
        <v/>
      </c>
      <c r="Q968" s="5">
        <f>IF(G968&gt;기준일,1,0)</f>
        <v/>
      </c>
      <c r="R968" s="5">
        <f>IF(G968&lt;=기준일,1,0)</f>
        <v/>
      </c>
      <c r="S968" s="2">
        <f>J968*H968</f>
        <v/>
      </c>
      <c r="T968" s="5">
        <f>IF(AND(F968&gt;=표본시작,F968&lt;=표본종료),1,0)</f>
        <v/>
      </c>
      <c r="U968" s="5">
        <f>IF(AND(G968&gt;=조회시작,G968&lt;=조회종료),1,0)</f>
        <v/>
      </c>
    </row>
    <row r="969">
      <c r="A969" s="2">
        <f>ROW()-1</f>
        <v/>
      </c>
      <c r="B969" s="5">
        <f>INDEX(상호범위,D969)</f>
        <v/>
      </c>
      <c r="C969" s="5">
        <f>INDEX(플랫폼명범위,E969)</f>
        <v/>
      </c>
      <c r="D969" s="2">
        <f>MOD(INT((A969-1)/4),8)+1</f>
        <v/>
      </c>
      <c r="E969" s="2">
        <f>MOD(A969-1,4)+1</f>
        <v/>
      </c>
      <c r="F969" s="20">
        <f>축시작+INT((A969-1)/32)</f>
        <v/>
      </c>
      <c r="G969" s="20">
        <f>F969+H969</f>
        <v/>
      </c>
      <c r="H969" s="5" t="n">
        <v>8</v>
      </c>
      <c r="I969" s="2">
        <f>ROUND(INDEX(가맹점!$P$2:$P$9,D969)*INDEX(가맹점!$J$2:$M$9,D969,E969),0)</f>
        <v/>
      </c>
      <c r="J969" s="2">
        <f>ROUND(I969*(1-할인율),0)</f>
        <v/>
      </c>
      <c r="K969" s="2">
        <f>ROUNDDOWN(I969*할인율,0)</f>
        <v/>
      </c>
      <c r="L969" s="2">
        <f>ROUND(I969*INDEX(미지급률범위,E969),0)</f>
        <v/>
      </c>
      <c r="M969" s="2">
        <f>ROUND(I969*INDEX(과지급률범위,E969),0)</f>
        <v/>
      </c>
      <c r="N969" s="2">
        <f>MAX(0,L969-M969)</f>
        <v/>
      </c>
      <c r="O969" s="2">
        <f>K969-N969</f>
        <v/>
      </c>
      <c r="P969" s="2">
        <f>I969-N969</f>
        <v/>
      </c>
      <c r="Q969" s="5">
        <f>IF(G969&gt;기준일,1,0)</f>
        <v/>
      </c>
      <c r="R969" s="5">
        <f>IF(G969&lt;=기준일,1,0)</f>
        <v/>
      </c>
      <c r="S969" s="2">
        <f>J969*H969</f>
        <v/>
      </c>
      <c r="T969" s="5">
        <f>IF(AND(F969&gt;=표본시작,F969&lt;=표본종료),1,0)</f>
        <v/>
      </c>
      <c r="U969" s="5">
        <f>IF(AND(G969&gt;=조회시작,G969&lt;=조회종료),1,0)</f>
        <v/>
      </c>
    </row>
    <row r="970">
      <c r="A970" s="2">
        <f>ROW()-1</f>
        <v/>
      </c>
      <c r="B970" s="5">
        <f>INDEX(상호범위,D970)</f>
        <v/>
      </c>
      <c r="C970" s="5">
        <f>INDEX(플랫폼명범위,E970)</f>
        <v/>
      </c>
      <c r="D970" s="2">
        <f>MOD(INT((A970-1)/4),8)+1</f>
        <v/>
      </c>
      <c r="E970" s="2">
        <f>MOD(A970-1,4)+1</f>
        <v/>
      </c>
      <c r="F970" s="20">
        <f>축시작+INT((A970-1)/32)</f>
        <v/>
      </c>
      <c r="G970" s="20">
        <f>F970+H970</f>
        <v/>
      </c>
      <c r="H970" s="5" t="n">
        <v>1</v>
      </c>
      <c r="I970" s="2">
        <f>ROUND(INDEX(가맹점!$P$2:$P$9,D970)*INDEX(가맹점!$J$2:$M$9,D970,E970),0)</f>
        <v/>
      </c>
      <c r="J970" s="2">
        <f>ROUND(I970*(1-할인율),0)</f>
        <v/>
      </c>
      <c r="K970" s="2">
        <f>ROUNDDOWN(I970*할인율,0)</f>
        <v/>
      </c>
      <c r="L970" s="2">
        <f>ROUND(I970*INDEX(미지급률범위,E970),0)</f>
        <v/>
      </c>
      <c r="M970" s="2">
        <f>ROUND(I970*INDEX(과지급률범위,E970),0)</f>
        <v/>
      </c>
      <c r="N970" s="2">
        <f>MAX(0,L970-M970)</f>
        <v/>
      </c>
      <c r="O970" s="2">
        <f>K970-N970</f>
        <v/>
      </c>
      <c r="P970" s="2">
        <f>I970-N970</f>
        <v/>
      </c>
      <c r="Q970" s="5">
        <f>IF(G970&gt;기준일,1,0)</f>
        <v/>
      </c>
      <c r="R970" s="5">
        <f>IF(G970&lt;=기준일,1,0)</f>
        <v/>
      </c>
      <c r="S970" s="2">
        <f>J970*H970</f>
        <v/>
      </c>
      <c r="T970" s="5">
        <f>IF(AND(F970&gt;=표본시작,F970&lt;=표본종료),1,0)</f>
        <v/>
      </c>
      <c r="U970" s="5">
        <f>IF(AND(G970&gt;=조회시작,G970&lt;=조회종료),1,0)</f>
        <v/>
      </c>
    </row>
    <row r="971">
      <c r="A971" s="2">
        <f>ROW()-1</f>
        <v/>
      </c>
      <c r="B971" s="5">
        <f>INDEX(상호범위,D971)</f>
        <v/>
      </c>
      <c r="C971" s="5">
        <f>INDEX(플랫폼명범위,E971)</f>
        <v/>
      </c>
      <c r="D971" s="2">
        <f>MOD(INT((A971-1)/4),8)+1</f>
        <v/>
      </c>
      <c r="E971" s="2">
        <f>MOD(A971-1,4)+1</f>
        <v/>
      </c>
      <c r="F971" s="20">
        <f>축시작+INT((A971-1)/32)</f>
        <v/>
      </c>
      <c r="G971" s="20">
        <f>F971+H971</f>
        <v/>
      </c>
      <c r="H971" s="5" t="n">
        <v>2</v>
      </c>
      <c r="I971" s="2">
        <f>ROUND(INDEX(가맹점!$P$2:$P$9,D971)*INDEX(가맹점!$J$2:$M$9,D971,E971),0)</f>
        <v/>
      </c>
      <c r="J971" s="2">
        <f>ROUND(I971*(1-할인율),0)</f>
        <v/>
      </c>
      <c r="K971" s="2">
        <f>ROUNDDOWN(I971*할인율,0)</f>
        <v/>
      </c>
      <c r="L971" s="2">
        <f>ROUND(I971*INDEX(미지급률범위,E971),0)</f>
        <v/>
      </c>
      <c r="M971" s="2">
        <f>ROUND(I971*INDEX(과지급률범위,E971),0)</f>
        <v/>
      </c>
      <c r="N971" s="2">
        <f>MAX(0,L971-M971)</f>
        <v/>
      </c>
      <c r="O971" s="2">
        <f>K971-N971</f>
        <v/>
      </c>
      <c r="P971" s="2">
        <f>I971-N971</f>
        <v/>
      </c>
      <c r="Q971" s="5">
        <f>IF(G971&gt;기준일,1,0)</f>
        <v/>
      </c>
      <c r="R971" s="5">
        <f>IF(G971&lt;=기준일,1,0)</f>
        <v/>
      </c>
      <c r="S971" s="2">
        <f>J971*H971</f>
        <v/>
      </c>
      <c r="T971" s="5">
        <f>IF(AND(F971&gt;=표본시작,F971&lt;=표본종료),1,0)</f>
        <v/>
      </c>
      <c r="U971" s="5">
        <f>IF(AND(G971&gt;=조회시작,G971&lt;=조회종료),1,0)</f>
        <v/>
      </c>
    </row>
    <row r="972">
      <c r="A972" s="2">
        <f>ROW()-1</f>
        <v/>
      </c>
      <c r="B972" s="5">
        <f>INDEX(상호범위,D972)</f>
        <v/>
      </c>
      <c r="C972" s="5">
        <f>INDEX(플랫폼명범위,E972)</f>
        <v/>
      </c>
      <c r="D972" s="2">
        <f>MOD(INT((A972-1)/4),8)+1</f>
        <v/>
      </c>
      <c r="E972" s="2">
        <f>MOD(A972-1,4)+1</f>
        <v/>
      </c>
      <c r="F972" s="20">
        <f>축시작+INT((A972-1)/32)</f>
        <v/>
      </c>
      <c r="G972" s="20">
        <f>F972+H972</f>
        <v/>
      </c>
      <c r="H972" s="5" t="n">
        <v>5</v>
      </c>
      <c r="I972" s="2">
        <f>ROUND(INDEX(가맹점!$P$2:$P$9,D972)*INDEX(가맹점!$J$2:$M$9,D972,E972),0)</f>
        <v/>
      </c>
      <c r="J972" s="2">
        <f>ROUND(I972*(1-할인율),0)</f>
        <v/>
      </c>
      <c r="K972" s="2">
        <f>ROUNDDOWN(I972*할인율,0)</f>
        <v/>
      </c>
      <c r="L972" s="2">
        <f>ROUND(I972*INDEX(미지급률범위,E972),0)</f>
        <v/>
      </c>
      <c r="M972" s="2">
        <f>ROUND(I972*INDEX(과지급률범위,E972),0)</f>
        <v/>
      </c>
      <c r="N972" s="2">
        <f>MAX(0,L972-M972)</f>
        <v/>
      </c>
      <c r="O972" s="2">
        <f>K972-N972</f>
        <v/>
      </c>
      <c r="P972" s="2">
        <f>I972-N972</f>
        <v/>
      </c>
      <c r="Q972" s="5">
        <f>IF(G972&gt;기준일,1,0)</f>
        <v/>
      </c>
      <c r="R972" s="5">
        <f>IF(G972&lt;=기준일,1,0)</f>
        <v/>
      </c>
      <c r="S972" s="2">
        <f>J972*H972</f>
        <v/>
      </c>
      <c r="T972" s="5">
        <f>IF(AND(F972&gt;=표본시작,F972&lt;=표본종료),1,0)</f>
        <v/>
      </c>
      <c r="U972" s="5">
        <f>IF(AND(G972&gt;=조회시작,G972&lt;=조회종료),1,0)</f>
        <v/>
      </c>
    </row>
    <row r="973">
      <c r="A973" s="2">
        <f>ROW()-1</f>
        <v/>
      </c>
      <c r="B973" s="5">
        <f>INDEX(상호범위,D973)</f>
        <v/>
      </c>
      <c r="C973" s="5">
        <f>INDEX(플랫폼명범위,E973)</f>
        <v/>
      </c>
      <c r="D973" s="2">
        <f>MOD(INT((A973-1)/4),8)+1</f>
        <v/>
      </c>
      <c r="E973" s="2">
        <f>MOD(A973-1,4)+1</f>
        <v/>
      </c>
      <c r="F973" s="20">
        <f>축시작+INT((A973-1)/32)</f>
        <v/>
      </c>
      <c r="G973" s="20">
        <f>F973+H973</f>
        <v/>
      </c>
      <c r="H973" s="5" t="n">
        <v>4</v>
      </c>
      <c r="I973" s="2">
        <f>ROUND(INDEX(가맹점!$P$2:$P$9,D973)*INDEX(가맹점!$J$2:$M$9,D973,E973),0)</f>
        <v/>
      </c>
      <c r="J973" s="2">
        <f>ROUND(I973*(1-할인율),0)</f>
        <v/>
      </c>
      <c r="K973" s="2">
        <f>ROUNDDOWN(I973*할인율,0)</f>
        <v/>
      </c>
      <c r="L973" s="2">
        <f>ROUND(I973*INDEX(미지급률범위,E973),0)</f>
        <v/>
      </c>
      <c r="M973" s="2">
        <f>ROUND(I973*INDEX(과지급률범위,E973),0)</f>
        <v/>
      </c>
      <c r="N973" s="2">
        <f>MAX(0,L973-M973)</f>
        <v/>
      </c>
      <c r="O973" s="2">
        <f>K973-N973</f>
        <v/>
      </c>
      <c r="P973" s="2">
        <f>I973-N973</f>
        <v/>
      </c>
      <c r="Q973" s="5">
        <f>IF(G973&gt;기준일,1,0)</f>
        <v/>
      </c>
      <c r="R973" s="5">
        <f>IF(G973&lt;=기준일,1,0)</f>
        <v/>
      </c>
      <c r="S973" s="2">
        <f>J973*H973</f>
        <v/>
      </c>
      <c r="T973" s="5">
        <f>IF(AND(F973&gt;=표본시작,F973&lt;=표본종료),1,0)</f>
        <v/>
      </c>
      <c r="U973" s="5">
        <f>IF(AND(G973&gt;=조회시작,G973&lt;=조회종료),1,0)</f>
        <v/>
      </c>
    </row>
    <row r="974">
      <c r="A974" s="2">
        <f>ROW()-1</f>
        <v/>
      </c>
      <c r="B974" s="5">
        <f>INDEX(상호범위,D974)</f>
        <v/>
      </c>
      <c r="C974" s="5">
        <f>INDEX(플랫폼명범위,E974)</f>
        <v/>
      </c>
      <c r="D974" s="2">
        <f>MOD(INT((A974-1)/4),8)+1</f>
        <v/>
      </c>
      <c r="E974" s="2">
        <f>MOD(A974-1,4)+1</f>
        <v/>
      </c>
      <c r="F974" s="20">
        <f>축시작+INT((A974-1)/32)</f>
        <v/>
      </c>
      <c r="G974" s="20">
        <f>F974+H974</f>
        <v/>
      </c>
      <c r="H974" s="5" t="n">
        <v>1</v>
      </c>
      <c r="I974" s="2">
        <f>ROUND(INDEX(가맹점!$P$2:$P$9,D974)*INDEX(가맹점!$J$2:$M$9,D974,E974),0)</f>
        <v/>
      </c>
      <c r="J974" s="2">
        <f>ROUND(I974*(1-할인율),0)</f>
        <v/>
      </c>
      <c r="K974" s="2">
        <f>ROUNDDOWN(I974*할인율,0)</f>
        <v/>
      </c>
      <c r="L974" s="2">
        <f>ROUND(I974*INDEX(미지급률범위,E974),0)</f>
        <v/>
      </c>
      <c r="M974" s="2">
        <f>ROUND(I974*INDEX(과지급률범위,E974),0)</f>
        <v/>
      </c>
      <c r="N974" s="2">
        <f>MAX(0,L974-M974)</f>
        <v/>
      </c>
      <c r="O974" s="2">
        <f>K974-N974</f>
        <v/>
      </c>
      <c r="P974" s="2">
        <f>I974-N974</f>
        <v/>
      </c>
      <c r="Q974" s="5">
        <f>IF(G974&gt;기준일,1,0)</f>
        <v/>
      </c>
      <c r="R974" s="5">
        <f>IF(G974&lt;=기준일,1,0)</f>
        <v/>
      </c>
      <c r="S974" s="2">
        <f>J974*H974</f>
        <v/>
      </c>
      <c r="T974" s="5">
        <f>IF(AND(F974&gt;=표본시작,F974&lt;=표본종료),1,0)</f>
        <v/>
      </c>
      <c r="U974" s="5">
        <f>IF(AND(G974&gt;=조회시작,G974&lt;=조회종료),1,0)</f>
        <v/>
      </c>
    </row>
    <row r="975">
      <c r="A975" s="2">
        <f>ROW()-1</f>
        <v/>
      </c>
      <c r="B975" s="5">
        <f>INDEX(상호범위,D975)</f>
        <v/>
      </c>
      <c r="C975" s="5">
        <f>INDEX(플랫폼명범위,E975)</f>
        <v/>
      </c>
      <c r="D975" s="2">
        <f>MOD(INT((A975-1)/4),8)+1</f>
        <v/>
      </c>
      <c r="E975" s="2">
        <f>MOD(A975-1,4)+1</f>
        <v/>
      </c>
      <c r="F975" s="20">
        <f>축시작+INT((A975-1)/32)</f>
        <v/>
      </c>
      <c r="G975" s="20">
        <f>F975+H975</f>
        <v/>
      </c>
      <c r="H975" s="5" t="n">
        <v>4</v>
      </c>
      <c r="I975" s="2">
        <f>ROUND(INDEX(가맹점!$P$2:$P$9,D975)*INDEX(가맹점!$J$2:$M$9,D975,E975),0)</f>
        <v/>
      </c>
      <c r="J975" s="2">
        <f>ROUND(I975*(1-할인율),0)</f>
        <v/>
      </c>
      <c r="K975" s="2">
        <f>ROUNDDOWN(I975*할인율,0)</f>
        <v/>
      </c>
      <c r="L975" s="2">
        <f>ROUND(I975*INDEX(미지급률범위,E975),0)</f>
        <v/>
      </c>
      <c r="M975" s="2">
        <f>ROUND(I975*INDEX(과지급률범위,E975),0)</f>
        <v/>
      </c>
      <c r="N975" s="2">
        <f>MAX(0,L975-M975)</f>
        <v/>
      </c>
      <c r="O975" s="2">
        <f>K975-N975</f>
        <v/>
      </c>
      <c r="P975" s="2">
        <f>I975-N975</f>
        <v/>
      </c>
      <c r="Q975" s="5">
        <f>IF(G975&gt;기준일,1,0)</f>
        <v/>
      </c>
      <c r="R975" s="5">
        <f>IF(G975&lt;=기준일,1,0)</f>
        <v/>
      </c>
      <c r="S975" s="2">
        <f>J975*H975</f>
        <v/>
      </c>
      <c r="T975" s="5">
        <f>IF(AND(F975&gt;=표본시작,F975&lt;=표본종료),1,0)</f>
        <v/>
      </c>
      <c r="U975" s="5">
        <f>IF(AND(G975&gt;=조회시작,G975&lt;=조회종료),1,0)</f>
        <v/>
      </c>
    </row>
    <row r="976">
      <c r="A976" s="2">
        <f>ROW()-1</f>
        <v/>
      </c>
      <c r="B976" s="5">
        <f>INDEX(상호범위,D976)</f>
        <v/>
      </c>
      <c r="C976" s="5">
        <f>INDEX(플랫폼명범위,E976)</f>
        <v/>
      </c>
      <c r="D976" s="2">
        <f>MOD(INT((A976-1)/4),8)+1</f>
        <v/>
      </c>
      <c r="E976" s="2">
        <f>MOD(A976-1,4)+1</f>
        <v/>
      </c>
      <c r="F976" s="20">
        <f>축시작+INT((A976-1)/32)</f>
        <v/>
      </c>
      <c r="G976" s="20">
        <f>F976+H976</f>
        <v/>
      </c>
      <c r="H976" s="5" t="n">
        <v>5</v>
      </c>
      <c r="I976" s="2">
        <f>ROUND(INDEX(가맹점!$P$2:$P$9,D976)*INDEX(가맹점!$J$2:$M$9,D976,E976),0)</f>
        <v/>
      </c>
      <c r="J976" s="2">
        <f>ROUND(I976*(1-할인율),0)</f>
        <v/>
      </c>
      <c r="K976" s="2">
        <f>ROUNDDOWN(I976*할인율,0)</f>
        <v/>
      </c>
      <c r="L976" s="2">
        <f>ROUND(I976*INDEX(미지급률범위,E976),0)</f>
        <v/>
      </c>
      <c r="M976" s="2">
        <f>ROUND(I976*INDEX(과지급률범위,E976),0)</f>
        <v/>
      </c>
      <c r="N976" s="2">
        <f>MAX(0,L976-M976)</f>
        <v/>
      </c>
      <c r="O976" s="2">
        <f>K976-N976</f>
        <v/>
      </c>
      <c r="P976" s="2">
        <f>I976-N976</f>
        <v/>
      </c>
      <c r="Q976" s="5">
        <f>IF(G976&gt;기준일,1,0)</f>
        <v/>
      </c>
      <c r="R976" s="5">
        <f>IF(G976&lt;=기준일,1,0)</f>
        <v/>
      </c>
      <c r="S976" s="2">
        <f>J976*H976</f>
        <v/>
      </c>
      <c r="T976" s="5">
        <f>IF(AND(F976&gt;=표본시작,F976&lt;=표본종료),1,0)</f>
        <v/>
      </c>
      <c r="U976" s="5">
        <f>IF(AND(G976&gt;=조회시작,G976&lt;=조회종료),1,0)</f>
        <v/>
      </c>
    </row>
    <row r="977">
      <c r="A977" s="2">
        <f>ROW()-1</f>
        <v/>
      </c>
      <c r="B977" s="5">
        <f>INDEX(상호범위,D977)</f>
        <v/>
      </c>
      <c r="C977" s="5">
        <f>INDEX(플랫폼명범위,E977)</f>
        <v/>
      </c>
      <c r="D977" s="2">
        <f>MOD(INT((A977-1)/4),8)+1</f>
        <v/>
      </c>
      <c r="E977" s="2">
        <f>MOD(A977-1,4)+1</f>
        <v/>
      </c>
      <c r="F977" s="20">
        <f>축시작+INT((A977-1)/32)</f>
        <v/>
      </c>
      <c r="G977" s="20">
        <f>F977+H977</f>
        <v/>
      </c>
      <c r="H977" s="5" t="n">
        <v>7</v>
      </c>
      <c r="I977" s="2">
        <f>ROUND(INDEX(가맹점!$P$2:$P$9,D977)*INDEX(가맹점!$J$2:$M$9,D977,E977),0)</f>
        <v/>
      </c>
      <c r="J977" s="2">
        <f>ROUND(I977*(1-할인율),0)</f>
        <v/>
      </c>
      <c r="K977" s="2">
        <f>ROUNDDOWN(I977*할인율,0)</f>
        <v/>
      </c>
      <c r="L977" s="2">
        <f>ROUND(I977*INDEX(미지급률범위,E977),0)</f>
        <v/>
      </c>
      <c r="M977" s="2">
        <f>ROUND(I977*INDEX(과지급률범위,E977),0)</f>
        <v/>
      </c>
      <c r="N977" s="2">
        <f>MAX(0,L977-M977)</f>
        <v/>
      </c>
      <c r="O977" s="2">
        <f>K977-N977</f>
        <v/>
      </c>
      <c r="P977" s="2">
        <f>I977-N977</f>
        <v/>
      </c>
      <c r="Q977" s="5">
        <f>IF(G977&gt;기준일,1,0)</f>
        <v/>
      </c>
      <c r="R977" s="5">
        <f>IF(G977&lt;=기준일,1,0)</f>
        <v/>
      </c>
      <c r="S977" s="2">
        <f>J977*H977</f>
        <v/>
      </c>
      <c r="T977" s="5">
        <f>IF(AND(F977&gt;=표본시작,F977&lt;=표본종료),1,0)</f>
        <v/>
      </c>
      <c r="U977" s="5">
        <f>IF(AND(G977&gt;=조회시작,G977&lt;=조회종료),1,0)</f>
        <v/>
      </c>
    </row>
    <row r="978">
      <c r="A978" s="2">
        <f>ROW()-1</f>
        <v/>
      </c>
      <c r="B978" s="5">
        <f>INDEX(상호범위,D978)</f>
        <v/>
      </c>
      <c r="C978" s="5">
        <f>INDEX(플랫폼명범위,E978)</f>
        <v/>
      </c>
      <c r="D978" s="2">
        <f>MOD(INT((A978-1)/4),8)+1</f>
        <v/>
      </c>
      <c r="E978" s="2">
        <f>MOD(A978-1,4)+1</f>
        <v/>
      </c>
      <c r="F978" s="20">
        <f>축시작+INT((A978-1)/32)</f>
        <v/>
      </c>
      <c r="G978" s="20">
        <f>F978+H978</f>
        <v/>
      </c>
      <c r="H978" s="5" t="n">
        <v>3</v>
      </c>
      <c r="I978" s="2">
        <f>ROUND(INDEX(가맹점!$P$2:$P$9,D978)*INDEX(가맹점!$J$2:$M$9,D978,E978),0)</f>
        <v/>
      </c>
      <c r="J978" s="2">
        <f>ROUND(I978*(1-할인율),0)</f>
        <v/>
      </c>
      <c r="K978" s="2">
        <f>ROUNDDOWN(I978*할인율,0)</f>
        <v/>
      </c>
      <c r="L978" s="2">
        <f>ROUND(I978*INDEX(미지급률범위,E978),0)</f>
        <v/>
      </c>
      <c r="M978" s="2">
        <f>ROUND(I978*INDEX(과지급률범위,E978),0)</f>
        <v/>
      </c>
      <c r="N978" s="2">
        <f>MAX(0,L978-M978)</f>
        <v/>
      </c>
      <c r="O978" s="2">
        <f>K978-N978</f>
        <v/>
      </c>
      <c r="P978" s="2">
        <f>I978-N978</f>
        <v/>
      </c>
      <c r="Q978" s="5">
        <f>IF(G978&gt;기준일,1,0)</f>
        <v/>
      </c>
      <c r="R978" s="5">
        <f>IF(G978&lt;=기준일,1,0)</f>
        <v/>
      </c>
      <c r="S978" s="2">
        <f>J978*H978</f>
        <v/>
      </c>
      <c r="T978" s="5">
        <f>IF(AND(F978&gt;=표본시작,F978&lt;=표본종료),1,0)</f>
        <v/>
      </c>
      <c r="U978" s="5">
        <f>IF(AND(G978&gt;=조회시작,G978&lt;=조회종료),1,0)</f>
        <v/>
      </c>
    </row>
    <row r="979">
      <c r="A979" s="2">
        <f>ROW()-1</f>
        <v/>
      </c>
      <c r="B979" s="5">
        <f>INDEX(상호범위,D979)</f>
        <v/>
      </c>
      <c r="C979" s="5">
        <f>INDEX(플랫폼명범위,E979)</f>
        <v/>
      </c>
      <c r="D979" s="2">
        <f>MOD(INT((A979-1)/4),8)+1</f>
        <v/>
      </c>
      <c r="E979" s="2">
        <f>MOD(A979-1,4)+1</f>
        <v/>
      </c>
      <c r="F979" s="20">
        <f>축시작+INT((A979-1)/32)</f>
        <v/>
      </c>
      <c r="G979" s="20">
        <f>F979+H979</f>
        <v/>
      </c>
      <c r="H979" s="5" t="n">
        <v>4</v>
      </c>
      <c r="I979" s="2">
        <f>ROUND(INDEX(가맹점!$P$2:$P$9,D979)*INDEX(가맹점!$J$2:$M$9,D979,E979),0)</f>
        <v/>
      </c>
      <c r="J979" s="2">
        <f>ROUND(I979*(1-할인율),0)</f>
        <v/>
      </c>
      <c r="K979" s="2">
        <f>ROUNDDOWN(I979*할인율,0)</f>
        <v/>
      </c>
      <c r="L979" s="2">
        <f>ROUND(I979*INDEX(미지급률범위,E979),0)</f>
        <v/>
      </c>
      <c r="M979" s="2">
        <f>ROUND(I979*INDEX(과지급률범위,E979),0)</f>
        <v/>
      </c>
      <c r="N979" s="2">
        <f>MAX(0,L979-M979)</f>
        <v/>
      </c>
      <c r="O979" s="2">
        <f>K979-N979</f>
        <v/>
      </c>
      <c r="P979" s="2">
        <f>I979-N979</f>
        <v/>
      </c>
      <c r="Q979" s="5">
        <f>IF(G979&gt;기준일,1,0)</f>
        <v/>
      </c>
      <c r="R979" s="5">
        <f>IF(G979&lt;=기준일,1,0)</f>
        <v/>
      </c>
      <c r="S979" s="2">
        <f>J979*H979</f>
        <v/>
      </c>
      <c r="T979" s="5">
        <f>IF(AND(F979&gt;=표본시작,F979&lt;=표본종료),1,0)</f>
        <v/>
      </c>
      <c r="U979" s="5">
        <f>IF(AND(G979&gt;=조회시작,G979&lt;=조회종료),1,0)</f>
        <v/>
      </c>
    </row>
    <row r="980">
      <c r="A980" s="2">
        <f>ROW()-1</f>
        <v/>
      </c>
      <c r="B980" s="5">
        <f>INDEX(상호범위,D980)</f>
        <v/>
      </c>
      <c r="C980" s="5">
        <f>INDEX(플랫폼명범위,E980)</f>
        <v/>
      </c>
      <c r="D980" s="2">
        <f>MOD(INT((A980-1)/4),8)+1</f>
        <v/>
      </c>
      <c r="E980" s="2">
        <f>MOD(A980-1,4)+1</f>
        <v/>
      </c>
      <c r="F980" s="20">
        <f>축시작+INT((A980-1)/32)</f>
        <v/>
      </c>
      <c r="G980" s="20">
        <f>F980+H980</f>
        <v/>
      </c>
      <c r="H980" s="5" t="n">
        <v>5</v>
      </c>
      <c r="I980" s="2">
        <f>ROUND(INDEX(가맹점!$P$2:$P$9,D980)*INDEX(가맹점!$J$2:$M$9,D980,E980),0)</f>
        <v/>
      </c>
      <c r="J980" s="2">
        <f>ROUND(I980*(1-할인율),0)</f>
        <v/>
      </c>
      <c r="K980" s="2">
        <f>ROUNDDOWN(I980*할인율,0)</f>
        <v/>
      </c>
      <c r="L980" s="2">
        <f>ROUND(I980*INDEX(미지급률범위,E980),0)</f>
        <v/>
      </c>
      <c r="M980" s="2">
        <f>ROUND(I980*INDEX(과지급률범위,E980),0)</f>
        <v/>
      </c>
      <c r="N980" s="2">
        <f>MAX(0,L980-M980)</f>
        <v/>
      </c>
      <c r="O980" s="2">
        <f>K980-N980</f>
        <v/>
      </c>
      <c r="P980" s="2">
        <f>I980-N980</f>
        <v/>
      </c>
      <c r="Q980" s="5">
        <f>IF(G980&gt;기준일,1,0)</f>
        <v/>
      </c>
      <c r="R980" s="5">
        <f>IF(G980&lt;=기준일,1,0)</f>
        <v/>
      </c>
      <c r="S980" s="2">
        <f>J980*H980</f>
        <v/>
      </c>
      <c r="T980" s="5">
        <f>IF(AND(F980&gt;=표본시작,F980&lt;=표본종료),1,0)</f>
        <v/>
      </c>
      <c r="U980" s="5">
        <f>IF(AND(G980&gt;=조회시작,G980&lt;=조회종료),1,0)</f>
        <v/>
      </c>
    </row>
    <row r="981">
      <c r="A981" s="2">
        <f>ROW()-1</f>
        <v/>
      </c>
      <c r="B981" s="5">
        <f>INDEX(상호범위,D981)</f>
        <v/>
      </c>
      <c r="C981" s="5">
        <f>INDEX(플랫폼명범위,E981)</f>
        <v/>
      </c>
      <c r="D981" s="2">
        <f>MOD(INT((A981-1)/4),8)+1</f>
        <v/>
      </c>
      <c r="E981" s="2">
        <f>MOD(A981-1,4)+1</f>
        <v/>
      </c>
      <c r="F981" s="20">
        <f>축시작+INT((A981-1)/32)</f>
        <v/>
      </c>
      <c r="G981" s="20">
        <f>F981+H981</f>
        <v/>
      </c>
      <c r="H981" s="5" t="n">
        <v>4</v>
      </c>
      <c r="I981" s="2">
        <f>ROUND(INDEX(가맹점!$P$2:$P$9,D981)*INDEX(가맹점!$J$2:$M$9,D981,E981),0)</f>
        <v/>
      </c>
      <c r="J981" s="2">
        <f>ROUND(I981*(1-할인율),0)</f>
        <v/>
      </c>
      <c r="K981" s="2">
        <f>ROUNDDOWN(I981*할인율,0)</f>
        <v/>
      </c>
      <c r="L981" s="2">
        <f>ROUND(I981*INDEX(미지급률범위,E981),0)</f>
        <v/>
      </c>
      <c r="M981" s="2">
        <f>ROUND(I981*INDEX(과지급률범위,E981),0)</f>
        <v/>
      </c>
      <c r="N981" s="2">
        <f>MAX(0,L981-M981)</f>
        <v/>
      </c>
      <c r="O981" s="2">
        <f>K981-N981</f>
        <v/>
      </c>
      <c r="P981" s="2">
        <f>I981-N981</f>
        <v/>
      </c>
      <c r="Q981" s="5">
        <f>IF(G981&gt;기준일,1,0)</f>
        <v/>
      </c>
      <c r="R981" s="5">
        <f>IF(G981&lt;=기준일,1,0)</f>
        <v/>
      </c>
      <c r="S981" s="2">
        <f>J981*H981</f>
        <v/>
      </c>
      <c r="T981" s="5">
        <f>IF(AND(F981&gt;=표본시작,F981&lt;=표본종료),1,0)</f>
        <v/>
      </c>
      <c r="U981" s="5">
        <f>IF(AND(G981&gt;=조회시작,G981&lt;=조회종료),1,0)</f>
        <v/>
      </c>
    </row>
    <row r="982">
      <c r="A982" s="2">
        <f>ROW()-1</f>
        <v/>
      </c>
      <c r="B982" s="5">
        <f>INDEX(상호범위,D982)</f>
        <v/>
      </c>
      <c r="C982" s="5">
        <f>INDEX(플랫폼명범위,E982)</f>
        <v/>
      </c>
      <c r="D982" s="2">
        <f>MOD(INT((A982-1)/4),8)+1</f>
        <v/>
      </c>
      <c r="E982" s="2">
        <f>MOD(A982-1,4)+1</f>
        <v/>
      </c>
      <c r="F982" s="20">
        <f>축시작+INT((A982-1)/32)</f>
        <v/>
      </c>
      <c r="G982" s="20">
        <f>F982+H982</f>
        <v/>
      </c>
      <c r="H982" s="5" t="n">
        <v>3</v>
      </c>
      <c r="I982" s="2">
        <f>ROUND(INDEX(가맹점!$P$2:$P$9,D982)*INDEX(가맹점!$J$2:$M$9,D982,E982),0)</f>
        <v/>
      </c>
      <c r="J982" s="2">
        <f>ROUND(I982*(1-할인율),0)</f>
        <v/>
      </c>
      <c r="K982" s="2">
        <f>ROUNDDOWN(I982*할인율,0)</f>
        <v/>
      </c>
      <c r="L982" s="2">
        <f>ROUND(I982*INDEX(미지급률범위,E982),0)</f>
        <v/>
      </c>
      <c r="M982" s="2">
        <f>ROUND(I982*INDEX(과지급률범위,E982),0)</f>
        <v/>
      </c>
      <c r="N982" s="2">
        <f>MAX(0,L982-M982)</f>
        <v/>
      </c>
      <c r="O982" s="2">
        <f>K982-N982</f>
        <v/>
      </c>
      <c r="P982" s="2">
        <f>I982-N982</f>
        <v/>
      </c>
      <c r="Q982" s="5">
        <f>IF(G982&gt;기준일,1,0)</f>
        <v/>
      </c>
      <c r="R982" s="5">
        <f>IF(G982&lt;=기준일,1,0)</f>
        <v/>
      </c>
      <c r="S982" s="2">
        <f>J982*H982</f>
        <v/>
      </c>
      <c r="T982" s="5">
        <f>IF(AND(F982&gt;=표본시작,F982&lt;=표본종료),1,0)</f>
        <v/>
      </c>
      <c r="U982" s="5">
        <f>IF(AND(G982&gt;=조회시작,G982&lt;=조회종료),1,0)</f>
        <v/>
      </c>
    </row>
    <row r="983">
      <c r="A983" s="2">
        <f>ROW()-1</f>
        <v/>
      </c>
      <c r="B983" s="5">
        <f>INDEX(상호범위,D983)</f>
        <v/>
      </c>
      <c r="C983" s="5">
        <f>INDEX(플랫폼명범위,E983)</f>
        <v/>
      </c>
      <c r="D983" s="2">
        <f>MOD(INT((A983-1)/4),8)+1</f>
        <v/>
      </c>
      <c r="E983" s="2">
        <f>MOD(A983-1,4)+1</f>
        <v/>
      </c>
      <c r="F983" s="20">
        <f>축시작+INT((A983-1)/32)</f>
        <v/>
      </c>
      <c r="G983" s="20">
        <f>F983+H983</f>
        <v/>
      </c>
      <c r="H983" s="5" t="n">
        <v>4</v>
      </c>
      <c r="I983" s="2">
        <f>ROUND(INDEX(가맹점!$P$2:$P$9,D983)*INDEX(가맹점!$J$2:$M$9,D983,E983),0)</f>
        <v/>
      </c>
      <c r="J983" s="2">
        <f>ROUND(I983*(1-할인율),0)</f>
        <v/>
      </c>
      <c r="K983" s="2">
        <f>ROUNDDOWN(I983*할인율,0)</f>
        <v/>
      </c>
      <c r="L983" s="2">
        <f>ROUND(I983*INDEX(미지급률범위,E983),0)</f>
        <v/>
      </c>
      <c r="M983" s="2">
        <f>ROUND(I983*INDEX(과지급률범위,E983),0)</f>
        <v/>
      </c>
      <c r="N983" s="2">
        <f>MAX(0,L983-M983)</f>
        <v/>
      </c>
      <c r="O983" s="2">
        <f>K983-N983</f>
        <v/>
      </c>
      <c r="P983" s="2">
        <f>I983-N983</f>
        <v/>
      </c>
      <c r="Q983" s="5">
        <f>IF(G983&gt;기준일,1,0)</f>
        <v/>
      </c>
      <c r="R983" s="5">
        <f>IF(G983&lt;=기준일,1,0)</f>
        <v/>
      </c>
      <c r="S983" s="2">
        <f>J983*H983</f>
        <v/>
      </c>
      <c r="T983" s="5">
        <f>IF(AND(F983&gt;=표본시작,F983&lt;=표본종료),1,0)</f>
        <v/>
      </c>
      <c r="U983" s="5">
        <f>IF(AND(G983&gt;=조회시작,G983&lt;=조회종료),1,0)</f>
        <v/>
      </c>
    </row>
    <row r="984">
      <c r="A984" s="2">
        <f>ROW()-1</f>
        <v/>
      </c>
      <c r="B984" s="5">
        <f>INDEX(상호범위,D984)</f>
        <v/>
      </c>
      <c r="C984" s="5">
        <f>INDEX(플랫폼명범위,E984)</f>
        <v/>
      </c>
      <c r="D984" s="2">
        <f>MOD(INT((A984-1)/4),8)+1</f>
        <v/>
      </c>
      <c r="E984" s="2">
        <f>MOD(A984-1,4)+1</f>
        <v/>
      </c>
      <c r="F984" s="20">
        <f>축시작+INT((A984-1)/32)</f>
        <v/>
      </c>
      <c r="G984" s="20">
        <f>F984+H984</f>
        <v/>
      </c>
      <c r="H984" s="5" t="n">
        <v>7</v>
      </c>
      <c r="I984" s="2">
        <f>ROUND(INDEX(가맹점!$P$2:$P$9,D984)*INDEX(가맹점!$J$2:$M$9,D984,E984),0)</f>
        <v/>
      </c>
      <c r="J984" s="2">
        <f>ROUND(I984*(1-할인율),0)</f>
        <v/>
      </c>
      <c r="K984" s="2">
        <f>ROUNDDOWN(I984*할인율,0)</f>
        <v/>
      </c>
      <c r="L984" s="2">
        <f>ROUND(I984*INDEX(미지급률범위,E984),0)</f>
        <v/>
      </c>
      <c r="M984" s="2">
        <f>ROUND(I984*INDEX(과지급률범위,E984),0)</f>
        <v/>
      </c>
      <c r="N984" s="2">
        <f>MAX(0,L984-M984)</f>
        <v/>
      </c>
      <c r="O984" s="2">
        <f>K984-N984</f>
        <v/>
      </c>
      <c r="P984" s="2">
        <f>I984-N984</f>
        <v/>
      </c>
      <c r="Q984" s="5">
        <f>IF(G984&gt;기준일,1,0)</f>
        <v/>
      </c>
      <c r="R984" s="5">
        <f>IF(G984&lt;=기준일,1,0)</f>
        <v/>
      </c>
      <c r="S984" s="2">
        <f>J984*H984</f>
        <v/>
      </c>
      <c r="T984" s="5">
        <f>IF(AND(F984&gt;=표본시작,F984&lt;=표본종료),1,0)</f>
        <v/>
      </c>
      <c r="U984" s="5">
        <f>IF(AND(G984&gt;=조회시작,G984&lt;=조회종료),1,0)</f>
        <v/>
      </c>
    </row>
    <row r="985">
      <c r="A985" s="2">
        <f>ROW()-1</f>
        <v/>
      </c>
      <c r="B985" s="5">
        <f>INDEX(상호범위,D985)</f>
        <v/>
      </c>
      <c r="C985" s="5">
        <f>INDEX(플랫폼명범위,E985)</f>
        <v/>
      </c>
      <c r="D985" s="2">
        <f>MOD(INT((A985-1)/4),8)+1</f>
        <v/>
      </c>
      <c r="E985" s="2">
        <f>MOD(A985-1,4)+1</f>
        <v/>
      </c>
      <c r="F985" s="20">
        <f>축시작+INT((A985-1)/32)</f>
        <v/>
      </c>
      <c r="G985" s="20">
        <f>F985+H985</f>
        <v/>
      </c>
      <c r="H985" s="5" t="n">
        <v>7</v>
      </c>
      <c r="I985" s="2">
        <f>ROUND(INDEX(가맹점!$P$2:$P$9,D985)*INDEX(가맹점!$J$2:$M$9,D985,E985),0)</f>
        <v/>
      </c>
      <c r="J985" s="2">
        <f>ROUND(I985*(1-할인율),0)</f>
        <v/>
      </c>
      <c r="K985" s="2">
        <f>ROUNDDOWN(I985*할인율,0)</f>
        <v/>
      </c>
      <c r="L985" s="2">
        <f>ROUND(I985*INDEX(미지급률범위,E985),0)</f>
        <v/>
      </c>
      <c r="M985" s="2">
        <f>ROUND(I985*INDEX(과지급률범위,E985),0)</f>
        <v/>
      </c>
      <c r="N985" s="2">
        <f>MAX(0,L985-M985)</f>
        <v/>
      </c>
      <c r="O985" s="2">
        <f>K985-N985</f>
        <v/>
      </c>
      <c r="P985" s="2">
        <f>I985-N985</f>
        <v/>
      </c>
      <c r="Q985" s="5">
        <f>IF(G985&gt;기준일,1,0)</f>
        <v/>
      </c>
      <c r="R985" s="5">
        <f>IF(G985&lt;=기준일,1,0)</f>
        <v/>
      </c>
      <c r="S985" s="2">
        <f>J985*H985</f>
        <v/>
      </c>
      <c r="T985" s="5">
        <f>IF(AND(F985&gt;=표본시작,F985&lt;=표본종료),1,0)</f>
        <v/>
      </c>
      <c r="U985" s="5">
        <f>IF(AND(G985&gt;=조회시작,G985&lt;=조회종료),1,0)</f>
        <v/>
      </c>
    </row>
    <row r="986">
      <c r="A986" s="2">
        <f>ROW()-1</f>
        <v/>
      </c>
      <c r="B986" s="5">
        <f>INDEX(상호범위,D986)</f>
        <v/>
      </c>
      <c r="C986" s="5">
        <f>INDEX(플랫폼명범위,E986)</f>
        <v/>
      </c>
      <c r="D986" s="2">
        <f>MOD(INT((A986-1)/4),8)+1</f>
        <v/>
      </c>
      <c r="E986" s="2">
        <f>MOD(A986-1,4)+1</f>
        <v/>
      </c>
      <c r="F986" s="20">
        <f>축시작+INT((A986-1)/32)</f>
        <v/>
      </c>
      <c r="G986" s="20">
        <f>F986+H986</f>
        <v/>
      </c>
      <c r="H986" s="5" t="n">
        <v>1</v>
      </c>
      <c r="I986" s="2">
        <f>ROUND(INDEX(가맹점!$P$2:$P$9,D986)*INDEX(가맹점!$J$2:$M$9,D986,E986),0)</f>
        <v/>
      </c>
      <c r="J986" s="2">
        <f>ROUND(I986*(1-할인율),0)</f>
        <v/>
      </c>
      <c r="K986" s="2">
        <f>ROUNDDOWN(I986*할인율,0)</f>
        <v/>
      </c>
      <c r="L986" s="2">
        <f>ROUND(I986*INDEX(미지급률범위,E986),0)</f>
        <v/>
      </c>
      <c r="M986" s="2">
        <f>ROUND(I986*INDEX(과지급률범위,E986),0)</f>
        <v/>
      </c>
      <c r="N986" s="2">
        <f>MAX(0,L986-M986)</f>
        <v/>
      </c>
      <c r="O986" s="2">
        <f>K986-N986</f>
        <v/>
      </c>
      <c r="P986" s="2">
        <f>I986-N986</f>
        <v/>
      </c>
      <c r="Q986" s="5">
        <f>IF(G986&gt;기준일,1,0)</f>
        <v/>
      </c>
      <c r="R986" s="5">
        <f>IF(G986&lt;=기준일,1,0)</f>
        <v/>
      </c>
      <c r="S986" s="2">
        <f>J986*H986</f>
        <v/>
      </c>
      <c r="T986" s="5">
        <f>IF(AND(F986&gt;=표본시작,F986&lt;=표본종료),1,0)</f>
        <v/>
      </c>
      <c r="U986" s="5">
        <f>IF(AND(G986&gt;=조회시작,G986&lt;=조회종료),1,0)</f>
        <v/>
      </c>
    </row>
    <row r="987">
      <c r="A987" s="2">
        <f>ROW()-1</f>
        <v/>
      </c>
      <c r="B987" s="5">
        <f>INDEX(상호범위,D987)</f>
        <v/>
      </c>
      <c r="C987" s="5">
        <f>INDEX(플랫폼명범위,E987)</f>
        <v/>
      </c>
      <c r="D987" s="2">
        <f>MOD(INT((A987-1)/4),8)+1</f>
        <v/>
      </c>
      <c r="E987" s="2">
        <f>MOD(A987-1,4)+1</f>
        <v/>
      </c>
      <c r="F987" s="20">
        <f>축시작+INT((A987-1)/32)</f>
        <v/>
      </c>
      <c r="G987" s="20">
        <f>F987+H987</f>
        <v/>
      </c>
      <c r="H987" s="5" t="n">
        <v>4</v>
      </c>
      <c r="I987" s="2">
        <f>ROUND(INDEX(가맹점!$P$2:$P$9,D987)*INDEX(가맹점!$J$2:$M$9,D987,E987),0)</f>
        <v/>
      </c>
      <c r="J987" s="2">
        <f>ROUND(I987*(1-할인율),0)</f>
        <v/>
      </c>
      <c r="K987" s="2">
        <f>ROUNDDOWN(I987*할인율,0)</f>
        <v/>
      </c>
      <c r="L987" s="2">
        <f>ROUND(I987*INDEX(미지급률범위,E987),0)</f>
        <v/>
      </c>
      <c r="M987" s="2">
        <f>ROUND(I987*INDEX(과지급률범위,E987),0)</f>
        <v/>
      </c>
      <c r="N987" s="2">
        <f>MAX(0,L987-M987)</f>
        <v/>
      </c>
      <c r="O987" s="2">
        <f>K987-N987</f>
        <v/>
      </c>
      <c r="P987" s="2">
        <f>I987-N987</f>
        <v/>
      </c>
      <c r="Q987" s="5">
        <f>IF(G987&gt;기준일,1,0)</f>
        <v/>
      </c>
      <c r="R987" s="5">
        <f>IF(G987&lt;=기준일,1,0)</f>
        <v/>
      </c>
      <c r="S987" s="2">
        <f>J987*H987</f>
        <v/>
      </c>
      <c r="T987" s="5">
        <f>IF(AND(F987&gt;=표본시작,F987&lt;=표본종료),1,0)</f>
        <v/>
      </c>
      <c r="U987" s="5">
        <f>IF(AND(G987&gt;=조회시작,G987&lt;=조회종료),1,0)</f>
        <v/>
      </c>
    </row>
    <row r="988">
      <c r="A988" s="2">
        <f>ROW()-1</f>
        <v/>
      </c>
      <c r="B988" s="5">
        <f>INDEX(상호범위,D988)</f>
        <v/>
      </c>
      <c r="C988" s="5">
        <f>INDEX(플랫폼명범위,E988)</f>
        <v/>
      </c>
      <c r="D988" s="2">
        <f>MOD(INT((A988-1)/4),8)+1</f>
        <v/>
      </c>
      <c r="E988" s="2">
        <f>MOD(A988-1,4)+1</f>
        <v/>
      </c>
      <c r="F988" s="20">
        <f>축시작+INT((A988-1)/32)</f>
        <v/>
      </c>
      <c r="G988" s="20">
        <f>F988+H988</f>
        <v/>
      </c>
      <c r="H988" s="5" t="n">
        <v>5</v>
      </c>
      <c r="I988" s="2">
        <f>ROUND(INDEX(가맹점!$P$2:$P$9,D988)*INDEX(가맹점!$J$2:$M$9,D988,E988),0)</f>
        <v/>
      </c>
      <c r="J988" s="2">
        <f>ROUND(I988*(1-할인율),0)</f>
        <v/>
      </c>
      <c r="K988" s="2">
        <f>ROUNDDOWN(I988*할인율,0)</f>
        <v/>
      </c>
      <c r="L988" s="2">
        <f>ROUND(I988*INDEX(미지급률범위,E988),0)</f>
        <v/>
      </c>
      <c r="M988" s="2">
        <f>ROUND(I988*INDEX(과지급률범위,E988),0)</f>
        <v/>
      </c>
      <c r="N988" s="2">
        <f>MAX(0,L988-M988)</f>
        <v/>
      </c>
      <c r="O988" s="2">
        <f>K988-N988</f>
        <v/>
      </c>
      <c r="P988" s="2">
        <f>I988-N988</f>
        <v/>
      </c>
      <c r="Q988" s="5">
        <f>IF(G988&gt;기준일,1,0)</f>
        <v/>
      </c>
      <c r="R988" s="5">
        <f>IF(G988&lt;=기준일,1,0)</f>
        <v/>
      </c>
      <c r="S988" s="2">
        <f>J988*H988</f>
        <v/>
      </c>
      <c r="T988" s="5">
        <f>IF(AND(F988&gt;=표본시작,F988&lt;=표본종료),1,0)</f>
        <v/>
      </c>
      <c r="U988" s="5">
        <f>IF(AND(G988&gt;=조회시작,G988&lt;=조회종료),1,0)</f>
        <v/>
      </c>
    </row>
    <row r="989">
      <c r="A989" s="2">
        <f>ROW()-1</f>
        <v/>
      </c>
      <c r="B989" s="5">
        <f>INDEX(상호범위,D989)</f>
        <v/>
      </c>
      <c r="C989" s="5">
        <f>INDEX(플랫폼명범위,E989)</f>
        <v/>
      </c>
      <c r="D989" s="2">
        <f>MOD(INT((A989-1)/4),8)+1</f>
        <v/>
      </c>
      <c r="E989" s="2">
        <f>MOD(A989-1,4)+1</f>
        <v/>
      </c>
      <c r="F989" s="20">
        <f>축시작+INT((A989-1)/32)</f>
        <v/>
      </c>
      <c r="G989" s="20">
        <f>F989+H989</f>
        <v/>
      </c>
      <c r="H989" s="5" t="n">
        <v>5</v>
      </c>
      <c r="I989" s="2">
        <f>ROUND(INDEX(가맹점!$P$2:$P$9,D989)*INDEX(가맹점!$J$2:$M$9,D989,E989),0)</f>
        <v/>
      </c>
      <c r="J989" s="2">
        <f>ROUND(I989*(1-할인율),0)</f>
        <v/>
      </c>
      <c r="K989" s="2">
        <f>ROUNDDOWN(I989*할인율,0)</f>
        <v/>
      </c>
      <c r="L989" s="2">
        <f>ROUND(I989*INDEX(미지급률범위,E989),0)</f>
        <v/>
      </c>
      <c r="M989" s="2">
        <f>ROUND(I989*INDEX(과지급률범위,E989),0)</f>
        <v/>
      </c>
      <c r="N989" s="2">
        <f>MAX(0,L989-M989)</f>
        <v/>
      </c>
      <c r="O989" s="2">
        <f>K989-N989</f>
        <v/>
      </c>
      <c r="P989" s="2">
        <f>I989-N989</f>
        <v/>
      </c>
      <c r="Q989" s="5">
        <f>IF(G989&gt;기준일,1,0)</f>
        <v/>
      </c>
      <c r="R989" s="5">
        <f>IF(G989&lt;=기준일,1,0)</f>
        <v/>
      </c>
      <c r="S989" s="2">
        <f>J989*H989</f>
        <v/>
      </c>
      <c r="T989" s="5">
        <f>IF(AND(F989&gt;=표본시작,F989&lt;=표본종료),1,0)</f>
        <v/>
      </c>
      <c r="U989" s="5">
        <f>IF(AND(G989&gt;=조회시작,G989&lt;=조회종료),1,0)</f>
        <v/>
      </c>
    </row>
    <row r="990">
      <c r="A990" s="2">
        <f>ROW()-1</f>
        <v/>
      </c>
      <c r="B990" s="5">
        <f>INDEX(상호범위,D990)</f>
        <v/>
      </c>
      <c r="C990" s="5">
        <f>INDEX(플랫폼명범위,E990)</f>
        <v/>
      </c>
      <c r="D990" s="2">
        <f>MOD(INT((A990-1)/4),8)+1</f>
        <v/>
      </c>
      <c r="E990" s="2">
        <f>MOD(A990-1,4)+1</f>
        <v/>
      </c>
      <c r="F990" s="20">
        <f>축시작+INT((A990-1)/32)</f>
        <v/>
      </c>
      <c r="G990" s="20">
        <f>F990+H990</f>
        <v/>
      </c>
      <c r="H990" s="5" t="n">
        <v>3</v>
      </c>
      <c r="I990" s="2">
        <f>ROUND(INDEX(가맹점!$P$2:$P$9,D990)*INDEX(가맹점!$J$2:$M$9,D990,E990),0)</f>
        <v/>
      </c>
      <c r="J990" s="2">
        <f>ROUND(I990*(1-할인율),0)</f>
        <v/>
      </c>
      <c r="K990" s="2">
        <f>ROUNDDOWN(I990*할인율,0)</f>
        <v/>
      </c>
      <c r="L990" s="2">
        <f>ROUND(I990*INDEX(미지급률범위,E990),0)</f>
        <v/>
      </c>
      <c r="M990" s="2">
        <f>ROUND(I990*INDEX(과지급률범위,E990),0)</f>
        <v/>
      </c>
      <c r="N990" s="2">
        <f>MAX(0,L990-M990)</f>
        <v/>
      </c>
      <c r="O990" s="2">
        <f>K990-N990</f>
        <v/>
      </c>
      <c r="P990" s="2">
        <f>I990-N990</f>
        <v/>
      </c>
      <c r="Q990" s="5">
        <f>IF(G990&gt;기준일,1,0)</f>
        <v/>
      </c>
      <c r="R990" s="5">
        <f>IF(G990&lt;=기준일,1,0)</f>
        <v/>
      </c>
      <c r="S990" s="2">
        <f>J990*H990</f>
        <v/>
      </c>
      <c r="T990" s="5">
        <f>IF(AND(F990&gt;=표본시작,F990&lt;=표본종료),1,0)</f>
        <v/>
      </c>
      <c r="U990" s="5">
        <f>IF(AND(G990&gt;=조회시작,G990&lt;=조회종료),1,0)</f>
        <v/>
      </c>
    </row>
    <row r="991">
      <c r="A991" s="2">
        <f>ROW()-1</f>
        <v/>
      </c>
      <c r="B991" s="5">
        <f>INDEX(상호범위,D991)</f>
        <v/>
      </c>
      <c r="C991" s="5">
        <f>INDEX(플랫폼명범위,E991)</f>
        <v/>
      </c>
      <c r="D991" s="2">
        <f>MOD(INT((A991-1)/4),8)+1</f>
        <v/>
      </c>
      <c r="E991" s="2">
        <f>MOD(A991-1,4)+1</f>
        <v/>
      </c>
      <c r="F991" s="20">
        <f>축시작+INT((A991-1)/32)</f>
        <v/>
      </c>
      <c r="G991" s="20">
        <f>F991+H991</f>
        <v/>
      </c>
      <c r="H991" s="5" t="n">
        <v>2</v>
      </c>
      <c r="I991" s="2">
        <f>ROUND(INDEX(가맹점!$P$2:$P$9,D991)*INDEX(가맹점!$J$2:$M$9,D991,E991),0)</f>
        <v/>
      </c>
      <c r="J991" s="2">
        <f>ROUND(I991*(1-할인율),0)</f>
        <v/>
      </c>
      <c r="K991" s="2">
        <f>ROUNDDOWN(I991*할인율,0)</f>
        <v/>
      </c>
      <c r="L991" s="2">
        <f>ROUND(I991*INDEX(미지급률범위,E991),0)</f>
        <v/>
      </c>
      <c r="M991" s="2">
        <f>ROUND(I991*INDEX(과지급률범위,E991),0)</f>
        <v/>
      </c>
      <c r="N991" s="2">
        <f>MAX(0,L991-M991)</f>
        <v/>
      </c>
      <c r="O991" s="2">
        <f>K991-N991</f>
        <v/>
      </c>
      <c r="P991" s="2">
        <f>I991-N991</f>
        <v/>
      </c>
      <c r="Q991" s="5">
        <f>IF(G991&gt;기준일,1,0)</f>
        <v/>
      </c>
      <c r="R991" s="5">
        <f>IF(G991&lt;=기준일,1,0)</f>
        <v/>
      </c>
      <c r="S991" s="2">
        <f>J991*H991</f>
        <v/>
      </c>
      <c r="T991" s="5">
        <f>IF(AND(F991&gt;=표본시작,F991&lt;=표본종료),1,0)</f>
        <v/>
      </c>
      <c r="U991" s="5">
        <f>IF(AND(G991&gt;=조회시작,G991&lt;=조회종료),1,0)</f>
        <v/>
      </c>
    </row>
    <row r="992">
      <c r="A992" s="2">
        <f>ROW()-1</f>
        <v/>
      </c>
      <c r="B992" s="5">
        <f>INDEX(상호범위,D992)</f>
        <v/>
      </c>
      <c r="C992" s="5">
        <f>INDEX(플랫폼명범위,E992)</f>
        <v/>
      </c>
      <c r="D992" s="2">
        <f>MOD(INT((A992-1)/4),8)+1</f>
        <v/>
      </c>
      <c r="E992" s="2">
        <f>MOD(A992-1,4)+1</f>
        <v/>
      </c>
      <c r="F992" s="20">
        <f>축시작+INT((A992-1)/32)</f>
        <v/>
      </c>
      <c r="G992" s="20">
        <f>F992+H992</f>
        <v/>
      </c>
      <c r="H992" s="5" t="n">
        <v>5</v>
      </c>
      <c r="I992" s="2">
        <f>ROUND(INDEX(가맹점!$P$2:$P$9,D992)*INDEX(가맹점!$J$2:$M$9,D992,E992),0)</f>
        <v/>
      </c>
      <c r="J992" s="2">
        <f>ROUND(I992*(1-할인율),0)</f>
        <v/>
      </c>
      <c r="K992" s="2">
        <f>ROUNDDOWN(I992*할인율,0)</f>
        <v/>
      </c>
      <c r="L992" s="2">
        <f>ROUND(I992*INDEX(미지급률범위,E992),0)</f>
        <v/>
      </c>
      <c r="M992" s="2">
        <f>ROUND(I992*INDEX(과지급률범위,E992),0)</f>
        <v/>
      </c>
      <c r="N992" s="2">
        <f>MAX(0,L992-M992)</f>
        <v/>
      </c>
      <c r="O992" s="2">
        <f>K992-N992</f>
        <v/>
      </c>
      <c r="P992" s="2">
        <f>I992-N992</f>
        <v/>
      </c>
      <c r="Q992" s="5">
        <f>IF(G992&gt;기준일,1,0)</f>
        <v/>
      </c>
      <c r="R992" s="5">
        <f>IF(G992&lt;=기준일,1,0)</f>
        <v/>
      </c>
      <c r="S992" s="2">
        <f>J992*H992</f>
        <v/>
      </c>
      <c r="T992" s="5">
        <f>IF(AND(F992&gt;=표본시작,F992&lt;=표본종료),1,0)</f>
        <v/>
      </c>
      <c r="U992" s="5">
        <f>IF(AND(G992&gt;=조회시작,G992&lt;=조회종료),1,0)</f>
        <v/>
      </c>
    </row>
    <row r="993">
      <c r="A993" s="2">
        <f>ROW()-1</f>
        <v/>
      </c>
      <c r="B993" s="5">
        <f>INDEX(상호범위,D993)</f>
        <v/>
      </c>
      <c r="C993" s="5">
        <f>INDEX(플랫폼명범위,E993)</f>
        <v/>
      </c>
      <c r="D993" s="2">
        <f>MOD(INT((A993-1)/4),8)+1</f>
        <v/>
      </c>
      <c r="E993" s="2">
        <f>MOD(A993-1,4)+1</f>
        <v/>
      </c>
      <c r="F993" s="20">
        <f>축시작+INT((A993-1)/32)</f>
        <v/>
      </c>
      <c r="G993" s="20">
        <f>F993+H993</f>
        <v/>
      </c>
      <c r="H993" s="5" t="n">
        <v>8</v>
      </c>
      <c r="I993" s="2">
        <f>ROUND(INDEX(가맹점!$P$2:$P$9,D993)*INDEX(가맹점!$J$2:$M$9,D993,E993),0)</f>
        <v/>
      </c>
      <c r="J993" s="2">
        <f>ROUND(I993*(1-할인율),0)</f>
        <v/>
      </c>
      <c r="K993" s="2">
        <f>ROUNDDOWN(I993*할인율,0)</f>
        <v/>
      </c>
      <c r="L993" s="2">
        <f>ROUND(I993*INDEX(미지급률범위,E993),0)</f>
        <v/>
      </c>
      <c r="M993" s="2">
        <f>ROUND(I993*INDEX(과지급률범위,E993),0)</f>
        <v/>
      </c>
      <c r="N993" s="2">
        <f>MAX(0,L993-M993)</f>
        <v/>
      </c>
      <c r="O993" s="2">
        <f>K993-N993</f>
        <v/>
      </c>
      <c r="P993" s="2">
        <f>I993-N993</f>
        <v/>
      </c>
      <c r="Q993" s="5">
        <f>IF(G993&gt;기준일,1,0)</f>
        <v/>
      </c>
      <c r="R993" s="5">
        <f>IF(G993&lt;=기준일,1,0)</f>
        <v/>
      </c>
      <c r="S993" s="2">
        <f>J993*H993</f>
        <v/>
      </c>
      <c r="T993" s="5">
        <f>IF(AND(F993&gt;=표본시작,F993&lt;=표본종료),1,0)</f>
        <v/>
      </c>
      <c r="U993" s="5">
        <f>IF(AND(G993&gt;=조회시작,G993&lt;=조회종료),1,0)</f>
        <v/>
      </c>
    </row>
    <row r="994">
      <c r="A994" s="2">
        <f>ROW()-1</f>
        <v/>
      </c>
      <c r="B994" s="5">
        <f>INDEX(상호범위,D994)</f>
        <v/>
      </c>
      <c r="C994" s="5">
        <f>INDEX(플랫폼명범위,E994)</f>
        <v/>
      </c>
      <c r="D994" s="2">
        <f>MOD(INT((A994-1)/4),8)+1</f>
        <v/>
      </c>
      <c r="E994" s="2">
        <f>MOD(A994-1,4)+1</f>
        <v/>
      </c>
      <c r="F994" s="20">
        <f>축시작+INT((A994-1)/32)</f>
        <v/>
      </c>
      <c r="G994" s="20">
        <f>F994+H994</f>
        <v/>
      </c>
      <c r="H994" s="5" t="n">
        <v>1</v>
      </c>
      <c r="I994" s="2">
        <f>ROUND(INDEX(가맹점!$P$2:$P$9,D994)*INDEX(가맹점!$J$2:$M$9,D994,E994),0)</f>
        <v/>
      </c>
      <c r="J994" s="2">
        <f>ROUND(I994*(1-할인율),0)</f>
        <v/>
      </c>
      <c r="K994" s="2">
        <f>ROUNDDOWN(I994*할인율,0)</f>
        <v/>
      </c>
      <c r="L994" s="2">
        <f>ROUND(I994*INDEX(미지급률범위,E994),0)</f>
        <v/>
      </c>
      <c r="M994" s="2">
        <f>ROUND(I994*INDEX(과지급률범위,E994),0)</f>
        <v/>
      </c>
      <c r="N994" s="2">
        <f>MAX(0,L994-M994)</f>
        <v/>
      </c>
      <c r="O994" s="2">
        <f>K994-N994</f>
        <v/>
      </c>
      <c r="P994" s="2">
        <f>I994-N994</f>
        <v/>
      </c>
      <c r="Q994" s="5">
        <f>IF(G994&gt;기준일,1,0)</f>
        <v/>
      </c>
      <c r="R994" s="5">
        <f>IF(G994&lt;=기준일,1,0)</f>
        <v/>
      </c>
      <c r="S994" s="2">
        <f>J994*H994</f>
        <v/>
      </c>
      <c r="T994" s="5">
        <f>IF(AND(F994&gt;=표본시작,F994&lt;=표본종료),1,0)</f>
        <v/>
      </c>
      <c r="U994" s="5">
        <f>IF(AND(G994&gt;=조회시작,G994&lt;=조회종료),1,0)</f>
        <v/>
      </c>
    </row>
    <row r="995">
      <c r="A995" s="2">
        <f>ROW()-1</f>
        <v/>
      </c>
      <c r="B995" s="5">
        <f>INDEX(상호범위,D995)</f>
        <v/>
      </c>
      <c r="C995" s="5">
        <f>INDEX(플랫폼명범위,E995)</f>
        <v/>
      </c>
      <c r="D995" s="2">
        <f>MOD(INT((A995-1)/4),8)+1</f>
        <v/>
      </c>
      <c r="E995" s="2">
        <f>MOD(A995-1,4)+1</f>
        <v/>
      </c>
      <c r="F995" s="20">
        <f>축시작+INT((A995-1)/32)</f>
        <v/>
      </c>
      <c r="G995" s="20">
        <f>F995+H995</f>
        <v/>
      </c>
      <c r="H995" s="5" t="n">
        <v>3</v>
      </c>
      <c r="I995" s="2">
        <f>ROUND(INDEX(가맹점!$P$2:$P$9,D995)*INDEX(가맹점!$J$2:$M$9,D995,E995),0)</f>
        <v/>
      </c>
      <c r="J995" s="2">
        <f>ROUND(I995*(1-할인율),0)</f>
        <v/>
      </c>
      <c r="K995" s="2">
        <f>ROUNDDOWN(I995*할인율,0)</f>
        <v/>
      </c>
      <c r="L995" s="2">
        <f>ROUND(I995*INDEX(미지급률범위,E995),0)</f>
        <v/>
      </c>
      <c r="M995" s="2">
        <f>ROUND(I995*INDEX(과지급률범위,E995),0)</f>
        <v/>
      </c>
      <c r="N995" s="2">
        <f>MAX(0,L995-M995)</f>
        <v/>
      </c>
      <c r="O995" s="2">
        <f>K995-N995</f>
        <v/>
      </c>
      <c r="P995" s="2">
        <f>I995-N995</f>
        <v/>
      </c>
      <c r="Q995" s="5">
        <f>IF(G995&gt;기준일,1,0)</f>
        <v/>
      </c>
      <c r="R995" s="5">
        <f>IF(G995&lt;=기준일,1,0)</f>
        <v/>
      </c>
      <c r="S995" s="2">
        <f>J995*H995</f>
        <v/>
      </c>
      <c r="T995" s="5">
        <f>IF(AND(F995&gt;=표본시작,F995&lt;=표본종료),1,0)</f>
        <v/>
      </c>
      <c r="U995" s="5">
        <f>IF(AND(G995&gt;=조회시작,G995&lt;=조회종료),1,0)</f>
        <v/>
      </c>
    </row>
    <row r="996">
      <c r="A996" s="2">
        <f>ROW()-1</f>
        <v/>
      </c>
      <c r="B996" s="5">
        <f>INDEX(상호범위,D996)</f>
        <v/>
      </c>
      <c r="C996" s="5">
        <f>INDEX(플랫폼명범위,E996)</f>
        <v/>
      </c>
      <c r="D996" s="2">
        <f>MOD(INT((A996-1)/4),8)+1</f>
        <v/>
      </c>
      <c r="E996" s="2">
        <f>MOD(A996-1,4)+1</f>
        <v/>
      </c>
      <c r="F996" s="20">
        <f>축시작+INT((A996-1)/32)</f>
        <v/>
      </c>
      <c r="G996" s="20">
        <f>F996+H996</f>
        <v/>
      </c>
      <c r="H996" s="5" t="n">
        <v>5</v>
      </c>
      <c r="I996" s="2">
        <f>ROUND(INDEX(가맹점!$P$2:$P$9,D996)*INDEX(가맹점!$J$2:$M$9,D996,E996),0)</f>
        <v/>
      </c>
      <c r="J996" s="2">
        <f>ROUND(I996*(1-할인율),0)</f>
        <v/>
      </c>
      <c r="K996" s="2">
        <f>ROUNDDOWN(I996*할인율,0)</f>
        <v/>
      </c>
      <c r="L996" s="2">
        <f>ROUND(I996*INDEX(미지급률범위,E996),0)</f>
        <v/>
      </c>
      <c r="M996" s="2">
        <f>ROUND(I996*INDEX(과지급률범위,E996),0)</f>
        <v/>
      </c>
      <c r="N996" s="2">
        <f>MAX(0,L996-M996)</f>
        <v/>
      </c>
      <c r="O996" s="2">
        <f>K996-N996</f>
        <v/>
      </c>
      <c r="P996" s="2">
        <f>I996-N996</f>
        <v/>
      </c>
      <c r="Q996" s="5">
        <f>IF(G996&gt;기준일,1,0)</f>
        <v/>
      </c>
      <c r="R996" s="5">
        <f>IF(G996&lt;=기준일,1,0)</f>
        <v/>
      </c>
      <c r="S996" s="2">
        <f>J996*H996</f>
        <v/>
      </c>
      <c r="T996" s="5">
        <f>IF(AND(F996&gt;=표본시작,F996&lt;=표본종료),1,0)</f>
        <v/>
      </c>
      <c r="U996" s="5">
        <f>IF(AND(G996&gt;=조회시작,G996&lt;=조회종료),1,0)</f>
        <v/>
      </c>
    </row>
    <row r="997">
      <c r="A997" s="2">
        <f>ROW()-1</f>
        <v/>
      </c>
      <c r="B997" s="5">
        <f>INDEX(상호범위,D997)</f>
        <v/>
      </c>
      <c r="C997" s="5">
        <f>INDEX(플랫폼명범위,E997)</f>
        <v/>
      </c>
      <c r="D997" s="2">
        <f>MOD(INT((A997-1)/4),8)+1</f>
        <v/>
      </c>
      <c r="E997" s="2">
        <f>MOD(A997-1,4)+1</f>
        <v/>
      </c>
      <c r="F997" s="20">
        <f>축시작+INT((A997-1)/32)</f>
        <v/>
      </c>
      <c r="G997" s="20">
        <f>F997+H997</f>
        <v/>
      </c>
      <c r="H997" s="5" t="n">
        <v>6</v>
      </c>
      <c r="I997" s="2">
        <f>ROUND(INDEX(가맹점!$P$2:$P$9,D997)*INDEX(가맹점!$J$2:$M$9,D997,E997),0)</f>
        <v/>
      </c>
      <c r="J997" s="2">
        <f>ROUND(I997*(1-할인율),0)</f>
        <v/>
      </c>
      <c r="K997" s="2">
        <f>ROUNDDOWN(I997*할인율,0)</f>
        <v/>
      </c>
      <c r="L997" s="2">
        <f>ROUND(I997*INDEX(미지급률범위,E997),0)</f>
        <v/>
      </c>
      <c r="M997" s="2">
        <f>ROUND(I997*INDEX(과지급률범위,E997),0)</f>
        <v/>
      </c>
      <c r="N997" s="2">
        <f>MAX(0,L997-M997)</f>
        <v/>
      </c>
      <c r="O997" s="2">
        <f>K997-N997</f>
        <v/>
      </c>
      <c r="P997" s="2">
        <f>I997-N997</f>
        <v/>
      </c>
      <c r="Q997" s="5">
        <f>IF(G997&gt;기준일,1,0)</f>
        <v/>
      </c>
      <c r="R997" s="5">
        <f>IF(G997&lt;=기준일,1,0)</f>
        <v/>
      </c>
      <c r="S997" s="2">
        <f>J997*H997</f>
        <v/>
      </c>
      <c r="T997" s="5">
        <f>IF(AND(F997&gt;=표본시작,F997&lt;=표본종료),1,0)</f>
        <v/>
      </c>
      <c r="U997" s="5">
        <f>IF(AND(G997&gt;=조회시작,G997&lt;=조회종료),1,0)</f>
        <v/>
      </c>
    </row>
    <row r="998">
      <c r="A998" s="2">
        <f>ROW()-1</f>
        <v/>
      </c>
      <c r="B998" s="5">
        <f>INDEX(상호범위,D998)</f>
        <v/>
      </c>
      <c r="C998" s="5">
        <f>INDEX(플랫폼명범위,E998)</f>
        <v/>
      </c>
      <c r="D998" s="2">
        <f>MOD(INT((A998-1)/4),8)+1</f>
        <v/>
      </c>
      <c r="E998" s="2">
        <f>MOD(A998-1,4)+1</f>
        <v/>
      </c>
      <c r="F998" s="20">
        <f>축시작+INT((A998-1)/32)</f>
        <v/>
      </c>
      <c r="G998" s="20">
        <f>F998+H998</f>
        <v/>
      </c>
      <c r="H998" s="5" t="n">
        <v>3</v>
      </c>
      <c r="I998" s="2">
        <f>ROUND(INDEX(가맹점!$P$2:$P$9,D998)*INDEX(가맹점!$J$2:$M$9,D998,E998),0)</f>
        <v/>
      </c>
      <c r="J998" s="2">
        <f>ROUND(I998*(1-할인율),0)</f>
        <v/>
      </c>
      <c r="K998" s="2">
        <f>ROUNDDOWN(I998*할인율,0)</f>
        <v/>
      </c>
      <c r="L998" s="2">
        <f>ROUND(I998*INDEX(미지급률범위,E998),0)</f>
        <v/>
      </c>
      <c r="M998" s="2">
        <f>ROUND(I998*INDEX(과지급률범위,E998),0)</f>
        <v/>
      </c>
      <c r="N998" s="2">
        <f>MAX(0,L998-M998)</f>
        <v/>
      </c>
      <c r="O998" s="2">
        <f>K998-N998</f>
        <v/>
      </c>
      <c r="P998" s="2">
        <f>I998-N998</f>
        <v/>
      </c>
      <c r="Q998" s="5">
        <f>IF(G998&gt;기준일,1,0)</f>
        <v/>
      </c>
      <c r="R998" s="5">
        <f>IF(G998&lt;=기준일,1,0)</f>
        <v/>
      </c>
      <c r="S998" s="2">
        <f>J998*H998</f>
        <v/>
      </c>
      <c r="T998" s="5">
        <f>IF(AND(F998&gt;=표본시작,F998&lt;=표본종료),1,0)</f>
        <v/>
      </c>
      <c r="U998" s="5">
        <f>IF(AND(G998&gt;=조회시작,G998&lt;=조회종료),1,0)</f>
        <v/>
      </c>
    </row>
    <row r="999">
      <c r="A999" s="2">
        <f>ROW()-1</f>
        <v/>
      </c>
      <c r="B999" s="5">
        <f>INDEX(상호범위,D999)</f>
        <v/>
      </c>
      <c r="C999" s="5">
        <f>INDEX(플랫폼명범위,E999)</f>
        <v/>
      </c>
      <c r="D999" s="2">
        <f>MOD(INT((A999-1)/4),8)+1</f>
        <v/>
      </c>
      <c r="E999" s="2">
        <f>MOD(A999-1,4)+1</f>
        <v/>
      </c>
      <c r="F999" s="20">
        <f>축시작+INT((A999-1)/32)</f>
        <v/>
      </c>
      <c r="G999" s="20">
        <f>F999+H999</f>
        <v/>
      </c>
      <c r="H999" s="5" t="n">
        <v>2</v>
      </c>
      <c r="I999" s="2">
        <f>ROUND(INDEX(가맹점!$P$2:$P$9,D999)*INDEX(가맹점!$J$2:$M$9,D999,E999),0)</f>
        <v/>
      </c>
      <c r="J999" s="2">
        <f>ROUND(I999*(1-할인율),0)</f>
        <v/>
      </c>
      <c r="K999" s="2">
        <f>ROUNDDOWN(I999*할인율,0)</f>
        <v/>
      </c>
      <c r="L999" s="2">
        <f>ROUND(I999*INDEX(미지급률범위,E999),0)</f>
        <v/>
      </c>
      <c r="M999" s="2">
        <f>ROUND(I999*INDEX(과지급률범위,E999),0)</f>
        <v/>
      </c>
      <c r="N999" s="2">
        <f>MAX(0,L999-M999)</f>
        <v/>
      </c>
      <c r="O999" s="2">
        <f>K999-N999</f>
        <v/>
      </c>
      <c r="P999" s="2">
        <f>I999-N999</f>
        <v/>
      </c>
      <c r="Q999" s="5">
        <f>IF(G999&gt;기준일,1,0)</f>
        <v/>
      </c>
      <c r="R999" s="5">
        <f>IF(G999&lt;=기준일,1,0)</f>
        <v/>
      </c>
      <c r="S999" s="2">
        <f>J999*H999</f>
        <v/>
      </c>
      <c r="T999" s="5">
        <f>IF(AND(F999&gt;=표본시작,F999&lt;=표본종료),1,0)</f>
        <v/>
      </c>
      <c r="U999" s="5">
        <f>IF(AND(G999&gt;=조회시작,G999&lt;=조회종료),1,0)</f>
        <v/>
      </c>
    </row>
    <row r="1000">
      <c r="A1000" s="2">
        <f>ROW()-1</f>
        <v/>
      </c>
      <c r="B1000" s="5">
        <f>INDEX(상호범위,D1000)</f>
        <v/>
      </c>
      <c r="C1000" s="5">
        <f>INDEX(플랫폼명범위,E1000)</f>
        <v/>
      </c>
      <c r="D1000" s="2">
        <f>MOD(INT((A1000-1)/4),8)+1</f>
        <v/>
      </c>
      <c r="E1000" s="2">
        <f>MOD(A1000-1,4)+1</f>
        <v/>
      </c>
      <c r="F1000" s="20">
        <f>축시작+INT((A1000-1)/32)</f>
        <v/>
      </c>
      <c r="G1000" s="20">
        <f>F1000+H1000</f>
        <v/>
      </c>
      <c r="H1000" s="5" t="n">
        <v>6</v>
      </c>
      <c r="I1000" s="2">
        <f>ROUND(INDEX(가맹점!$P$2:$P$9,D1000)*INDEX(가맹점!$J$2:$M$9,D1000,E1000),0)</f>
        <v/>
      </c>
      <c r="J1000" s="2">
        <f>ROUND(I1000*(1-할인율),0)</f>
        <v/>
      </c>
      <c r="K1000" s="2">
        <f>ROUNDDOWN(I1000*할인율,0)</f>
        <v/>
      </c>
      <c r="L1000" s="2">
        <f>ROUND(I1000*INDEX(미지급률범위,E1000),0)</f>
        <v/>
      </c>
      <c r="M1000" s="2">
        <f>ROUND(I1000*INDEX(과지급률범위,E1000),0)</f>
        <v/>
      </c>
      <c r="N1000" s="2">
        <f>MAX(0,L1000-M1000)</f>
        <v/>
      </c>
      <c r="O1000" s="2">
        <f>K1000-N1000</f>
        <v/>
      </c>
      <c r="P1000" s="2">
        <f>I1000-N1000</f>
        <v/>
      </c>
      <c r="Q1000" s="5">
        <f>IF(G1000&gt;기준일,1,0)</f>
        <v/>
      </c>
      <c r="R1000" s="5">
        <f>IF(G1000&lt;=기준일,1,0)</f>
        <v/>
      </c>
      <c r="S1000" s="2">
        <f>J1000*H1000</f>
        <v/>
      </c>
      <c r="T1000" s="5">
        <f>IF(AND(F1000&gt;=표본시작,F1000&lt;=표본종료),1,0)</f>
        <v/>
      </c>
      <c r="U1000" s="5">
        <f>IF(AND(G1000&gt;=조회시작,G1000&lt;=조회종료),1,0)</f>
        <v/>
      </c>
    </row>
    <row r="1001">
      <c r="A1001" s="2">
        <f>ROW()-1</f>
        <v/>
      </c>
      <c r="B1001" s="5">
        <f>INDEX(상호범위,D1001)</f>
        <v/>
      </c>
      <c r="C1001" s="5">
        <f>INDEX(플랫폼명범위,E1001)</f>
        <v/>
      </c>
      <c r="D1001" s="2">
        <f>MOD(INT((A1001-1)/4),8)+1</f>
        <v/>
      </c>
      <c r="E1001" s="2">
        <f>MOD(A1001-1,4)+1</f>
        <v/>
      </c>
      <c r="F1001" s="20">
        <f>축시작+INT((A1001-1)/32)</f>
        <v/>
      </c>
      <c r="G1001" s="20">
        <f>F1001+H1001</f>
        <v/>
      </c>
      <c r="H1001" s="5" t="n">
        <v>6</v>
      </c>
      <c r="I1001" s="2">
        <f>ROUND(INDEX(가맹점!$P$2:$P$9,D1001)*INDEX(가맹점!$J$2:$M$9,D1001,E1001),0)</f>
        <v/>
      </c>
      <c r="J1001" s="2">
        <f>ROUND(I1001*(1-할인율),0)</f>
        <v/>
      </c>
      <c r="K1001" s="2">
        <f>ROUNDDOWN(I1001*할인율,0)</f>
        <v/>
      </c>
      <c r="L1001" s="2">
        <f>ROUND(I1001*INDEX(미지급률범위,E1001),0)</f>
        <v/>
      </c>
      <c r="M1001" s="2">
        <f>ROUND(I1001*INDEX(과지급률범위,E1001),0)</f>
        <v/>
      </c>
      <c r="N1001" s="2">
        <f>MAX(0,L1001-M1001)</f>
        <v/>
      </c>
      <c r="O1001" s="2">
        <f>K1001-N1001</f>
        <v/>
      </c>
      <c r="P1001" s="2">
        <f>I1001-N1001</f>
        <v/>
      </c>
      <c r="Q1001" s="5">
        <f>IF(G1001&gt;기준일,1,0)</f>
        <v/>
      </c>
      <c r="R1001" s="5">
        <f>IF(G1001&lt;=기준일,1,0)</f>
        <v/>
      </c>
      <c r="S1001" s="2">
        <f>J1001*H1001</f>
        <v/>
      </c>
      <c r="T1001" s="5">
        <f>IF(AND(F1001&gt;=표본시작,F1001&lt;=표본종료),1,0)</f>
        <v/>
      </c>
      <c r="U1001" s="5">
        <f>IF(AND(G1001&gt;=조회시작,G1001&lt;=조회종료),1,0)</f>
        <v/>
      </c>
    </row>
    <row r="1002">
      <c r="A1002" s="2">
        <f>ROW()-1</f>
        <v/>
      </c>
      <c r="B1002" s="5">
        <f>INDEX(상호범위,D1002)</f>
        <v/>
      </c>
      <c r="C1002" s="5">
        <f>INDEX(플랫폼명범위,E1002)</f>
        <v/>
      </c>
      <c r="D1002" s="2">
        <f>MOD(INT((A1002-1)/4),8)+1</f>
        <v/>
      </c>
      <c r="E1002" s="2">
        <f>MOD(A1002-1,4)+1</f>
        <v/>
      </c>
      <c r="F1002" s="20">
        <f>축시작+INT((A1002-1)/32)</f>
        <v/>
      </c>
      <c r="G1002" s="20">
        <f>F1002+H1002</f>
        <v/>
      </c>
      <c r="H1002" s="5" t="n">
        <v>3</v>
      </c>
      <c r="I1002" s="2">
        <f>ROUND(INDEX(가맹점!$P$2:$P$9,D1002)*INDEX(가맹점!$J$2:$M$9,D1002,E1002),0)</f>
        <v/>
      </c>
      <c r="J1002" s="2">
        <f>ROUND(I1002*(1-할인율),0)</f>
        <v/>
      </c>
      <c r="K1002" s="2">
        <f>ROUNDDOWN(I1002*할인율,0)</f>
        <v/>
      </c>
      <c r="L1002" s="2">
        <f>ROUND(I1002*INDEX(미지급률범위,E1002),0)</f>
        <v/>
      </c>
      <c r="M1002" s="2">
        <f>ROUND(I1002*INDEX(과지급률범위,E1002),0)</f>
        <v/>
      </c>
      <c r="N1002" s="2">
        <f>MAX(0,L1002-M1002)</f>
        <v/>
      </c>
      <c r="O1002" s="2">
        <f>K1002-N1002</f>
        <v/>
      </c>
      <c r="P1002" s="2">
        <f>I1002-N1002</f>
        <v/>
      </c>
      <c r="Q1002" s="5">
        <f>IF(G1002&gt;기준일,1,0)</f>
        <v/>
      </c>
      <c r="R1002" s="5">
        <f>IF(G1002&lt;=기준일,1,0)</f>
        <v/>
      </c>
      <c r="S1002" s="2">
        <f>J1002*H1002</f>
        <v/>
      </c>
      <c r="T1002" s="5">
        <f>IF(AND(F1002&gt;=표본시작,F1002&lt;=표본종료),1,0)</f>
        <v/>
      </c>
      <c r="U1002" s="5">
        <f>IF(AND(G1002&gt;=조회시작,G1002&lt;=조회종료),1,0)</f>
        <v/>
      </c>
    </row>
    <row r="1003">
      <c r="A1003" s="2">
        <f>ROW()-1</f>
        <v/>
      </c>
      <c r="B1003" s="5">
        <f>INDEX(상호범위,D1003)</f>
        <v/>
      </c>
      <c r="C1003" s="5">
        <f>INDEX(플랫폼명범위,E1003)</f>
        <v/>
      </c>
      <c r="D1003" s="2">
        <f>MOD(INT((A1003-1)/4),8)+1</f>
        <v/>
      </c>
      <c r="E1003" s="2">
        <f>MOD(A1003-1,4)+1</f>
        <v/>
      </c>
      <c r="F1003" s="20">
        <f>축시작+INT((A1003-1)/32)</f>
        <v/>
      </c>
      <c r="G1003" s="20">
        <f>F1003+H1003</f>
        <v/>
      </c>
      <c r="H1003" s="5" t="n">
        <v>2</v>
      </c>
      <c r="I1003" s="2">
        <f>ROUND(INDEX(가맹점!$P$2:$P$9,D1003)*INDEX(가맹점!$J$2:$M$9,D1003,E1003),0)</f>
        <v/>
      </c>
      <c r="J1003" s="2">
        <f>ROUND(I1003*(1-할인율),0)</f>
        <v/>
      </c>
      <c r="K1003" s="2">
        <f>ROUNDDOWN(I1003*할인율,0)</f>
        <v/>
      </c>
      <c r="L1003" s="2">
        <f>ROUND(I1003*INDEX(미지급률범위,E1003),0)</f>
        <v/>
      </c>
      <c r="M1003" s="2">
        <f>ROUND(I1003*INDEX(과지급률범위,E1003),0)</f>
        <v/>
      </c>
      <c r="N1003" s="2">
        <f>MAX(0,L1003-M1003)</f>
        <v/>
      </c>
      <c r="O1003" s="2">
        <f>K1003-N1003</f>
        <v/>
      </c>
      <c r="P1003" s="2">
        <f>I1003-N1003</f>
        <v/>
      </c>
      <c r="Q1003" s="5">
        <f>IF(G1003&gt;기준일,1,0)</f>
        <v/>
      </c>
      <c r="R1003" s="5">
        <f>IF(G1003&lt;=기준일,1,0)</f>
        <v/>
      </c>
      <c r="S1003" s="2">
        <f>J1003*H1003</f>
        <v/>
      </c>
      <c r="T1003" s="5">
        <f>IF(AND(F1003&gt;=표본시작,F1003&lt;=표본종료),1,0)</f>
        <v/>
      </c>
      <c r="U1003" s="5">
        <f>IF(AND(G1003&gt;=조회시작,G1003&lt;=조회종료),1,0)</f>
        <v/>
      </c>
    </row>
    <row r="1004">
      <c r="A1004" s="2">
        <f>ROW()-1</f>
        <v/>
      </c>
      <c r="B1004" s="5">
        <f>INDEX(상호범위,D1004)</f>
        <v/>
      </c>
      <c r="C1004" s="5">
        <f>INDEX(플랫폼명범위,E1004)</f>
        <v/>
      </c>
      <c r="D1004" s="2">
        <f>MOD(INT((A1004-1)/4),8)+1</f>
        <v/>
      </c>
      <c r="E1004" s="2">
        <f>MOD(A1004-1,4)+1</f>
        <v/>
      </c>
      <c r="F1004" s="20">
        <f>축시작+INT((A1004-1)/32)</f>
        <v/>
      </c>
      <c r="G1004" s="20">
        <f>F1004+H1004</f>
        <v/>
      </c>
      <c r="H1004" s="5" t="n">
        <v>6</v>
      </c>
      <c r="I1004" s="2">
        <f>ROUND(INDEX(가맹점!$P$2:$P$9,D1004)*INDEX(가맹점!$J$2:$M$9,D1004,E1004),0)</f>
        <v/>
      </c>
      <c r="J1004" s="2">
        <f>ROUND(I1004*(1-할인율),0)</f>
        <v/>
      </c>
      <c r="K1004" s="2">
        <f>ROUNDDOWN(I1004*할인율,0)</f>
        <v/>
      </c>
      <c r="L1004" s="2">
        <f>ROUND(I1004*INDEX(미지급률범위,E1004),0)</f>
        <v/>
      </c>
      <c r="M1004" s="2">
        <f>ROUND(I1004*INDEX(과지급률범위,E1004),0)</f>
        <v/>
      </c>
      <c r="N1004" s="2">
        <f>MAX(0,L1004-M1004)</f>
        <v/>
      </c>
      <c r="O1004" s="2">
        <f>K1004-N1004</f>
        <v/>
      </c>
      <c r="P1004" s="2">
        <f>I1004-N1004</f>
        <v/>
      </c>
      <c r="Q1004" s="5">
        <f>IF(G1004&gt;기준일,1,0)</f>
        <v/>
      </c>
      <c r="R1004" s="5">
        <f>IF(G1004&lt;=기준일,1,0)</f>
        <v/>
      </c>
      <c r="S1004" s="2">
        <f>J1004*H1004</f>
        <v/>
      </c>
      <c r="T1004" s="5">
        <f>IF(AND(F1004&gt;=표본시작,F1004&lt;=표본종료),1,0)</f>
        <v/>
      </c>
      <c r="U1004" s="5">
        <f>IF(AND(G1004&gt;=조회시작,G1004&lt;=조회종료),1,0)</f>
        <v/>
      </c>
    </row>
    <row r="1005">
      <c r="A1005" s="2">
        <f>ROW()-1</f>
        <v/>
      </c>
      <c r="B1005" s="5">
        <f>INDEX(상호범위,D1005)</f>
        <v/>
      </c>
      <c r="C1005" s="5">
        <f>INDEX(플랫폼명범위,E1005)</f>
        <v/>
      </c>
      <c r="D1005" s="2">
        <f>MOD(INT((A1005-1)/4),8)+1</f>
        <v/>
      </c>
      <c r="E1005" s="2">
        <f>MOD(A1005-1,4)+1</f>
        <v/>
      </c>
      <c r="F1005" s="20">
        <f>축시작+INT((A1005-1)/32)</f>
        <v/>
      </c>
      <c r="G1005" s="20">
        <f>F1005+H1005</f>
        <v/>
      </c>
      <c r="H1005" s="5" t="n">
        <v>5</v>
      </c>
      <c r="I1005" s="2">
        <f>ROUND(INDEX(가맹점!$P$2:$P$9,D1005)*INDEX(가맹점!$J$2:$M$9,D1005,E1005),0)</f>
        <v/>
      </c>
      <c r="J1005" s="2">
        <f>ROUND(I1005*(1-할인율),0)</f>
        <v/>
      </c>
      <c r="K1005" s="2">
        <f>ROUNDDOWN(I1005*할인율,0)</f>
        <v/>
      </c>
      <c r="L1005" s="2">
        <f>ROUND(I1005*INDEX(미지급률범위,E1005),0)</f>
        <v/>
      </c>
      <c r="M1005" s="2">
        <f>ROUND(I1005*INDEX(과지급률범위,E1005),0)</f>
        <v/>
      </c>
      <c r="N1005" s="2">
        <f>MAX(0,L1005-M1005)</f>
        <v/>
      </c>
      <c r="O1005" s="2">
        <f>K1005-N1005</f>
        <v/>
      </c>
      <c r="P1005" s="2">
        <f>I1005-N1005</f>
        <v/>
      </c>
      <c r="Q1005" s="5">
        <f>IF(G1005&gt;기준일,1,0)</f>
        <v/>
      </c>
      <c r="R1005" s="5">
        <f>IF(G1005&lt;=기준일,1,0)</f>
        <v/>
      </c>
      <c r="S1005" s="2">
        <f>J1005*H1005</f>
        <v/>
      </c>
      <c r="T1005" s="5">
        <f>IF(AND(F1005&gt;=표본시작,F1005&lt;=표본종료),1,0)</f>
        <v/>
      </c>
      <c r="U1005" s="5">
        <f>IF(AND(G1005&gt;=조회시작,G1005&lt;=조회종료),1,0)</f>
        <v/>
      </c>
    </row>
    <row r="1006">
      <c r="A1006" s="2">
        <f>ROW()-1</f>
        <v/>
      </c>
      <c r="B1006" s="5">
        <f>INDEX(상호범위,D1006)</f>
        <v/>
      </c>
      <c r="C1006" s="5">
        <f>INDEX(플랫폼명범위,E1006)</f>
        <v/>
      </c>
      <c r="D1006" s="2">
        <f>MOD(INT((A1006-1)/4),8)+1</f>
        <v/>
      </c>
      <c r="E1006" s="2">
        <f>MOD(A1006-1,4)+1</f>
        <v/>
      </c>
      <c r="F1006" s="20">
        <f>축시작+INT((A1006-1)/32)</f>
        <v/>
      </c>
      <c r="G1006" s="20">
        <f>F1006+H1006</f>
        <v/>
      </c>
      <c r="H1006" s="5" t="n">
        <v>3</v>
      </c>
      <c r="I1006" s="2">
        <f>ROUND(INDEX(가맹점!$P$2:$P$9,D1006)*INDEX(가맹점!$J$2:$M$9,D1006,E1006),0)</f>
        <v/>
      </c>
      <c r="J1006" s="2">
        <f>ROUND(I1006*(1-할인율),0)</f>
        <v/>
      </c>
      <c r="K1006" s="2">
        <f>ROUNDDOWN(I1006*할인율,0)</f>
        <v/>
      </c>
      <c r="L1006" s="2">
        <f>ROUND(I1006*INDEX(미지급률범위,E1006),0)</f>
        <v/>
      </c>
      <c r="M1006" s="2">
        <f>ROUND(I1006*INDEX(과지급률범위,E1006),0)</f>
        <v/>
      </c>
      <c r="N1006" s="2">
        <f>MAX(0,L1006-M1006)</f>
        <v/>
      </c>
      <c r="O1006" s="2">
        <f>K1006-N1006</f>
        <v/>
      </c>
      <c r="P1006" s="2">
        <f>I1006-N1006</f>
        <v/>
      </c>
      <c r="Q1006" s="5">
        <f>IF(G1006&gt;기준일,1,0)</f>
        <v/>
      </c>
      <c r="R1006" s="5">
        <f>IF(G1006&lt;=기준일,1,0)</f>
        <v/>
      </c>
      <c r="S1006" s="2">
        <f>J1006*H1006</f>
        <v/>
      </c>
      <c r="T1006" s="5">
        <f>IF(AND(F1006&gt;=표본시작,F1006&lt;=표본종료),1,0)</f>
        <v/>
      </c>
      <c r="U1006" s="5">
        <f>IF(AND(G1006&gt;=조회시작,G1006&lt;=조회종료),1,0)</f>
        <v/>
      </c>
    </row>
    <row r="1007">
      <c r="A1007" s="2">
        <f>ROW()-1</f>
        <v/>
      </c>
      <c r="B1007" s="5">
        <f>INDEX(상호범위,D1007)</f>
        <v/>
      </c>
      <c r="C1007" s="5">
        <f>INDEX(플랫폼명범위,E1007)</f>
        <v/>
      </c>
      <c r="D1007" s="2">
        <f>MOD(INT((A1007-1)/4),8)+1</f>
        <v/>
      </c>
      <c r="E1007" s="2">
        <f>MOD(A1007-1,4)+1</f>
        <v/>
      </c>
      <c r="F1007" s="20">
        <f>축시작+INT((A1007-1)/32)</f>
        <v/>
      </c>
      <c r="G1007" s="20">
        <f>F1007+H1007</f>
        <v/>
      </c>
      <c r="H1007" s="5" t="n">
        <v>4</v>
      </c>
      <c r="I1007" s="2">
        <f>ROUND(INDEX(가맹점!$P$2:$P$9,D1007)*INDEX(가맹점!$J$2:$M$9,D1007,E1007),0)</f>
        <v/>
      </c>
      <c r="J1007" s="2">
        <f>ROUND(I1007*(1-할인율),0)</f>
        <v/>
      </c>
      <c r="K1007" s="2">
        <f>ROUNDDOWN(I1007*할인율,0)</f>
        <v/>
      </c>
      <c r="L1007" s="2">
        <f>ROUND(I1007*INDEX(미지급률범위,E1007),0)</f>
        <v/>
      </c>
      <c r="M1007" s="2">
        <f>ROUND(I1007*INDEX(과지급률범위,E1007),0)</f>
        <v/>
      </c>
      <c r="N1007" s="2">
        <f>MAX(0,L1007-M1007)</f>
        <v/>
      </c>
      <c r="O1007" s="2">
        <f>K1007-N1007</f>
        <v/>
      </c>
      <c r="P1007" s="2">
        <f>I1007-N1007</f>
        <v/>
      </c>
      <c r="Q1007" s="5">
        <f>IF(G1007&gt;기준일,1,0)</f>
        <v/>
      </c>
      <c r="R1007" s="5">
        <f>IF(G1007&lt;=기준일,1,0)</f>
        <v/>
      </c>
      <c r="S1007" s="2">
        <f>J1007*H1007</f>
        <v/>
      </c>
      <c r="T1007" s="5">
        <f>IF(AND(F1007&gt;=표본시작,F1007&lt;=표본종료),1,0)</f>
        <v/>
      </c>
      <c r="U1007" s="5">
        <f>IF(AND(G1007&gt;=조회시작,G1007&lt;=조회종료),1,0)</f>
        <v/>
      </c>
    </row>
    <row r="1008">
      <c r="A1008" s="2">
        <f>ROW()-1</f>
        <v/>
      </c>
      <c r="B1008" s="5">
        <f>INDEX(상호범위,D1008)</f>
        <v/>
      </c>
      <c r="C1008" s="5">
        <f>INDEX(플랫폼명범위,E1008)</f>
        <v/>
      </c>
      <c r="D1008" s="2">
        <f>MOD(INT((A1008-1)/4),8)+1</f>
        <v/>
      </c>
      <c r="E1008" s="2">
        <f>MOD(A1008-1,4)+1</f>
        <v/>
      </c>
      <c r="F1008" s="20">
        <f>축시작+INT((A1008-1)/32)</f>
        <v/>
      </c>
      <c r="G1008" s="20">
        <f>F1008+H1008</f>
        <v/>
      </c>
      <c r="H1008" s="5" t="n">
        <v>5</v>
      </c>
      <c r="I1008" s="2">
        <f>ROUND(INDEX(가맹점!$P$2:$P$9,D1008)*INDEX(가맹점!$J$2:$M$9,D1008,E1008),0)</f>
        <v/>
      </c>
      <c r="J1008" s="2">
        <f>ROUND(I1008*(1-할인율),0)</f>
        <v/>
      </c>
      <c r="K1008" s="2">
        <f>ROUNDDOWN(I1008*할인율,0)</f>
        <v/>
      </c>
      <c r="L1008" s="2">
        <f>ROUND(I1008*INDEX(미지급률범위,E1008),0)</f>
        <v/>
      </c>
      <c r="M1008" s="2">
        <f>ROUND(I1008*INDEX(과지급률범위,E1008),0)</f>
        <v/>
      </c>
      <c r="N1008" s="2">
        <f>MAX(0,L1008-M1008)</f>
        <v/>
      </c>
      <c r="O1008" s="2">
        <f>K1008-N1008</f>
        <v/>
      </c>
      <c r="P1008" s="2">
        <f>I1008-N1008</f>
        <v/>
      </c>
      <c r="Q1008" s="5">
        <f>IF(G1008&gt;기준일,1,0)</f>
        <v/>
      </c>
      <c r="R1008" s="5">
        <f>IF(G1008&lt;=기준일,1,0)</f>
        <v/>
      </c>
      <c r="S1008" s="2">
        <f>J1008*H1008</f>
        <v/>
      </c>
      <c r="T1008" s="5">
        <f>IF(AND(F1008&gt;=표본시작,F1008&lt;=표본종료),1,0)</f>
        <v/>
      </c>
      <c r="U1008" s="5">
        <f>IF(AND(G1008&gt;=조회시작,G1008&lt;=조회종료),1,0)</f>
        <v/>
      </c>
    </row>
    <row r="1009">
      <c r="A1009" s="2">
        <f>ROW()-1</f>
        <v/>
      </c>
      <c r="B1009" s="5">
        <f>INDEX(상호범위,D1009)</f>
        <v/>
      </c>
      <c r="C1009" s="5">
        <f>INDEX(플랫폼명범위,E1009)</f>
        <v/>
      </c>
      <c r="D1009" s="2">
        <f>MOD(INT((A1009-1)/4),8)+1</f>
        <v/>
      </c>
      <c r="E1009" s="2">
        <f>MOD(A1009-1,4)+1</f>
        <v/>
      </c>
      <c r="F1009" s="20">
        <f>축시작+INT((A1009-1)/32)</f>
        <v/>
      </c>
      <c r="G1009" s="20">
        <f>F1009+H1009</f>
        <v/>
      </c>
      <c r="H1009" s="5" t="n">
        <v>7</v>
      </c>
      <c r="I1009" s="2">
        <f>ROUND(INDEX(가맹점!$P$2:$P$9,D1009)*INDEX(가맹점!$J$2:$M$9,D1009,E1009),0)</f>
        <v/>
      </c>
      <c r="J1009" s="2">
        <f>ROUND(I1009*(1-할인율),0)</f>
        <v/>
      </c>
      <c r="K1009" s="2">
        <f>ROUNDDOWN(I1009*할인율,0)</f>
        <v/>
      </c>
      <c r="L1009" s="2">
        <f>ROUND(I1009*INDEX(미지급률범위,E1009),0)</f>
        <v/>
      </c>
      <c r="M1009" s="2">
        <f>ROUND(I1009*INDEX(과지급률범위,E1009),0)</f>
        <v/>
      </c>
      <c r="N1009" s="2">
        <f>MAX(0,L1009-M1009)</f>
        <v/>
      </c>
      <c r="O1009" s="2">
        <f>K1009-N1009</f>
        <v/>
      </c>
      <c r="P1009" s="2">
        <f>I1009-N1009</f>
        <v/>
      </c>
      <c r="Q1009" s="5">
        <f>IF(G1009&gt;기준일,1,0)</f>
        <v/>
      </c>
      <c r="R1009" s="5">
        <f>IF(G1009&lt;=기준일,1,0)</f>
        <v/>
      </c>
      <c r="S1009" s="2">
        <f>J1009*H1009</f>
        <v/>
      </c>
      <c r="T1009" s="5">
        <f>IF(AND(F1009&gt;=표본시작,F1009&lt;=표본종료),1,0)</f>
        <v/>
      </c>
      <c r="U1009" s="5">
        <f>IF(AND(G1009&gt;=조회시작,G1009&lt;=조회종료),1,0)</f>
        <v/>
      </c>
    </row>
    <row r="1010">
      <c r="A1010" s="2">
        <f>ROW()-1</f>
        <v/>
      </c>
      <c r="B1010" s="5">
        <f>INDEX(상호범위,D1010)</f>
        <v/>
      </c>
      <c r="C1010" s="5">
        <f>INDEX(플랫폼명범위,E1010)</f>
        <v/>
      </c>
      <c r="D1010" s="2">
        <f>MOD(INT((A1010-1)/4),8)+1</f>
        <v/>
      </c>
      <c r="E1010" s="2">
        <f>MOD(A1010-1,4)+1</f>
        <v/>
      </c>
      <c r="F1010" s="20">
        <f>축시작+INT((A1010-1)/32)</f>
        <v/>
      </c>
      <c r="G1010" s="20">
        <f>F1010+H1010</f>
        <v/>
      </c>
      <c r="H1010" s="5" t="n">
        <v>3</v>
      </c>
      <c r="I1010" s="2">
        <f>ROUND(INDEX(가맹점!$P$2:$P$9,D1010)*INDEX(가맹점!$J$2:$M$9,D1010,E1010),0)</f>
        <v/>
      </c>
      <c r="J1010" s="2">
        <f>ROUND(I1010*(1-할인율),0)</f>
        <v/>
      </c>
      <c r="K1010" s="2">
        <f>ROUNDDOWN(I1010*할인율,0)</f>
        <v/>
      </c>
      <c r="L1010" s="2">
        <f>ROUND(I1010*INDEX(미지급률범위,E1010),0)</f>
        <v/>
      </c>
      <c r="M1010" s="2">
        <f>ROUND(I1010*INDEX(과지급률범위,E1010),0)</f>
        <v/>
      </c>
      <c r="N1010" s="2">
        <f>MAX(0,L1010-M1010)</f>
        <v/>
      </c>
      <c r="O1010" s="2">
        <f>K1010-N1010</f>
        <v/>
      </c>
      <c r="P1010" s="2">
        <f>I1010-N1010</f>
        <v/>
      </c>
      <c r="Q1010" s="5">
        <f>IF(G1010&gt;기준일,1,0)</f>
        <v/>
      </c>
      <c r="R1010" s="5">
        <f>IF(G1010&lt;=기준일,1,0)</f>
        <v/>
      </c>
      <c r="S1010" s="2">
        <f>J1010*H1010</f>
        <v/>
      </c>
      <c r="T1010" s="5">
        <f>IF(AND(F1010&gt;=표본시작,F1010&lt;=표본종료),1,0)</f>
        <v/>
      </c>
      <c r="U1010" s="5">
        <f>IF(AND(G1010&gt;=조회시작,G1010&lt;=조회종료),1,0)</f>
        <v/>
      </c>
    </row>
    <row r="1011">
      <c r="A1011" s="2">
        <f>ROW()-1</f>
        <v/>
      </c>
      <c r="B1011" s="5">
        <f>INDEX(상호범위,D1011)</f>
        <v/>
      </c>
      <c r="C1011" s="5">
        <f>INDEX(플랫폼명범위,E1011)</f>
        <v/>
      </c>
      <c r="D1011" s="2">
        <f>MOD(INT((A1011-1)/4),8)+1</f>
        <v/>
      </c>
      <c r="E1011" s="2">
        <f>MOD(A1011-1,4)+1</f>
        <v/>
      </c>
      <c r="F1011" s="20">
        <f>축시작+INT((A1011-1)/32)</f>
        <v/>
      </c>
      <c r="G1011" s="20">
        <f>F1011+H1011</f>
        <v/>
      </c>
      <c r="H1011" s="5" t="n">
        <v>2</v>
      </c>
      <c r="I1011" s="2">
        <f>ROUND(INDEX(가맹점!$P$2:$P$9,D1011)*INDEX(가맹점!$J$2:$M$9,D1011,E1011),0)</f>
        <v/>
      </c>
      <c r="J1011" s="2">
        <f>ROUND(I1011*(1-할인율),0)</f>
        <v/>
      </c>
      <c r="K1011" s="2">
        <f>ROUNDDOWN(I1011*할인율,0)</f>
        <v/>
      </c>
      <c r="L1011" s="2">
        <f>ROUND(I1011*INDEX(미지급률범위,E1011),0)</f>
        <v/>
      </c>
      <c r="M1011" s="2">
        <f>ROUND(I1011*INDEX(과지급률범위,E1011),0)</f>
        <v/>
      </c>
      <c r="N1011" s="2">
        <f>MAX(0,L1011-M1011)</f>
        <v/>
      </c>
      <c r="O1011" s="2">
        <f>K1011-N1011</f>
        <v/>
      </c>
      <c r="P1011" s="2">
        <f>I1011-N1011</f>
        <v/>
      </c>
      <c r="Q1011" s="5">
        <f>IF(G1011&gt;기준일,1,0)</f>
        <v/>
      </c>
      <c r="R1011" s="5">
        <f>IF(G1011&lt;=기준일,1,0)</f>
        <v/>
      </c>
      <c r="S1011" s="2">
        <f>J1011*H1011</f>
        <v/>
      </c>
      <c r="T1011" s="5">
        <f>IF(AND(F1011&gt;=표본시작,F1011&lt;=표본종료),1,0)</f>
        <v/>
      </c>
      <c r="U1011" s="5">
        <f>IF(AND(G1011&gt;=조회시작,G1011&lt;=조회종료),1,0)</f>
        <v/>
      </c>
    </row>
    <row r="1012">
      <c r="A1012" s="2">
        <f>ROW()-1</f>
        <v/>
      </c>
      <c r="B1012" s="5">
        <f>INDEX(상호범위,D1012)</f>
        <v/>
      </c>
      <c r="C1012" s="5">
        <f>INDEX(플랫폼명범위,E1012)</f>
        <v/>
      </c>
      <c r="D1012" s="2">
        <f>MOD(INT((A1012-1)/4),8)+1</f>
        <v/>
      </c>
      <c r="E1012" s="2">
        <f>MOD(A1012-1,4)+1</f>
        <v/>
      </c>
      <c r="F1012" s="20">
        <f>축시작+INT((A1012-1)/32)</f>
        <v/>
      </c>
      <c r="G1012" s="20">
        <f>F1012+H1012</f>
        <v/>
      </c>
      <c r="H1012" s="5" t="n">
        <v>6</v>
      </c>
      <c r="I1012" s="2">
        <f>ROUND(INDEX(가맹점!$P$2:$P$9,D1012)*INDEX(가맹점!$J$2:$M$9,D1012,E1012),0)</f>
        <v/>
      </c>
      <c r="J1012" s="2">
        <f>ROUND(I1012*(1-할인율),0)</f>
        <v/>
      </c>
      <c r="K1012" s="2">
        <f>ROUNDDOWN(I1012*할인율,0)</f>
        <v/>
      </c>
      <c r="L1012" s="2">
        <f>ROUND(I1012*INDEX(미지급률범위,E1012),0)</f>
        <v/>
      </c>
      <c r="M1012" s="2">
        <f>ROUND(I1012*INDEX(과지급률범위,E1012),0)</f>
        <v/>
      </c>
      <c r="N1012" s="2">
        <f>MAX(0,L1012-M1012)</f>
        <v/>
      </c>
      <c r="O1012" s="2">
        <f>K1012-N1012</f>
        <v/>
      </c>
      <c r="P1012" s="2">
        <f>I1012-N1012</f>
        <v/>
      </c>
      <c r="Q1012" s="5">
        <f>IF(G1012&gt;기준일,1,0)</f>
        <v/>
      </c>
      <c r="R1012" s="5">
        <f>IF(G1012&lt;=기준일,1,0)</f>
        <v/>
      </c>
      <c r="S1012" s="2">
        <f>J1012*H1012</f>
        <v/>
      </c>
      <c r="T1012" s="5">
        <f>IF(AND(F1012&gt;=표본시작,F1012&lt;=표본종료),1,0)</f>
        <v/>
      </c>
      <c r="U1012" s="5">
        <f>IF(AND(G1012&gt;=조회시작,G1012&lt;=조회종료),1,0)</f>
        <v/>
      </c>
    </row>
    <row r="1013">
      <c r="A1013" s="2">
        <f>ROW()-1</f>
        <v/>
      </c>
      <c r="B1013" s="5">
        <f>INDEX(상호범위,D1013)</f>
        <v/>
      </c>
      <c r="C1013" s="5">
        <f>INDEX(플랫폼명범위,E1013)</f>
        <v/>
      </c>
      <c r="D1013" s="2">
        <f>MOD(INT((A1013-1)/4),8)+1</f>
        <v/>
      </c>
      <c r="E1013" s="2">
        <f>MOD(A1013-1,4)+1</f>
        <v/>
      </c>
      <c r="F1013" s="20">
        <f>축시작+INT((A1013-1)/32)</f>
        <v/>
      </c>
      <c r="G1013" s="20">
        <f>F1013+H1013</f>
        <v/>
      </c>
      <c r="H1013" s="5" t="n">
        <v>5</v>
      </c>
      <c r="I1013" s="2">
        <f>ROUND(INDEX(가맹점!$P$2:$P$9,D1013)*INDEX(가맹점!$J$2:$M$9,D1013,E1013),0)</f>
        <v/>
      </c>
      <c r="J1013" s="2">
        <f>ROUND(I1013*(1-할인율),0)</f>
        <v/>
      </c>
      <c r="K1013" s="2">
        <f>ROUNDDOWN(I1013*할인율,0)</f>
        <v/>
      </c>
      <c r="L1013" s="2">
        <f>ROUND(I1013*INDEX(미지급률범위,E1013),0)</f>
        <v/>
      </c>
      <c r="M1013" s="2">
        <f>ROUND(I1013*INDEX(과지급률범위,E1013),0)</f>
        <v/>
      </c>
      <c r="N1013" s="2">
        <f>MAX(0,L1013-M1013)</f>
        <v/>
      </c>
      <c r="O1013" s="2">
        <f>K1013-N1013</f>
        <v/>
      </c>
      <c r="P1013" s="2">
        <f>I1013-N1013</f>
        <v/>
      </c>
      <c r="Q1013" s="5">
        <f>IF(G1013&gt;기준일,1,0)</f>
        <v/>
      </c>
      <c r="R1013" s="5">
        <f>IF(G1013&lt;=기준일,1,0)</f>
        <v/>
      </c>
      <c r="S1013" s="2">
        <f>J1013*H1013</f>
        <v/>
      </c>
      <c r="T1013" s="5">
        <f>IF(AND(F1013&gt;=표본시작,F1013&lt;=표본종료),1,0)</f>
        <v/>
      </c>
      <c r="U1013" s="5">
        <f>IF(AND(G1013&gt;=조회시작,G1013&lt;=조회종료),1,0)</f>
        <v/>
      </c>
    </row>
    <row r="1014">
      <c r="A1014" s="2">
        <f>ROW()-1</f>
        <v/>
      </c>
      <c r="B1014" s="5">
        <f>INDEX(상호범위,D1014)</f>
        <v/>
      </c>
      <c r="C1014" s="5">
        <f>INDEX(플랫폼명범위,E1014)</f>
        <v/>
      </c>
      <c r="D1014" s="2">
        <f>MOD(INT((A1014-1)/4),8)+1</f>
        <v/>
      </c>
      <c r="E1014" s="2">
        <f>MOD(A1014-1,4)+1</f>
        <v/>
      </c>
      <c r="F1014" s="20">
        <f>축시작+INT((A1014-1)/32)</f>
        <v/>
      </c>
      <c r="G1014" s="20">
        <f>F1014+H1014</f>
        <v/>
      </c>
      <c r="H1014" s="5" t="n">
        <v>3</v>
      </c>
      <c r="I1014" s="2">
        <f>ROUND(INDEX(가맹점!$P$2:$P$9,D1014)*INDEX(가맹점!$J$2:$M$9,D1014,E1014),0)</f>
        <v/>
      </c>
      <c r="J1014" s="2">
        <f>ROUND(I1014*(1-할인율),0)</f>
        <v/>
      </c>
      <c r="K1014" s="2">
        <f>ROUNDDOWN(I1014*할인율,0)</f>
        <v/>
      </c>
      <c r="L1014" s="2">
        <f>ROUND(I1014*INDEX(미지급률범위,E1014),0)</f>
        <v/>
      </c>
      <c r="M1014" s="2">
        <f>ROUND(I1014*INDEX(과지급률범위,E1014),0)</f>
        <v/>
      </c>
      <c r="N1014" s="2">
        <f>MAX(0,L1014-M1014)</f>
        <v/>
      </c>
      <c r="O1014" s="2">
        <f>K1014-N1014</f>
        <v/>
      </c>
      <c r="P1014" s="2">
        <f>I1014-N1014</f>
        <v/>
      </c>
      <c r="Q1014" s="5">
        <f>IF(G1014&gt;기준일,1,0)</f>
        <v/>
      </c>
      <c r="R1014" s="5">
        <f>IF(G1014&lt;=기준일,1,0)</f>
        <v/>
      </c>
      <c r="S1014" s="2">
        <f>J1014*H1014</f>
        <v/>
      </c>
      <c r="T1014" s="5">
        <f>IF(AND(F1014&gt;=표본시작,F1014&lt;=표본종료),1,0)</f>
        <v/>
      </c>
      <c r="U1014" s="5">
        <f>IF(AND(G1014&gt;=조회시작,G1014&lt;=조회종료),1,0)</f>
        <v/>
      </c>
    </row>
    <row r="1015">
      <c r="A1015" s="2">
        <f>ROW()-1</f>
        <v/>
      </c>
      <c r="B1015" s="5">
        <f>INDEX(상호범위,D1015)</f>
        <v/>
      </c>
      <c r="C1015" s="5">
        <f>INDEX(플랫폼명범위,E1015)</f>
        <v/>
      </c>
      <c r="D1015" s="2">
        <f>MOD(INT((A1015-1)/4),8)+1</f>
        <v/>
      </c>
      <c r="E1015" s="2">
        <f>MOD(A1015-1,4)+1</f>
        <v/>
      </c>
      <c r="F1015" s="20">
        <f>축시작+INT((A1015-1)/32)</f>
        <v/>
      </c>
      <c r="G1015" s="20">
        <f>F1015+H1015</f>
        <v/>
      </c>
      <c r="H1015" s="5" t="n">
        <v>2</v>
      </c>
      <c r="I1015" s="2">
        <f>ROUND(INDEX(가맹점!$P$2:$P$9,D1015)*INDEX(가맹점!$J$2:$M$9,D1015,E1015),0)</f>
        <v/>
      </c>
      <c r="J1015" s="2">
        <f>ROUND(I1015*(1-할인율),0)</f>
        <v/>
      </c>
      <c r="K1015" s="2">
        <f>ROUNDDOWN(I1015*할인율,0)</f>
        <v/>
      </c>
      <c r="L1015" s="2">
        <f>ROUND(I1015*INDEX(미지급률범위,E1015),0)</f>
        <v/>
      </c>
      <c r="M1015" s="2">
        <f>ROUND(I1015*INDEX(과지급률범위,E1015),0)</f>
        <v/>
      </c>
      <c r="N1015" s="2">
        <f>MAX(0,L1015-M1015)</f>
        <v/>
      </c>
      <c r="O1015" s="2">
        <f>K1015-N1015</f>
        <v/>
      </c>
      <c r="P1015" s="2">
        <f>I1015-N1015</f>
        <v/>
      </c>
      <c r="Q1015" s="5">
        <f>IF(G1015&gt;기준일,1,0)</f>
        <v/>
      </c>
      <c r="R1015" s="5">
        <f>IF(G1015&lt;=기준일,1,0)</f>
        <v/>
      </c>
      <c r="S1015" s="2">
        <f>J1015*H1015</f>
        <v/>
      </c>
      <c r="T1015" s="5">
        <f>IF(AND(F1015&gt;=표본시작,F1015&lt;=표본종료),1,0)</f>
        <v/>
      </c>
      <c r="U1015" s="5">
        <f>IF(AND(G1015&gt;=조회시작,G1015&lt;=조회종료),1,0)</f>
        <v/>
      </c>
    </row>
    <row r="1016">
      <c r="A1016" s="2">
        <f>ROW()-1</f>
        <v/>
      </c>
      <c r="B1016" s="5">
        <f>INDEX(상호범위,D1016)</f>
        <v/>
      </c>
      <c r="C1016" s="5">
        <f>INDEX(플랫폼명범위,E1016)</f>
        <v/>
      </c>
      <c r="D1016" s="2">
        <f>MOD(INT((A1016-1)/4),8)+1</f>
        <v/>
      </c>
      <c r="E1016" s="2">
        <f>MOD(A1016-1,4)+1</f>
        <v/>
      </c>
      <c r="F1016" s="20">
        <f>축시작+INT((A1016-1)/32)</f>
        <v/>
      </c>
      <c r="G1016" s="20">
        <f>F1016+H1016</f>
        <v/>
      </c>
      <c r="H1016" s="5" t="n">
        <v>7</v>
      </c>
      <c r="I1016" s="2">
        <f>ROUND(INDEX(가맹점!$P$2:$P$9,D1016)*INDEX(가맹점!$J$2:$M$9,D1016,E1016),0)</f>
        <v/>
      </c>
      <c r="J1016" s="2">
        <f>ROUND(I1016*(1-할인율),0)</f>
        <v/>
      </c>
      <c r="K1016" s="2">
        <f>ROUNDDOWN(I1016*할인율,0)</f>
        <v/>
      </c>
      <c r="L1016" s="2">
        <f>ROUND(I1016*INDEX(미지급률범위,E1016),0)</f>
        <v/>
      </c>
      <c r="M1016" s="2">
        <f>ROUND(I1016*INDEX(과지급률범위,E1016),0)</f>
        <v/>
      </c>
      <c r="N1016" s="2">
        <f>MAX(0,L1016-M1016)</f>
        <v/>
      </c>
      <c r="O1016" s="2">
        <f>K1016-N1016</f>
        <v/>
      </c>
      <c r="P1016" s="2">
        <f>I1016-N1016</f>
        <v/>
      </c>
      <c r="Q1016" s="5">
        <f>IF(G1016&gt;기준일,1,0)</f>
        <v/>
      </c>
      <c r="R1016" s="5">
        <f>IF(G1016&lt;=기준일,1,0)</f>
        <v/>
      </c>
      <c r="S1016" s="2">
        <f>J1016*H1016</f>
        <v/>
      </c>
      <c r="T1016" s="5">
        <f>IF(AND(F1016&gt;=표본시작,F1016&lt;=표본종료),1,0)</f>
        <v/>
      </c>
      <c r="U1016" s="5">
        <f>IF(AND(G1016&gt;=조회시작,G1016&lt;=조회종료),1,0)</f>
        <v/>
      </c>
    </row>
    <row r="1017">
      <c r="A1017" s="2">
        <f>ROW()-1</f>
        <v/>
      </c>
      <c r="B1017" s="5">
        <f>INDEX(상호범위,D1017)</f>
        <v/>
      </c>
      <c r="C1017" s="5">
        <f>INDEX(플랫폼명범위,E1017)</f>
        <v/>
      </c>
      <c r="D1017" s="2">
        <f>MOD(INT((A1017-1)/4),8)+1</f>
        <v/>
      </c>
      <c r="E1017" s="2">
        <f>MOD(A1017-1,4)+1</f>
        <v/>
      </c>
      <c r="F1017" s="20">
        <f>축시작+INT((A1017-1)/32)</f>
        <v/>
      </c>
      <c r="G1017" s="20">
        <f>F1017+H1017</f>
        <v/>
      </c>
      <c r="H1017" s="5" t="n">
        <v>7</v>
      </c>
      <c r="I1017" s="2">
        <f>ROUND(INDEX(가맹점!$P$2:$P$9,D1017)*INDEX(가맹점!$J$2:$M$9,D1017,E1017),0)</f>
        <v/>
      </c>
      <c r="J1017" s="2">
        <f>ROUND(I1017*(1-할인율),0)</f>
        <v/>
      </c>
      <c r="K1017" s="2">
        <f>ROUNDDOWN(I1017*할인율,0)</f>
        <v/>
      </c>
      <c r="L1017" s="2">
        <f>ROUND(I1017*INDEX(미지급률범위,E1017),0)</f>
        <v/>
      </c>
      <c r="M1017" s="2">
        <f>ROUND(I1017*INDEX(과지급률범위,E1017),0)</f>
        <v/>
      </c>
      <c r="N1017" s="2">
        <f>MAX(0,L1017-M1017)</f>
        <v/>
      </c>
      <c r="O1017" s="2">
        <f>K1017-N1017</f>
        <v/>
      </c>
      <c r="P1017" s="2">
        <f>I1017-N1017</f>
        <v/>
      </c>
      <c r="Q1017" s="5">
        <f>IF(G1017&gt;기준일,1,0)</f>
        <v/>
      </c>
      <c r="R1017" s="5">
        <f>IF(G1017&lt;=기준일,1,0)</f>
        <v/>
      </c>
      <c r="S1017" s="2">
        <f>J1017*H1017</f>
        <v/>
      </c>
      <c r="T1017" s="5">
        <f>IF(AND(F1017&gt;=표본시작,F1017&lt;=표본종료),1,0)</f>
        <v/>
      </c>
      <c r="U1017" s="5">
        <f>IF(AND(G1017&gt;=조회시작,G1017&lt;=조회종료),1,0)</f>
        <v/>
      </c>
    </row>
    <row r="1018">
      <c r="A1018" s="2">
        <f>ROW()-1</f>
        <v/>
      </c>
      <c r="B1018" s="5">
        <f>INDEX(상호범위,D1018)</f>
        <v/>
      </c>
      <c r="C1018" s="5">
        <f>INDEX(플랫폼명범위,E1018)</f>
        <v/>
      </c>
      <c r="D1018" s="2">
        <f>MOD(INT((A1018-1)/4),8)+1</f>
        <v/>
      </c>
      <c r="E1018" s="2">
        <f>MOD(A1018-1,4)+1</f>
        <v/>
      </c>
      <c r="F1018" s="20">
        <f>축시작+INT((A1018-1)/32)</f>
        <v/>
      </c>
      <c r="G1018" s="20">
        <f>F1018+H1018</f>
        <v/>
      </c>
      <c r="H1018" s="5" t="n">
        <v>3</v>
      </c>
      <c r="I1018" s="2">
        <f>ROUND(INDEX(가맹점!$P$2:$P$9,D1018)*INDEX(가맹점!$J$2:$M$9,D1018,E1018),0)</f>
        <v/>
      </c>
      <c r="J1018" s="2">
        <f>ROUND(I1018*(1-할인율),0)</f>
        <v/>
      </c>
      <c r="K1018" s="2">
        <f>ROUNDDOWN(I1018*할인율,0)</f>
        <v/>
      </c>
      <c r="L1018" s="2">
        <f>ROUND(I1018*INDEX(미지급률범위,E1018),0)</f>
        <v/>
      </c>
      <c r="M1018" s="2">
        <f>ROUND(I1018*INDEX(과지급률범위,E1018),0)</f>
        <v/>
      </c>
      <c r="N1018" s="2">
        <f>MAX(0,L1018-M1018)</f>
        <v/>
      </c>
      <c r="O1018" s="2">
        <f>K1018-N1018</f>
        <v/>
      </c>
      <c r="P1018" s="2">
        <f>I1018-N1018</f>
        <v/>
      </c>
      <c r="Q1018" s="5">
        <f>IF(G1018&gt;기준일,1,0)</f>
        <v/>
      </c>
      <c r="R1018" s="5">
        <f>IF(G1018&lt;=기준일,1,0)</f>
        <v/>
      </c>
      <c r="S1018" s="2">
        <f>J1018*H1018</f>
        <v/>
      </c>
      <c r="T1018" s="5">
        <f>IF(AND(F1018&gt;=표본시작,F1018&lt;=표본종료),1,0)</f>
        <v/>
      </c>
      <c r="U1018" s="5">
        <f>IF(AND(G1018&gt;=조회시작,G1018&lt;=조회종료),1,0)</f>
        <v/>
      </c>
    </row>
    <row r="1019">
      <c r="A1019" s="2">
        <f>ROW()-1</f>
        <v/>
      </c>
      <c r="B1019" s="5">
        <f>INDEX(상호범위,D1019)</f>
        <v/>
      </c>
      <c r="C1019" s="5">
        <f>INDEX(플랫폼명범위,E1019)</f>
        <v/>
      </c>
      <c r="D1019" s="2">
        <f>MOD(INT((A1019-1)/4),8)+1</f>
        <v/>
      </c>
      <c r="E1019" s="2">
        <f>MOD(A1019-1,4)+1</f>
        <v/>
      </c>
      <c r="F1019" s="20">
        <f>축시작+INT((A1019-1)/32)</f>
        <v/>
      </c>
      <c r="G1019" s="20">
        <f>F1019+H1019</f>
        <v/>
      </c>
      <c r="H1019" s="5" t="n">
        <v>4</v>
      </c>
      <c r="I1019" s="2">
        <f>ROUND(INDEX(가맹점!$P$2:$P$9,D1019)*INDEX(가맹점!$J$2:$M$9,D1019,E1019),0)</f>
        <v/>
      </c>
      <c r="J1019" s="2">
        <f>ROUND(I1019*(1-할인율),0)</f>
        <v/>
      </c>
      <c r="K1019" s="2">
        <f>ROUNDDOWN(I1019*할인율,0)</f>
        <v/>
      </c>
      <c r="L1019" s="2">
        <f>ROUND(I1019*INDEX(미지급률범위,E1019),0)</f>
        <v/>
      </c>
      <c r="M1019" s="2">
        <f>ROUND(I1019*INDEX(과지급률범위,E1019),0)</f>
        <v/>
      </c>
      <c r="N1019" s="2">
        <f>MAX(0,L1019-M1019)</f>
        <v/>
      </c>
      <c r="O1019" s="2">
        <f>K1019-N1019</f>
        <v/>
      </c>
      <c r="P1019" s="2">
        <f>I1019-N1019</f>
        <v/>
      </c>
      <c r="Q1019" s="5">
        <f>IF(G1019&gt;기준일,1,0)</f>
        <v/>
      </c>
      <c r="R1019" s="5">
        <f>IF(G1019&lt;=기준일,1,0)</f>
        <v/>
      </c>
      <c r="S1019" s="2">
        <f>J1019*H1019</f>
        <v/>
      </c>
      <c r="T1019" s="5">
        <f>IF(AND(F1019&gt;=표본시작,F1019&lt;=표본종료),1,0)</f>
        <v/>
      </c>
      <c r="U1019" s="5">
        <f>IF(AND(G1019&gt;=조회시작,G1019&lt;=조회종료),1,0)</f>
        <v/>
      </c>
    </row>
    <row r="1020">
      <c r="A1020" s="2">
        <f>ROW()-1</f>
        <v/>
      </c>
      <c r="B1020" s="5">
        <f>INDEX(상호범위,D1020)</f>
        <v/>
      </c>
      <c r="C1020" s="5">
        <f>INDEX(플랫폼명범위,E1020)</f>
        <v/>
      </c>
      <c r="D1020" s="2">
        <f>MOD(INT((A1020-1)/4),8)+1</f>
        <v/>
      </c>
      <c r="E1020" s="2">
        <f>MOD(A1020-1,4)+1</f>
        <v/>
      </c>
      <c r="F1020" s="20">
        <f>축시작+INT((A1020-1)/32)</f>
        <v/>
      </c>
      <c r="G1020" s="20">
        <f>F1020+H1020</f>
        <v/>
      </c>
      <c r="H1020" s="5" t="n">
        <v>5</v>
      </c>
      <c r="I1020" s="2">
        <f>ROUND(INDEX(가맹점!$P$2:$P$9,D1020)*INDEX(가맹점!$J$2:$M$9,D1020,E1020),0)</f>
        <v/>
      </c>
      <c r="J1020" s="2">
        <f>ROUND(I1020*(1-할인율),0)</f>
        <v/>
      </c>
      <c r="K1020" s="2">
        <f>ROUNDDOWN(I1020*할인율,0)</f>
        <v/>
      </c>
      <c r="L1020" s="2">
        <f>ROUND(I1020*INDEX(미지급률범위,E1020),0)</f>
        <v/>
      </c>
      <c r="M1020" s="2">
        <f>ROUND(I1020*INDEX(과지급률범위,E1020),0)</f>
        <v/>
      </c>
      <c r="N1020" s="2">
        <f>MAX(0,L1020-M1020)</f>
        <v/>
      </c>
      <c r="O1020" s="2">
        <f>K1020-N1020</f>
        <v/>
      </c>
      <c r="P1020" s="2">
        <f>I1020-N1020</f>
        <v/>
      </c>
      <c r="Q1020" s="5">
        <f>IF(G1020&gt;기준일,1,0)</f>
        <v/>
      </c>
      <c r="R1020" s="5">
        <f>IF(G1020&lt;=기준일,1,0)</f>
        <v/>
      </c>
      <c r="S1020" s="2">
        <f>J1020*H1020</f>
        <v/>
      </c>
      <c r="T1020" s="5">
        <f>IF(AND(F1020&gt;=표본시작,F1020&lt;=표본종료),1,0)</f>
        <v/>
      </c>
      <c r="U1020" s="5">
        <f>IF(AND(G1020&gt;=조회시작,G1020&lt;=조회종료),1,0)</f>
        <v/>
      </c>
    </row>
    <row r="1021">
      <c r="A1021" s="2">
        <f>ROW()-1</f>
        <v/>
      </c>
      <c r="B1021" s="5">
        <f>INDEX(상호범위,D1021)</f>
        <v/>
      </c>
      <c r="C1021" s="5">
        <f>INDEX(플랫폼명범위,E1021)</f>
        <v/>
      </c>
      <c r="D1021" s="2">
        <f>MOD(INT((A1021-1)/4),8)+1</f>
        <v/>
      </c>
      <c r="E1021" s="2">
        <f>MOD(A1021-1,4)+1</f>
        <v/>
      </c>
      <c r="F1021" s="20">
        <f>축시작+INT((A1021-1)/32)</f>
        <v/>
      </c>
      <c r="G1021" s="20">
        <f>F1021+H1021</f>
        <v/>
      </c>
      <c r="H1021" s="5" t="n">
        <v>5</v>
      </c>
      <c r="I1021" s="2">
        <f>ROUND(INDEX(가맹점!$P$2:$P$9,D1021)*INDEX(가맹점!$J$2:$M$9,D1021,E1021),0)</f>
        <v/>
      </c>
      <c r="J1021" s="2">
        <f>ROUND(I1021*(1-할인율),0)</f>
        <v/>
      </c>
      <c r="K1021" s="2">
        <f>ROUNDDOWN(I1021*할인율,0)</f>
        <v/>
      </c>
      <c r="L1021" s="2">
        <f>ROUND(I1021*INDEX(미지급률범위,E1021),0)</f>
        <v/>
      </c>
      <c r="M1021" s="2">
        <f>ROUND(I1021*INDEX(과지급률범위,E1021),0)</f>
        <v/>
      </c>
      <c r="N1021" s="2">
        <f>MAX(0,L1021-M1021)</f>
        <v/>
      </c>
      <c r="O1021" s="2">
        <f>K1021-N1021</f>
        <v/>
      </c>
      <c r="P1021" s="2">
        <f>I1021-N1021</f>
        <v/>
      </c>
      <c r="Q1021" s="5">
        <f>IF(G1021&gt;기준일,1,0)</f>
        <v/>
      </c>
      <c r="R1021" s="5">
        <f>IF(G1021&lt;=기준일,1,0)</f>
        <v/>
      </c>
      <c r="S1021" s="2">
        <f>J1021*H1021</f>
        <v/>
      </c>
      <c r="T1021" s="5">
        <f>IF(AND(F1021&gt;=표본시작,F1021&lt;=표본종료),1,0)</f>
        <v/>
      </c>
      <c r="U1021" s="5">
        <f>IF(AND(G1021&gt;=조회시작,G1021&lt;=조회종료),1,0)</f>
        <v/>
      </c>
    </row>
    <row r="1022">
      <c r="A1022" s="2">
        <f>ROW()-1</f>
        <v/>
      </c>
      <c r="B1022" s="5">
        <f>INDEX(상호범위,D1022)</f>
        <v/>
      </c>
      <c r="C1022" s="5">
        <f>INDEX(플랫폼명범위,E1022)</f>
        <v/>
      </c>
      <c r="D1022" s="2">
        <f>MOD(INT((A1022-1)/4),8)+1</f>
        <v/>
      </c>
      <c r="E1022" s="2">
        <f>MOD(A1022-1,4)+1</f>
        <v/>
      </c>
      <c r="F1022" s="20">
        <f>축시작+INT((A1022-1)/32)</f>
        <v/>
      </c>
      <c r="G1022" s="20">
        <f>F1022+H1022</f>
        <v/>
      </c>
      <c r="H1022" s="5" t="n">
        <v>3</v>
      </c>
      <c r="I1022" s="2">
        <f>ROUND(INDEX(가맹점!$P$2:$P$9,D1022)*INDEX(가맹점!$J$2:$M$9,D1022,E1022),0)</f>
        <v/>
      </c>
      <c r="J1022" s="2">
        <f>ROUND(I1022*(1-할인율),0)</f>
        <v/>
      </c>
      <c r="K1022" s="2">
        <f>ROUNDDOWN(I1022*할인율,0)</f>
        <v/>
      </c>
      <c r="L1022" s="2">
        <f>ROUND(I1022*INDEX(미지급률범위,E1022),0)</f>
        <v/>
      </c>
      <c r="M1022" s="2">
        <f>ROUND(I1022*INDEX(과지급률범위,E1022),0)</f>
        <v/>
      </c>
      <c r="N1022" s="2">
        <f>MAX(0,L1022-M1022)</f>
        <v/>
      </c>
      <c r="O1022" s="2">
        <f>K1022-N1022</f>
        <v/>
      </c>
      <c r="P1022" s="2">
        <f>I1022-N1022</f>
        <v/>
      </c>
      <c r="Q1022" s="5">
        <f>IF(G1022&gt;기준일,1,0)</f>
        <v/>
      </c>
      <c r="R1022" s="5">
        <f>IF(G1022&lt;=기준일,1,0)</f>
        <v/>
      </c>
      <c r="S1022" s="2">
        <f>J1022*H1022</f>
        <v/>
      </c>
      <c r="T1022" s="5">
        <f>IF(AND(F1022&gt;=표본시작,F1022&lt;=표본종료),1,0)</f>
        <v/>
      </c>
      <c r="U1022" s="5">
        <f>IF(AND(G1022&gt;=조회시작,G1022&lt;=조회종료),1,0)</f>
        <v/>
      </c>
    </row>
    <row r="1023">
      <c r="A1023" s="2">
        <f>ROW()-1</f>
        <v/>
      </c>
      <c r="B1023" s="5">
        <f>INDEX(상호범위,D1023)</f>
        <v/>
      </c>
      <c r="C1023" s="5">
        <f>INDEX(플랫폼명범위,E1023)</f>
        <v/>
      </c>
      <c r="D1023" s="2">
        <f>MOD(INT((A1023-1)/4),8)+1</f>
        <v/>
      </c>
      <c r="E1023" s="2">
        <f>MOD(A1023-1,4)+1</f>
        <v/>
      </c>
      <c r="F1023" s="20">
        <f>축시작+INT((A1023-1)/32)</f>
        <v/>
      </c>
      <c r="G1023" s="20">
        <f>F1023+H1023</f>
        <v/>
      </c>
      <c r="H1023" s="5" t="n">
        <v>3</v>
      </c>
      <c r="I1023" s="2">
        <f>ROUND(INDEX(가맹점!$P$2:$P$9,D1023)*INDEX(가맹점!$J$2:$M$9,D1023,E1023),0)</f>
        <v/>
      </c>
      <c r="J1023" s="2">
        <f>ROUND(I1023*(1-할인율),0)</f>
        <v/>
      </c>
      <c r="K1023" s="2">
        <f>ROUNDDOWN(I1023*할인율,0)</f>
        <v/>
      </c>
      <c r="L1023" s="2">
        <f>ROUND(I1023*INDEX(미지급률범위,E1023),0)</f>
        <v/>
      </c>
      <c r="M1023" s="2">
        <f>ROUND(I1023*INDEX(과지급률범위,E1023),0)</f>
        <v/>
      </c>
      <c r="N1023" s="2">
        <f>MAX(0,L1023-M1023)</f>
        <v/>
      </c>
      <c r="O1023" s="2">
        <f>K1023-N1023</f>
        <v/>
      </c>
      <c r="P1023" s="2">
        <f>I1023-N1023</f>
        <v/>
      </c>
      <c r="Q1023" s="5">
        <f>IF(G1023&gt;기준일,1,0)</f>
        <v/>
      </c>
      <c r="R1023" s="5">
        <f>IF(G1023&lt;=기준일,1,0)</f>
        <v/>
      </c>
      <c r="S1023" s="2">
        <f>J1023*H1023</f>
        <v/>
      </c>
      <c r="T1023" s="5">
        <f>IF(AND(F1023&gt;=표본시작,F1023&lt;=표본종료),1,0)</f>
        <v/>
      </c>
      <c r="U1023" s="5">
        <f>IF(AND(G1023&gt;=조회시작,G1023&lt;=조회종료),1,0)</f>
        <v/>
      </c>
    </row>
    <row r="1024">
      <c r="A1024" s="2">
        <f>ROW()-1</f>
        <v/>
      </c>
      <c r="B1024" s="5">
        <f>INDEX(상호범위,D1024)</f>
        <v/>
      </c>
      <c r="C1024" s="5">
        <f>INDEX(플랫폼명범위,E1024)</f>
        <v/>
      </c>
      <c r="D1024" s="2">
        <f>MOD(INT((A1024-1)/4),8)+1</f>
        <v/>
      </c>
      <c r="E1024" s="2">
        <f>MOD(A1024-1,4)+1</f>
        <v/>
      </c>
      <c r="F1024" s="20">
        <f>축시작+INT((A1024-1)/32)</f>
        <v/>
      </c>
      <c r="G1024" s="20">
        <f>F1024+H1024</f>
        <v/>
      </c>
      <c r="H1024" s="5" t="n">
        <v>5</v>
      </c>
      <c r="I1024" s="2">
        <f>ROUND(INDEX(가맹점!$P$2:$P$9,D1024)*INDEX(가맹점!$J$2:$M$9,D1024,E1024),0)</f>
        <v/>
      </c>
      <c r="J1024" s="2">
        <f>ROUND(I1024*(1-할인율),0)</f>
        <v/>
      </c>
      <c r="K1024" s="2">
        <f>ROUNDDOWN(I1024*할인율,0)</f>
        <v/>
      </c>
      <c r="L1024" s="2">
        <f>ROUND(I1024*INDEX(미지급률범위,E1024),0)</f>
        <v/>
      </c>
      <c r="M1024" s="2">
        <f>ROUND(I1024*INDEX(과지급률범위,E1024),0)</f>
        <v/>
      </c>
      <c r="N1024" s="2">
        <f>MAX(0,L1024-M1024)</f>
        <v/>
      </c>
      <c r="O1024" s="2">
        <f>K1024-N1024</f>
        <v/>
      </c>
      <c r="P1024" s="2">
        <f>I1024-N1024</f>
        <v/>
      </c>
      <c r="Q1024" s="5">
        <f>IF(G1024&gt;기준일,1,0)</f>
        <v/>
      </c>
      <c r="R1024" s="5">
        <f>IF(G1024&lt;=기준일,1,0)</f>
        <v/>
      </c>
      <c r="S1024" s="2">
        <f>J1024*H1024</f>
        <v/>
      </c>
      <c r="T1024" s="5">
        <f>IF(AND(F1024&gt;=표본시작,F1024&lt;=표본종료),1,0)</f>
        <v/>
      </c>
      <c r="U1024" s="5">
        <f>IF(AND(G1024&gt;=조회시작,G1024&lt;=조회종료),1,0)</f>
        <v/>
      </c>
    </row>
    <row r="1025">
      <c r="A1025" s="2">
        <f>ROW()-1</f>
        <v/>
      </c>
      <c r="B1025" s="5">
        <f>INDEX(상호범위,D1025)</f>
        <v/>
      </c>
      <c r="C1025" s="5">
        <f>INDEX(플랫폼명범위,E1025)</f>
        <v/>
      </c>
      <c r="D1025" s="2">
        <f>MOD(INT((A1025-1)/4),8)+1</f>
        <v/>
      </c>
      <c r="E1025" s="2">
        <f>MOD(A1025-1,4)+1</f>
        <v/>
      </c>
      <c r="F1025" s="20">
        <f>축시작+INT((A1025-1)/32)</f>
        <v/>
      </c>
      <c r="G1025" s="20">
        <f>F1025+H1025</f>
        <v/>
      </c>
      <c r="H1025" s="5" t="n">
        <v>8</v>
      </c>
      <c r="I1025" s="2">
        <f>ROUND(INDEX(가맹점!$P$2:$P$9,D1025)*INDEX(가맹점!$J$2:$M$9,D1025,E1025),0)</f>
        <v/>
      </c>
      <c r="J1025" s="2">
        <f>ROUND(I1025*(1-할인율),0)</f>
        <v/>
      </c>
      <c r="K1025" s="2">
        <f>ROUNDDOWN(I1025*할인율,0)</f>
        <v/>
      </c>
      <c r="L1025" s="2">
        <f>ROUND(I1025*INDEX(미지급률범위,E1025),0)</f>
        <v/>
      </c>
      <c r="M1025" s="2">
        <f>ROUND(I1025*INDEX(과지급률범위,E1025),0)</f>
        <v/>
      </c>
      <c r="N1025" s="2">
        <f>MAX(0,L1025-M1025)</f>
        <v/>
      </c>
      <c r="O1025" s="2">
        <f>K1025-N1025</f>
        <v/>
      </c>
      <c r="P1025" s="2">
        <f>I1025-N1025</f>
        <v/>
      </c>
      <c r="Q1025" s="5">
        <f>IF(G1025&gt;기준일,1,0)</f>
        <v/>
      </c>
      <c r="R1025" s="5">
        <f>IF(G1025&lt;=기준일,1,0)</f>
        <v/>
      </c>
      <c r="S1025" s="2">
        <f>J1025*H1025</f>
        <v/>
      </c>
      <c r="T1025" s="5">
        <f>IF(AND(F1025&gt;=표본시작,F1025&lt;=표본종료),1,0)</f>
        <v/>
      </c>
      <c r="U1025" s="5">
        <f>IF(AND(G1025&gt;=조회시작,G1025&lt;=조회종료),1,0)</f>
        <v/>
      </c>
    </row>
    <row r="1026">
      <c r="A1026" s="2">
        <f>ROW()-1</f>
        <v/>
      </c>
      <c r="B1026" s="5">
        <f>INDEX(상호범위,D1026)</f>
        <v/>
      </c>
      <c r="C1026" s="5">
        <f>INDEX(플랫폼명범위,E1026)</f>
        <v/>
      </c>
      <c r="D1026" s="2">
        <f>MOD(INT((A1026-1)/4),8)+1</f>
        <v/>
      </c>
      <c r="E1026" s="2">
        <f>MOD(A1026-1,4)+1</f>
        <v/>
      </c>
      <c r="F1026" s="20">
        <f>축시작+INT((A1026-1)/32)</f>
        <v/>
      </c>
      <c r="G1026" s="20">
        <f>F1026+H1026</f>
        <v/>
      </c>
      <c r="H1026" s="5" t="n">
        <v>2</v>
      </c>
      <c r="I1026" s="2">
        <f>ROUND(INDEX(가맹점!$P$2:$P$9,D1026)*INDEX(가맹점!$J$2:$M$9,D1026,E1026),0)</f>
        <v/>
      </c>
      <c r="J1026" s="2">
        <f>ROUND(I1026*(1-할인율),0)</f>
        <v/>
      </c>
      <c r="K1026" s="2">
        <f>ROUNDDOWN(I1026*할인율,0)</f>
        <v/>
      </c>
      <c r="L1026" s="2">
        <f>ROUND(I1026*INDEX(미지급률범위,E1026),0)</f>
        <v/>
      </c>
      <c r="M1026" s="2">
        <f>ROUND(I1026*INDEX(과지급률범위,E1026),0)</f>
        <v/>
      </c>
      <c r="N1026" s="2">
        <f>MAX(0,L1026-M1026)</f>
        <v/>
      </c>
      <c r="O1026" s="2">
        <f>K1026-N1026</f>
        <v/>
      </c>
      <c r="P1026" s="2">
        <f>I1026-N1026</f>
        <v/>
      </c>
      <c r="Q1026" s="5">
        <f>IF(G1026&gt;기준일,1,0)</f>
        <v/>
      </c>
      <c r="R1026" s="5">
        <f>IF(G1026&lt;=기준일,1,0)</f>
        <v/>
      </c>
      <c r="S1026" s="2">
        <f>J1026*H1026</f>
        <v/>
      </c>
      <c r="T1026" s="5">
        <f>IF(AND(F1026&gt;=표본시작,F1026&lt;=표본종료),1,0)</f>
        <v/>
      </c>
      <c r="U1026" s="5">
        <f>IF(AND(G1026&gt;=조회시작,G1026&lt;=조회종료),1,0)</f>
        <v/>
      </c>
    </row>
    <row r="1027">
      <c r="A1027" s="2">
        <f>ROW()-1</f>
        <v/>
      </c>
      <c r="B1027" s="5">
        <f>INDEX(상호범위,D1027)</f>
        <v/>
      </c>
      <c r="C1027" s="5">
        <f>INDEX(플랫폼명범위,E1027)</f>
        <v/>
      </c>
      <c r="D1027" s="2">
        <f>MOD(INT((A1027-1)/4),8)+1</f>
        <v/>
      </c>
      <c r="E1027" s="2">
        <f>MOD(A1027-1,4)+1</f>
        <v/>
      </c>
      <c r="F1027" s="20">
        <f>축시작+INT((A1027-1)/32)</f>
        <v/>
      </c>
      <c r="G1027" s="20">
        <f>F1027+H1027</f>
        <v/>
      </c>
      <c r="H1027" s="5" t="n">
        <v>3</v>
      </c>
      <c r="I1027" s="2">
        <f>ROUND(INDEX(가맹점!$P$2:$P$9,D1027)*INDEX(가맹점!$J$2:$M$9,D1027,E1027),0)</f>
        <v/>
      </c>
      <c r="J1027" s="2">
        <f>ROUND(I1027*(1-할인율),0)</f>
        <v/>
      </c>
      <c r="K1027" s="2">
        <f>ROUNDDOWN(I1027*할인율,0)</f>
        <v/>
      </c>
      <c r="L1027" s="2">
        <f>ROUND(I1027*INDEX(미지급률범위,E1027),0)</f>
        <v/>
      </c>
      <c r="M1027" s="2">
        <f>ROUND(I1027*INDEX(과지급률범위,E1027),0)</f>
        <v/>
      </c>
      <c r="N1027" s="2">
        <f>MAX(0,L1027-M1027)</f>
        <v/>
      </c>
      <c r="O1027" s="2">
        <f>K1027-N1027</f>
        <v/>
      </c>
      <c r="P1027" s="2">
        <f>I1027-N1027</f>
        <v/>
      </c>
      <c r="Q1027" s="5">
        <f>IF(G1027&gt;기준일,1,0)</f>
        <v/>
      </c>
      <c r="R1027" s="5">
        <f>IF(G1027&lt;=기준일,1,0)</f>
        <v/>
      </c>
      <c r="S1027" s="2">
        <f>J1027*H1027</f>
        <v/>
      </c>
      <c r="T1027" s="5">
        <f>IF(AND(F1027&gt;=표본시작,F1027&lt;=표본종료),1,0)</f>
        <v/>
      </c>
      <c r="U1027" s="5">
        <f>IF(AND(G1027&gt;=조회시작,G1027&lt;=조회종료),1,0)</f>
        <v/>
      </c>
    </row>
    <row r="1028">
      <c r="A1028" s="2">
        <f>ROW()-1</f>
        <v/>
      </c>
      <c r="B1028" s="5">
        <f>INDEX(상호범위,D1028)</f>
        <v/>
      </c>
      <c r="C1028" s="5">
        <f>INDEX(플랫폼명범위,E1028)</f>
        <v/>
      </c>
      <c r="D1028" s="2">
        <f>MOD(INT((A1028-1)/4),8)+1</f>
        <v/>
      </c>
      <c r="E1028" s="2">
        <f>MOD(A1028-1,4)+1</f>
        <v/>
      </c>
      <c r="F1028" s="20">
        <f>축시작+INT((A1028-1)/32)</f>
        <v/>
      </c>
      <c r="G1028" s="20">
        <f>F1028+H1028</f>
        <v/>
      </c>
      <c r="H1028" s="5" t="n">
        <v>5</v>
      </c>
      <c r="I1028" s="2">
        <f>ROUND(INDEX(가맹점!$P$2:$P$9,D1028)*INDEX(가맹점!$J$2:$M$9,D1028,E1028),0)</f>
        <v/>
      </c>
      <c r="J1028" s="2">
        <f>ROUND(I1028*(1-할인율),0)</f>
        <v/>
      </c>
      <c r="K1028" s="2">
        <f>ROUNDDOWN(I1028*할인율,0)</f>
        <v/>
      </c>
      <c r="L1028" s="2">
        <f>ROUND(I1028*INDEX(미지급률범위,E1028),0)</f>
        <v/>
      </c>
      <c r="M1028" s="2">
        <f>ROUND(I1028*INDEX(과지급률범위,E1028),0)</f>
        <v/>
      </c>
      <c r="N1028" s="2">
        <f>MAX(0,L1028-M1028)</f>
        <v/>
      </c>
      <c r="O1028" s="2">
        <f>K1028-N1028</f>
        <v/>
      </c>
      <c r="P1028" s="2">
        <f>I1028-N1028</f>
        <v/>
      </c>
      <c r="Q1028" s="5">
        <f>IF(G1028&gt;기준일,1,0)</f>
        <v/>
      </c>
      <c r="R1028" s="5">
        <f>IF(G1028&lt;=기준일,1,0)</f>
        <v/>
      </c>
      <c r="S1028" s="2">
        <f>J1028*H1028</f>
        <v/>
      </c>
      <c r="T1028" s="5">
        <f>IF(AND(F1028&gt;=표본시작,F1028&lt;=표본종료),1,0)</f>
        <v/>
      </c>
      <c r="U1028" s="5">
        <f>IF(AND(G1028&gt;=조회시작,G1028&lt;=조회종료),1,0)</f>
        <v/>
      </c>
    </row>
    <row r="1029">
      <c r="A1029" s="2">
        <f>ROW()-1</f>
        <v/>
      </c>
      <c r="B1029" s="5">
        <f>INDEX(상호범위,D1029)</f>
        <v/>
      </c>
      <c r="C1029" s="5">
        <f>INDEX(플랫폼명범위,E1029)</f>
        <v/>
      </c>
      <c r="D1029" s="2">
        <f>MOD(INT((A1029-1)/4),8)+1</f>
        <v/>
      </c>
      <c r="E1029" s="2">
        <f>MOD(A1029-1,4)+1</f>
        <v/>
      </c>
      <c r="F1029" s="20">
        <f>축시작+INT((A1029-1)/32)</f>
        <v/>
      </c>
      <c r="G1029" s="20">
        <f>F1029+H1029</f>
        <v/>
      </c>
      <c r="H1029" s="5" t="n">
        <v>7</v>
      </c>
      <c r="I1029" s="2">
        <f>ROUND(INDEX(가맹점!$P$2:$P$9,D1029)*INDEX(가맹점!$J$2:$M$9,D1029,E1029),0)</f>
        <v/>
      </c>
      <c r="J1029" s="2">
        <f>ROUND(I1029*(1-할인율),0)</f>
        <v/>
      </c>
      <c r="K1029" s="2">
        <f>ROUNDDOWN(I1029*할인율,0)</f>
        <v/>
      </c>
      <c r="L1029" s="2">
        <f>ROUND(I1029*INDEX(미지급률범위,E1029),0)</f>
        <v/>
      </c>
      <c r="M1029" s="2">
        <f>ROUND(I1029*INDEX(과지급률범위,E1029),0)</f>
        <v/>
      </c>
      <c r="N1029" s="2">
        <f>MAX(0,L1029-M1029)</f>
        <v/>
      </c>
      <c r="O1029" s="2">
        <f>K1029-N1029</f>
        <v/>
      </c>
      <c r="P1029" s="2">
        <f>I1029-N1029</f>
        <v/>
      </c>
      <c r="Q1029" s="5">
        <f>IF(G1029&gt;기준일,1,0)</f>
        <v/>
      </c>
      <c r="R1029" s="5">
        <f>IF(G1029&lt;=기준일,1,0)</f>
        <v/>
      </c>
      <c r="S1029" s="2">
        <f>J1029*H1029</f>
        <v/>
      </c>
      <c r="T1029" s="5">
        <f>IF(AND(F1029&gt;=표본시작,F1029&lt;=표본종료),1,0)</f>
        <v/>
      </c>
      <c r="U1029" s="5">
        <f>IF(AND(G1029&gt;=조회시작,G1029&lt;=조회종료),1,0)</f>
        <v/>
      </c>
    </row>
    <row r="1030">
      <c r="A1030" s="2">
        <f>ROW()-1</f>
        <v/>
      </c>
      <c r="B1030" s="5">
        <f>INDEX(상호범위,D1030)</f>
        <v/>
      </c>
      <c r="C1030" s="5">
        <f>INDEX(플랫폼명범위,E1030)</f>
        <v/>
      </c>
      <c r="D1030" s="2">
        <f>MOD(INT((A1030-1)/4),8)+1</f>
        <v/>
      </c>
      <c r="E1030" s="2">
        <f>MOD(A1030-1,4)+1</f>
        <v/>
      </c>
      <c r="F1030" s="20">
        <f>축시작+INT((A1030-1)/32)</f>
        <v/>
      </c>
      <c r="G1030" s="20">
        <f>F1030+H1030</f>
        <v/>
      </c>
      <c r="H1030" s="5" t="n">
        <v>3</v>
      </c>
      <c r="I1030" s="2">
        <f>ROUND(INDEX(가맹점!$P$2:$P$9,D1030)*INDEX(가맹점!$J$2:$M$9,D1030,E1030),0)</f>
        <v/>
      </c>
      <c r="J1030" s="2">
        <f>ROUND(I1030*(1-할인율),0)</f>
        <v/>
      </c>
      <c r="K1030" s="2">
        <f>ROUNDDOWN(I1030*할인율,0)</f>
        <v/>
      </c>
      <c r="L1030" s="2">
        <f>ROUND(I1030*INDEX(미지급률범위,E1030),0)</f>
        <v/>
      </c>
      <c r="M1030" s="2">
        <f>ROUND(I1030*INDEX(과지급률범위,E1030),0)</f>
        <v/>
      </c>
      <c r="N1030" s="2">
        <f>MAX(0,L1030-M1030)</f>
        <v/>
      </c>
      <c r="O1030" s="2">
        <f>K1030-N1030</f>
        <v/>
      </c>
      <c r="P1030" s="2">
        <f>I1030-N1030</f>
        <v/>
      </c>
      <c r="Q1030" s="5">
        <f>IF(G1030&gt;기준일,1,0)</f>
        <v/>
      </c>
      <c r="R1030" s="5">
        <f>IF(G1030&lt;=기준일,1,0)</f>
        <v/>
      </c>
      <c r="S1030" s="2">
        <f>J1030*H1030</f>
        <v/>
      </c>
      <c r="T1030" s="5">
        <f>IF(AND(F1030&gt;=표본시작,F1030&lt;=표본종료),1,0)</f>
        <v/>
      </c>
      <c r="U1030" s="5">
        <f>IF(AND(G1030&gt;=조회시작,G1030&lt;=조회종료),1,0)</f>
        <v/>
      </c>
    </row>
    <row r="1031">
      <c r="A1031" s="2">
        <f>ROW()-1</f>
        <v/>
      </c>
      <c r="B1031" s="5">
        <f>INDEX(상호범위,D1031)</f>
        <v/>
      </c>
      <c r="C1031" s="5">
        <f>INDEX(플랫폼명범위,E1031)</f>
        <v/>
      </c>
      <c r="D1031" s="2">
        <f>MOD(INT((A1031-1)/4),8)+1</f>
        <v/>
      </c>
      <c r="E1031" s="2">
        <f>MOD(A1031-1,4)+1</f>
        <v/>
      </c>
      <c r="F1031" s="20">
        <f>축시작+INT((A1031-1)/32)</f>
        <v/>
      </c>
      <c r="G1031" s="20">
        <f>F1031+H1031</f>
        <v/>
      </c>
      <c r="H1031" s="5" t="n">
        <v>2</v>
      </c>
      <c r="I1031" s="2">
        <f>ROUND(INDEX(가맹점!$P$2:$P$9,D1031)*INDEX(가맹점!$J$2:$M$9,D1031,E1031),0)</f>
        <v/>
      </c>
      <c r="J1031" s="2">
        <f>ROUND(I1031*(1-할인율),0)</f>
        <v/>
      </c>
      <c r="K1031" s="2">
        <f>ROUNDDOWN(I1031*할인율,0)</f>
        <v/>
      </c>
      <c r="L1031" s="2">
        <f>ROUND(I1031*INDEX(미지급률범위,E1031),0)</f>
        <v/>
      </c>
      <c r="M1031" s="2">
        <f>ROUND(I1031*INDEX(과지급률범위,E1031),0)</f>
        <v/>
      </c>
      <c r="N1031" s="2">
        <f>MAX(0,L1031-M1031)</f>
        <v/>
      </c>
      <c r="O1031" s="2">
        <f>K1031-N1031</f>
        <v/>
      </c>
      <c r="P1031" s="2">
        <f>I1031-N1031</f>
        <v/>
      </c>
      <c r="Q1031" s="5">
        <f>IF(G1031&gt;기준일,1,0)</f>
        <v/>
      </c>
      <c r="R1031" s="5">
        <f>IF(G1031&lt;=기준일,1,0)</f>
        <v/>
      </c>
      <c r="S1031" s="2">
        <f>J1031*H1031</f>
        <v/>
      </c>
      <c r="T1031" s="5">
        <f>IF(AND(F1031&gt;=표본시작,F1031&lt;=표본종료),1,0)</f>
        <v/>
      </c>
      <c r="U1031" s="5">
        <f>IF(AND(G1031&gt;=조회시작,G1031&lt;=조회종료),1,0)</f>
        <v/>
      </c>
    </row>
    <row r="1032">
      <c r="A1032" s="2">
        <f>ROW()-1</f>
        <v/>
      </c>
      <c r="B1032" s="5">
        <f>INDEX(상호범위,D1032)</f>
        <v/>
      </c>
      <c r="C1032" s="5">
        <f>INDEX(플랫폼명범위,E1032)</f>
        <v/>
      </c>
      <c r="D1032" s="2">
        <f>MOD(INT((A1032-1)/4),8)+1</f>
        <v/>
      </c>
      <c r="E1032" s="2">
        <f>MOD(A1032-1,4)+1</f>
        <v/>
      </c>
      <c r="F1032" s="20">
        <f>축시작+INT((A1032-1)/32)</f>
        <v/>
      </c>
      <c r="G1032" s="20">
        <f>F1032+H1032</f>
        <v/>
      </c>
      <c r="H1032" s="5" t="n">
        <v>6</v>
      </c>
      <c r="I1032" s="2">
        <f>ROUND(INDEX(가맹점!$P$2:$P$9,D1032)*INDEX(가맹점!$J$2:$M$9,D1032,E1032),0)</f>
        <v/>
      </c>
      <c r="J1032" s="2">
        <f>ROUND(I1032*(1-할인율),0)</f>
        <v/>
      </c>
      <c r="K1032" s="2">
        <f>ROUNDDOWN(I1032*할인율,0)</f>
        <v/>
      </c>
      <c r="L1032" s="2">
        <f>ROUND(I1032*INDEX(미지급률범위,E1032),0)</f>
        <v/>
      </c>
      <c r="M1032" s="2">
        <f>ROUND(I1032*INDEX(과지급률범위,E1032),0)</f>
        <v/>
      </c>
      <c r="N1032" s="2">
        <f>MAX(0,L1032-M1032)</f>
        <v/>
      </c>
      <c r="O1032" s="2">
        <f>K1032-N1032</f>
        <v/>
      </c>
      <c r="P1032" s="2">
        <f>I1032-N1032</f>
        <v/>
      </c>
      <c r="Q1032" s="5">
        <f>IF(G1032&gt;기준일,1,0)</f>
        <v/>
      </c>
      <c r="R1032" s="5">
        <f>IF(G1032&lt;=기준일,1,0)</f>
        <v/>
      </c>
      <c r="S1032" s="2">
        <f>J1032*H1032</f>
        <v/>
      </c>
      <c r="T1032" s="5">
        <f>IF(AND(F1032&gt;=표본시작,F1032&lt;=표본종료),1,0)</f>
        <v/>
      </c>
      <c r="U1032" s="5">
        <f>IF(AND(G1032&gt;=조회시작,G1032&lt;=조회종료),1,0)</f>
        <v/>
      </c>
    </row>
    <row r="1033">
      <c r="A1033" s="2">
        <f>ROW()-1</f>
        <v/>
      </c>
      <c r="B1033" s="5">
        <f>INDEX(상호범위,D1033)</f>
        <v/>
      </c>
      <c r="C1033" s="5">
        <f>INDEX(플랫폼명범위,E1033)</f>
        <v/>
      </c>
      <c r="D1033" s="2">
        <f>MOD(INT((A1033-1)/4),8)+1</f>
        <v/>
      </c>
      <c r="E1033" s="2">
        <f>MOD(A1033-1,4)+1</f>
        <v/>
      </c>
      <c r="F1033" s="20">
        <f>축시작+INT((A1033-1)/32)</f>
        <v/>
      </c>
      <c r="G1033" s="20">
        <f>F1033+H1033</f>
        <v/>
      </c>
      <c r="H1033" s="5" t="n">
        <v>7</v>
      </c>
      <c r="I1033" s="2">
        <f>ROUND(INDEX(가맹점!$P$2:$P$9,D1033)*INDEX(가맹점!$J$2:$M$9,D1033,E1033),0)</f>
        <v/>
      </c>
      <c r="J1033" s="2">
        <f>ROUND(I1033*(1-할인율),0)</f>
        <v/>
      </c>
      <c r="K1033" s="2">
        <f>ROUNDDOWN(I1033*할인율,0)</f>
        <v/>
      </c>
      <c r="L1033" s="2">
        <f>ROUND(I1033*INDEX(미지급률범위,E1033),0)</f>
        <v/>
      </c>
      <c r="M1033" s="2">
        <f>ROUND(I1033*INDEX(과지급률범위,E1033),0)</f>
        <v/>
      </c>
      <c r="N1033" s="2">
        <f>MAX(0,L1033-M1033)</f>
        <v/>
      </c>
      <c r="O1033" s="2">
        <f>K1033-N1033</f>
        <v/>
      </c>
      <c r="P1033" s="2">
        <f>I1033-N1033</f>
        <v/>
      </c>
      <c r="Q1033" s="5">
        <f>IF(G1033&gt;기준일,1,0)</f>
        <v/>
      </c>
      <c r="R1033" s="5">
        <f>IF(G1033&lt;=기준일,1,0)</f>
        <v/>
      </c>
      <c r="S1033" s="2">
        <f>J1033*H1033</f>
        <v/>
      </c>
      <c r="T1033" s="5">
        <f>IF(AND(F1033&gt;=표본시작,F1033&lt;=표본종료),1,0)</f>
        <v/>
      </c>
      <c r="U1033" s="5">
        <f>IF(AND(G1033&gt;=조회시작,G1033&lt;=조회종료),1,0)</f>
        <v/>
      </c>
    </row>
    <row r="1034">
      <c r="A1034" s="2">
        <f>ROW()-1</f>
        <v/>
      </c>
      <c r="B1034" s="5">
        <f>INDEX(상호범위,D1034)</f>
        <v/>
      </c>
      <c r="C1034" s="5">
        <f>INDEX(플랫폼명범위,E1034)</f>
        <v/>
      </c>
      <c r="D1034" s="2">
        <f>MOD(INT((A1034-1)/4),8)+1</f>
        <v/>
      </c>
      <c r="E1034" s="2">
        <f>MOD(A1034-1,4)+1</f>
        <v/>
      </c>
      <c r="F1034" s="20">
        <f>축시작+INT((A1034-1)/32)</f>
        <v/>
      </c>
      <c r="G1034" s="20">
        <f>F1034+H1034</f>
        <v/>
      </c>
      <c r="H1034" s="5" t="n">
        <v>1</v>
      </c>
      <c r="I1034" s="2">
        <f>ROUND(INDEX(가맹점!$P$2:$P$9,D1034)*INDEX(가맹점!$J$2:$M$9,D1034,E1034),0)</f>
        <v/>
      </c>
      <c r="J1034" s="2">
        <f>ROUND(I1034*(1-할인율),0)</f>
        <v/>
      </c>
      <c r="K1034" s="2">
        <f>ROUNDDOWN(I1034*할인율,0)</f>
        <v/>
      </c>
      <c r="L1034" s="2">
        <f>ROUND(I1034*INDEX(미지급률범위,E1034),0)</f>
        <v/>
      </c>
      <c r="M1034" s="2">
        <f>ROUND(I1034*INDEX(과지급률범위,E1034),0)</f>
        <v/>
      </c>
      <c r="N1034" s="2">
        <f>MAX(0,L1034-M1034)</f>
        <v/>
      </c>
      <c r="O1034" s="2">
        <f>K1034-N1034</f>
        <v/>
      </c>
      <c r="P1034" s="2">
        <f>I1034-N1034</f>
        <v/>
      </c>
      <c r="Q1034" s="5">
        <f>IF(G1034&gt;기준일,1,0)</f>
        <v/>
      </c>
      <c r="R1034" s="5">
        <f>IF(G1034&lt;=기준일,1,0)</f>
        <v/>
      </c>
      <c r="S1034" s="2">
        <f>J1034*H1034</f>
        <v/>
      </c>
      <c r="T1034" s="5">
        <f>IF(AND(F1034&gt;=표본시작,F1034&lt;=표본종료),1,0)</f>
        <v/>
      </c>
      <c r="U1034" s="5">
        <f>IF(AND(G1034&gt;=조회시작,G1034&lt;=조회종료),1,0)</f>
        <v/>
      </c>
    </row>
    <row r="1035">
      <c r="A1035" s="2">
        <f>ROW()-1</f>
        <v/>
      </c>
      <c r="B1035" s="5">
        <f>INDEX(상호범위,D1035)</f>
        <v/>
      </c>
      <c r="C1035" s="5">
        <f>INDEX(플랫폼명범위,E1035)</f>
        <v/>
      </c>
      <c r="D1035" s="2">
        <f>MOD(INT((A1035-1)/4),8)+1</f>
        <v/>
      </c>
      <c r="E1035" s="2">
        <f>MOD(A1035-1,4)+1</f>
        <v/>
      </c>
      <c r="F1035" s="20">
        <f>축시작+INT((A1035-1)/32)</f>
        <v/>
      </c>
      <c r="G1035" s="20">
        <f>F1035+H1035</f>
        <v/>
      </c>
      <c r="H1035" s="5" t="n">
        <v>2</v>
      </c>
      <c r="I1035" s="2">
        <f>ROUND(INDEX(가맹점!$P$2:$P$9,D1035)*INDEX(가맹점!$J$2:$M$9,D1035,E1035),0)</f>
        <v/>
      </c>
      <c r="J1035" s="2">
        <f>ROUND(I1035*(1-할인율),0)</f>
        <v/>
      </c>
      <c r="K1035" s="2">
        <f>ROUNDDOWN(I1035*할인율,0)</f>
        <v/>
      </c>
      <c r="L1035" s="2">
        <f>ROUND(I1035*INDEX(미지급률범위,E1035),0)</f>
        <v/>
      </c>
      <c r="M1035" s="2">
        <f>ROUND(I1035*INDEX(과지급률범위,E1035),0)</f>
        <v/>
      </c>
      <c r="N1035" s="2">
        <f>MAX(0,L1035-M1035)</f>
        <v/>
      </c>
      <c r="O1035" s="2">
        <f>K1035-N1035</f>
        <v/>
      </c>
      <c r="P1035" s="2">
        <f>I1035-N1035</f>
        <v/>
      </c>
      <c r="Q1035" s="5">
        <f>IF(G1035&gt;기준일,1,0)</f>
        <v/>
      </c>
      <c r="R1035" s="5">
        <f>IF(G1035&lt;=기준일,1,0)</f>
        <v/>
      </c>
      <c r="S1035" s="2">
        <f>J1035*H1035</f>
        <v/>
      </c>
      <c r="T1035" s="5">
        <f>IF(AND(F1035&gt;=표본시작,F1035&lt;=표본종료),1,0)</f>
        <v/>
      </c>
      <c r="U1035" s="5">
        <f>IF(AND(G1035&gt;=조회시작,G1035&lt;=조회종료),1,0)</f>
        <v/>
      </c>
    </row>
    <row r="1036">
      <c r="A1036" s="2">
        <f>ROW()-1</f>
        <v/>
      </c>
      <c r="B1036" s="5">
        <f>INDEX(상호범위,D1036)</f>
        <v/>
      </c>
      <c r="C1036" s="5">
        <f>INDEX(플랫폼명범위,E1036)</f>
        <v/>
      </c>
      <c r="D1036" s="2">
        <f>MOD(INT((A1036-1)/4),8)+1</f>
        <v/>
      </c>
      <c r="E1036" s="2">
        <f>MOD(A1036-1,4)+1</f>
        <v/>
      </c>
      <c r="F1036" s="20">
        <f>축시작+INT((A1036-1)/32)</f>
        <v/>
      </c>
      <c r="G1036" s="20">
        <f>F1036+H1036</f>
        <v/>
      </c>
      <c r="H1036" s="5" t="n">
        <v>6</v>
      </c>
      <c r="I1036" s="2">
        <f>ROUND(INDEX(가맹점!$P$2:$P$9,D1036)*INDEX(가맹점!$J$2:$M$9,D1036,E1036),0)</f>
        <v/>
      </c>
      <c r="J1036" s="2">
        <f>ROUND(I1036*(1-할인율),0)</f>
        <v/>
      </c>
      <c r="K1036" s="2">
        <f>ROUNDDOWN(I1036*할인율,0)</f>
        <v/>
      </c>
      <c r="L1036" s="2">
        <f>ROUND(I1036*INDEX(미지급률범위,E1036),0)</f>
        <v/>
      </c>
      <c r="M1036" s="2">
        <f>ROUND(I1036*INDEX(과지급률범위,E1036),0)</f>
        <v/>
      </c>
      <c r="N1036" s="2">
        <f>MAX(0,L1036-M1036)</f>
        <v/>
      </c>
      <c r="O1036" s="2">
        <f>K1036-N1036</f>
        <v/>
      </c>
      <c r="P1036" s="2">
        <f>I1036-N1036</f>
        <v/>
      </c>
      <c r="Q1036" s="5">
        <f>IF(G1036&gt;기준일,1,0)</f>
        <v/>
      </c>
      <c r="R1036" s="5">
        <f>IF(G1036&lt;=기준일,1,0)</f>
        <v/>
      </c>
      <c r="S1036" s="2">
        <f>J1036*H1036</f>
        <v/>
      </c>
      <c r="T1036" s="5">
        <f>IF(AND(F1036&gt;=표본시작,F1036&lt;=표본종료),1,0)</f>
        <v/>
      </c>
      <c r="U1036" s="5">
        <f>IF(AND(G1036&gt;=조회시작,G1036&lt;=조회종료),1,0)</f>
        <v/>
      </c>
    </row>
    <row r="1037">
      <c r="A1037" s="2">
        <f>ROW()-1</f>
        <v/>
      </c>
      <c r="B1037" s="5">
        <f>INDEX(상호범위,D1037)</f>
        <v/>
      </c>
      <c r="C1037" s="5">
        <f>INDEX(플랫폼명범위,E1037)</f>
        <v/>
      </c>
      <c r="D1037" s="2">
        <f>MOD(INT((A1037-1)/4),8)+1</f>
        <v/>
      </c>
      <c r="E1037" s="2">
        <f>MOD(A1037-1,4)+1</f>
        <v/>
      </c>
      <c r="F1037" s="20">
        <f>축시작+INT((A1037-1)/32)</f>
        <v/>
      </c>
      <c r="G1037" s="20">
        <f>F1037+H1037</f>
        <v/>
      </c>
      <c r="H1037" s="5" t="n">
        <v>5</v>
      </c>
      <c r="I1037" s="2">
        <f>ROUND(INDEX(가맹점!$P$2:$P$9,D1037)*INDEX(가맹점!$J$2:$M$9,D1037,E1037),0)</f>
        <v/>
      </c>
      <c r="J1037" s="2">
        <f>ROUND(I1037*(1-할인율),0)</f>
        <v/>
      </c>
      <c r="K1037" s="2">
        <f>ROUNDDOWN(I1037*할인율,0)</f>
        <v/>
      </c>
      <c r="L1037" s="2">
        <f>ROUND(I1037*INDEX(미지급률범위,E1037),0)</f>
        <v/>
      </c>
      <c r="M1037" s="2">
        <f>ROUND(I1037*INDEX(과지급률범위,E1037),0)</f>
        <v/>
      </c>
      <c r="N1037" s="2">
        <f>MAX(0,L1037-M1037)</f>
        <v/>
      </c>
      <c r="O1037" s="2">
        <f>K1037-N1037</f>
        <v/>
      </c>
      <c r="P1037" s="2">
        <f>I1037-N1037</f>
        <v/>
      </c>
      <c r="Q1037" s="5">
        <f>IF(G1037&gt;기준일,1,0)</f>
        <v/>
      </c>
      <c r="R1037" s="5">
        <f>IF(G1037&lt;=기준일,1,0)</f>
        <v/>
      </c>
      <c r="S1037" s="2">
        <f>J1037*H1037</f>
        <v/>
      </c>
      <c r="T1037" s="5">
        <f>IF(AND(F1037&gt;=표본시작,F1037&lt;=표본종료),1,0)</f>
        <v/>
      </c>
      <c r="U1037" s="5">
        <f>IF(AND(G1037&gt;=조회시작,G1037&lt;=조회종료),1,0)</f>
        <v/>
      </c>
    </row>
    <row r="1038">
      <c r="A1038" s="2">
        <f>ROW()-1</f>
        <v/>
      </c>
      <c r="B1038" s="5">
        <f>INDEX(상호범위,D1038)</f>
        <v/>
      </c>
      <c r="C1038" s="5">
        <f>INDEX(플랫폼명범위,E1038)</f>
        <v/>
      </c>
      <c r="D1038" s="2">
        <f>MOD(INT((A1038-1)/4),8)+1</f>
        <v/>
      </c>
      <c r="E1038" s="2">
        <f>MOD(A1038-1,4)+1</f>
        <v/>
      </c>
      <c r="F1038" s="20">
        <f>축시작+INT((A1038-1)/32)</f>
        <v/>
      </c>
      <c r="G1038" s="20">
        <f>F1038+H1038</f>
        <v/>
      </c>
      <c r="H1038" s="5" t="n">
        <v>1</v>
      </c>
      <c r="I1038" s="2">
        <f>ROUND(INDEX(가맹점!$P$2:$P$9,D1038)*INDEX(가맹점!$J$2:$M$9,D1038,E1038),0)</f>
        <v/>
      </c>
      <c r="J1038" s="2">
        <f>ROUND(I1038*(1-할인율),0)</f>
        <v/>
      </c>
      <c r="K1038" s="2">
        <f>ROUNDDOWN(I1038*할인율,0)</f>
        <v/>
      </c>
      <c r="L1038" s="2">
        <f>ROUND(I1038*INDEX(미지급률범위,E1038),0)</f>
        <v/>
      </c>
      <c r="M1038" s="2">
        <f>ROUND(I1038*INDEX(과지급률범위,E1038),0)</f>
        <v/>
      </c>
      <c r="N1038" s="2">
        <f>MAX(0,L1038-M1038)</f>
        <v/>
      </c>
      <c r="O1038" s="2">
        <f>K1038-N1038</f>
        <v/>
      </c>
      <c r="P1038" s="2">
        <f>I1038-N1038</f>
        <v/>
      </c>
      <c r="Q1038" s="5">
        <f>IF(G1038&gt;기준일,1,0)</f>
        <v/>
      </c>
      <c r="R1038" s="5">
        <f>IF(G1038&lt;=기준일,1,0)</f>
        <v/>
      </c>
      <c r="S1038" s="2">
        <f>J1038*H1038</f>
        <v/>
      </c>
      <c r="T1038" s="5">
        <f>IF(AND(F1038&gt;=표본시작,F1038&lt;=표본종료),1,0)</f>
        <v/>
      </c>
      <c r="U1038" s="5">
        <f>IF(AND(G1038&gt;=조회시작,G1038&lt;=조회종료),1,0)</f>
        <v/>
      </c>
    </row>
    <row r="1039">
      <c r="A1039" s="2">
        <f>ROW()-1</f>
        <v/>
      </c>
      <c r="B1039" s="5">
        <f>INDEX(상호범위,D1039)</f>
        <v/>
      </c>
      <c r="C1039" s="5">
        <f>INDEX(플랫폼명범위,E1039)</f>
        <v/>
      </c>
      <c r="D1039" s="2">
        <f>MOD(INT((A1039-1)/4),8)+1</f>
        <v/>
      </c>
      <c r="E1039" s="2">
        <f>MOD(A1039-1,4)+1</f>
        <v/>
      </c>
      <c r="F1039" s="20">
        <f>축시작+INT((A1039-1)/32)</f>
        <v/>
      </c>
      <c r="G1039" s="20">
        <f>F1039+H1039</f>
        <v/>
      </c>
      <c r="H1039" s="5" t="n">
        <v>4</v>
      </c>
      <c r="I1039" s="2">
        <f>ROUND(INDEX(가맹점!$P$2:$P$9,D1039)*INDEX(가맹점!$J$2:$M$9,D1039,E1039),0)</f>
        <v/>
      </c>
      <c r="J1039" s="2">
        <f>ROUND(I1039*(1-할인율),0)</f>
        <v/>
      </c>
      <c r="K1039" s="2">
        <f>ROUNDDOWN(I1039*할인율,0)</f>
        <v/>
      </c>
      <c r="L1039" s="2">
        <f>ROUND(I1039*INDEX(미지급률범위,E1039),0)</f>
        <v/>
      </c>
      <c r="M1039" s="2">
        <f>ROUND(I1039*INDEX(과지급률범위,E1039),0)</f>
        <v/>
      </c>
      <c r="N1039" s="2">
        <f>MAX(0,L1039-M1039)</f>
        <v/>
      </c>
      <c r="O1039" s="2">
        <f>K1039-N1039</f>
        <v/>
      </c>
      <c r="P1039" s="2">
        <f>I1039-N1039</f>
        <v/>
      </c>
      <c r="Q1039" s="5">
        <f>IF(G1039&gt;기준일,1,0)</f>
        <v/>
      </c>
      <c r="R1039" s="5">
        <f>IF(G1039&lt;=기준일,1,0)</f>
        <v/>
      </c>
      <c r="S1039" s="2">
        <f>J1039*H1039</f>
        <v/>
      </c>
      <c r="T1039" s="5">
        <f>IF(AND(F1039&gt;=표본시작,F1039&lt;=표본종료),1,0)</f>
        <v/>
      </c>
      <c r="U1039" s="5">
        <f>IF(AND(G1039&gt;=조회시작,G1039&lt;=조회종료),1,0)</f>
        <v/>
      </c>
    </row>
    <row r="1040">
      <c r="A1040" s="2">
        <f>ROW()-1</f>
        <v/>
      </c>
      <c r="B1040" s="5">
        <f>INDEX(상호범위,D1040)</f>
        <v/>
      </c>
      <c r="C1040" s="5">
        <f>INDEX(플랫폼명범위,E1040)</f>
        <v/>
      </c>
      <c r="D1040" s="2">
        <f>MOD(INT((A1040-1)/4),8)+1</f>
        <v/>
      </c>
      <c r="E1040" s="2">
        <f>MOD(A1040-1,4)+1</f>
        <v/>
      </c>
      <c r="F1040" s="20">
        <f>축시작+INT((A1040-1)/32)</f>
        <v/>
      </c>
      <c r="G1040" s="20">
        <f>F1040+H1040</f>
        <v/>
      </c>
      <c r="H1040" s="5" t="n">
        <v>5</v>
      </c>
      <c r="I1040" s="2">
        <f>ROUND(INDEX(가맹점!$P$2:$P$9,D1040)*INDEX(가맹점!$J$2:$M$9,D1040,E1040),0)</f>
        <v/>
      </c>
      <c r="J1040" s="2">
        <f>ROUND(I1040*(1-할인율),0)</f>
        <v/>
      </c>
      <c r="K1040" s="2">
        <f>ROUNDDOWN(I1040*할인율,0)</f>
        <v/>
      </c>
      <c r="L1040" s="2">
        <f>ROUND(I1040*INDEX(미지급률범위,E1040),0)</f>
        <v/>
      </c>
      <c r="M1040" s="2">
        <f>ROUND(I1040*INDEX(과지급률범위,E1040),0)</f>
        <v/>
      </c>
      <c r="N1040" s="2">
        <f>MAX(0,L1040-M1040)</f>
        <v/>
      </c>
      <c r="O1040" s="2">
        <f>K1040-N1040</f>
        <v/>
      </c>
      <c r="P1040" s="2">
        <f>I1040-N1040</f>
        <v/>
      </c>
      <c r="Q1040" s="5">
        <f>IF(G1040&gt;기준일,1,0)</f>
        <v/>
      </c>
      <c r="R1040" s="5">
        <f>IF(G1040&lt;=기준일,1,0)</f>
        <v/>
      </c>
      <c r="S1040" s="2">
        <f>J1040*H1040</f>
        <v/>
      </c>
      <c r="T1040" s="5">
        <f>IF(AND(F1040&gt;=표본시작,F1040&lt;=표본종료),1,0)</f>
        <v/>
      </c>
      <c r="U1040" s="5">
        <f>IF(AND(G1040&gt;=조회시작,G1040&lt;=조회종료),1,0)</f>
        <v/>
      </c>
    </row>
    <row r="1041">
      <c r="A1041" s="2">
        <f>ROW()-1</f>
        <v/>
      </c>
      <c r="B1041" s="5">
        <f>INDEX(상호범위,D1041)</f>
        <v/>
      </c>
      <c r="C1041" s="5">
        <f>INDEX(플랫폼명범위,E1041)</f>
        <v/>
      </c>
      <c r="D1041" s="2">
        <f>MOD(INT((A1041-1)/4),8)+1</f>
        <v/>
      </c>
      <c r="E1041" s="2">
        <f>MOD(A1041-1,4)+1</f>
        <v/>
      </c>
      <c r="F1041" s="20">
        <f>축시작+INT((A1041-1)/32)</f>
        <v/>
      </c>
      <c r="G1041" s="20">
        <f>F1041+H1041</f>
        <v/>
      </c>
      <c r="H1041" s="5" t="n">
        <v>7</v>
      </c>
      <c r="I1041" s="2">
        <f>ROUND(INDEX(가맹점!$P$2:$P$9,D1041)*INDEX(가맹점!$J$2:$M$9,D1041,E1041),0)</f>
        <v/>
      </c>
      <c r="J1041" s="2">
        <f>ROUND(I1041*(1-할인율),0)</f>
        <v/>
      </c>
      <c r="K1041" s="2">
        <f>ROUNDDOWN(I1041*할인율,0)</f>
        <v/>
      </c>
      <c r="L1041" s="2">
        <f>ROUND(I1041*INDEX(미지급률범위,E1041),0)</f>
        <v/>
      </c>
      <c r="M1041" s="2">
        <f>ROUND(I1041*INDEX(과지급률범위,E1041),0)</f>
        <v/>
      </c>
      <c r="N1041" s="2">
        <f>MAX(0,L1041-M1041)</f>
        <v/>
      </c>
      <c r="O1041" s="2">
        <f>K1041-N1041</f>
        <v/>
      </c>
      <c r="P1041" s="2">
        <f>I1041-N1041</f>
        <v/>
      </c>
      <c r="Q1041" s="5">
        <f>IF(G1041&gt;기준일,1,0)</f>
        <v/>
      </c>
      <c r="R1041" s="5">
        <f>IF(G1041&lt;=기준일,1,0)</f>
        <v/>
      </c>
      <c r="S1041" s="2">
        <f>J1041*H1041</f>
        <v/>
      </c>
      <c r="T1041" s="5">
        <f>IF(AND(F1041&gt;=표본시작,F1041&lt;=표본종료),1,0)</f>
        <v/>
      </c>
      <c r="U1041" s="5">
        <f>IF(AND(G1041&gt;=조회시작,G1041&lt;=조회종료),1,0)</f>
        <v/>
      </c>
    </row>
    <row r="1042">
      <c r="A1042" s="2">
        <f>ROW()-1</f>
        <v/>
      </c>
      <c r="B1042" s="5">
        <f>INDEX(상호범위,D1042)</f>
        <v/>
      </c>
      <c r="C1042" s="5">
        <f>INDEX(플랫폼명범위,E1042)</f>
        <v/>
      </c>
      <c r="D1042" s="2">
        <f>MOD(INT((A1042-1)/4),8)+1</f>
        <v/>
      </c>
      <c r="E1042" s="2">
        <f>MOD(A1042-1,4)+1</f>
        <v/>
      </c>
      <c r="F1042" s="20">
        <f>축시작+INT((A1042-1)/32)</f>
        <v/>
      </c>
      <c r="G1042" s="20">
        <f>F1042+H1042</f>
        <v/>
      </c>
      <c r="H1042" s="5" t="n">
        <v>3</v>
      </c>
      <c r="I1042" s="2">
        <f>ROUND(INDEX(가맹점!$P$2:$P$9,D1042)*INDEX(가맹점!$J$2:$M$9,D1042,E1042),0)</f>
        <v/>
      </c>
      <c r="J1042" s="2">
        <f>ROUND(I1042*(1-할인율),0)</f>
        <v/>
      </c>
      <c r="K1042" s="2">
        <f>ROUNDDOWN(I1042*할인율,0)</f>
        <v/>
      </c>
      <c r="L1042" s="2">
        <f>ROUND(I1042*INDEX(미지급률범위,E1042),0)</f>
        <v/>
      </c>
      <c r="M1042" s="2">
        <f>ROUND(I1042*INDEX(과지급률범위,E1042),0)</f>
        <v/>
      </c>
      <c r="N1042" s="2">
        <f>MAX(0,L1042-M1042)</f>
        <v/>
      </c>
      <c r="O1042" s="2">
        <f>K1042-N1042</f>
        <v/>
      </c>
      <c r="P1042" s="2">
        <f>I1042-N1042</f>
        <v/>
      </c>
      <c r="Q1042" s="5">
        <f>IF(G1042&gt;기준일,1,0)</f>
        <v/>
      </c>
      <c r="R1042" s="5">
        <f>IF(G1042&lt;=기준일,1,0)</f>
        <v/>
      </c>
      <c r="S1042" s="2">
        <f>J1042*H1042</f>
        <v/>
      </c>
      <c r="T1042" s="5">
        <f>IF(AND(F1042&gt;=표본시작,F1042&lt;=표본종료),1,0)</f>
        <v/>
      </c>
      <c r="U1042" s="5">
        <f>IF(AND(G1042&gt;=조회시작,G1042&lt;=조회종료),1,0)</f>
        <v/>
      </c>
    </row>
    <row r="1043">
      <c r="A1043" s="2">
        <f>ROW()-1</f>
        <v/>
      </c>
      <c r="B1043" s="5">
        <f>INDEX(상호범위,D1043)</f>
        <v/>
      </c>
      <c r="C1043" s="5">
        <f>INDEX(플랫폼명범위,E1043)</f>
        <v/>
      </c>
      <c r="D1043" s="2">
        <f>MOD(INT((A1043-1)/4),8)+1</f>
        <v/>
      </c>
      <c r="E1043" s="2">
        <f>MOD(A1043-1,4)+1</f>
        <v/>
      </c>
      <c r="F1043" s="20">
        <f>축시작+INT((A1043-1)/32)</f>
        <v/>
      </c>
      <c r="G1043" s="20">
        <f>F1043+H1043</f>
        <v/>
      </c>
      <c r="H1043" s="5" t="n">
        <v>3</v>
      </c>
      <c r="I1043" s="2">
        <f>ROUND(INDEX(가맹점!$P$2:$P$9,D1043)*INDEX(가맹점!$J$2:$M$9,D1043,E1043),0)</f>
        <v/>
      </c>
      <c r="J1043" s="2">
        <f>ROUND(I1043*(1-할인율),0)</f>
        <v/>
      </c>
      <c r="K1043" s="2">
        <f>ROUNDDOWN(I1043*할인율,0)</f>
        <v/>
      </c>
      <c r="L1043" s="2">
        <f>ROUND(I1043*INDEX(미지급률범위,E1043),0)</f>
        <v/>
      </c>
      <c r="M1043" s="2">
        <f>ROUND(I1043*INDEX(과지급률범위,E1043),0)</f>
        <v/>
      </c>
      <c r="N1043" s="2">
        <f>MAX(0,L1043-M1043)</f>
        <v/>
      </c>
      <c r="O1043" s="2">
        <f>K1043-N1043</f>
        <v/>
      </c>
      <c r="P1043" s="2">
        <f>I1043-N1043</f>
        <v/>
      </c>
      <c r="Q1043" s="5">
        <f>IF(G1043&gt;기준일,1,0)</f>
        <v/>
      </c>
      <c r="R1043" s="5">
        <f>IF(G1043&lt;=기준일,1,0)</f>
        <v/>
      </c>
      <c r="S1043" s="2">
        <f>J1043*H1043</f>
        <v/>
      </c>
      <c r="T1043" s="5">
        <f>IF(AND(F1043&gt;=표본시작,F1043&lt;=표본종료),1,0)</f>
        <v/>
      </c>
      <c r="U1043" s="5">
        <f>IF(AND(G1043&gt;=조회시작,G1043&lt;=조회종료),1,0)</f>
        <v/>
      </c>
    </row>
    <row r="1044">
      <c r="A1044" s="2">
        <f>ROW()-1</f>
        <v/>
      </c>
      <c r="B1044" s="5">
        <f>INDEX(상호범위,D1044)</f>
        <v/>
      </c>
      <c r="C1044" s="5">
        <f>INDEX(플랫폼명범위,E1044)</f>
        <v/>
      </c>
      <c r="D1044" s="2">
        <f>MOD(INT((A1044-1)/4),8)+1</f>
        <v/>
      </c>
      <c r="E1044" s="2">
        <f>MOD(A1044-1,4)+1</f>
        <v/>
      </c>
      <c r="F1044" s="20">
        <f>축시작+INT((A1044-1)/32)</f>
        <v/>
      </c>
      <c r="G1044" s="20">
        <f>F1044+H1044</f>
        <v/>
      </c>
      <c r="H1044" s="5" t="n">
        <v>6</v>
      </c>
      <c r="I1044" s="2">
        <f>ROUND(INDEX(가맹점!$P$2:$P$9,D1044)*INDEX(가맹점!$J$2:$M$9,D1044,E1044),0)</f>
        <v/>
      </c>
      <c r="J1044" s="2">
        <f>ROUND(I1044*(1-할인율),0)</f>
        <v/>
      </c>
      <c r="K1044" s="2">
        <f>ROUNDDOWN(I1044*할인율,0)</f>
        <v/>
      </c>
      <c r="L1044" s="2">
        <f>ROUND(I1044*INDEX(미지급률범위,E1044),0)</f>
        <v/>
      </c>
      <c r="M1044" s="2">
        <f>ROUND(I1044*INDEX(과지급률범위,E1044),0)</f>
        <v/>
      </c>
      <c r="N1044" s="2">
        <f>MAX(0,L1044-M1044)</f>
        <v/>
      </c>
      <c r="O1044" s="2">
        <f>K1044-N1044</f>
        <v/>
      </c>
      <c r="P1044" s="2">
        <f>I1044-N1044</f>
        <v/>
      </c>
      <c r="Q1044" s="5">
        <f>IF(G1044&gt;기준일,1,0)</f>
        <v/>
      </c>
      <c r="R1044" s="5">
        <f>IF(G1044&lt;=기준일,1,0)</f>
        <v/>
      </c>
      <c r="S1044" s="2">
        <f>J1044*H1044</f>
        <v/>
      </c>
      <c r="T1044" s="5">
        <f>IF(AND(F1044&gt;=표본시작,F1044&lt;=표본종료),1,0)</f>
        <v/>
      </c>
      <c r="U1044" s="5">
        <f>IF(AND(G1044&gt;=조회시작,G1044&lt;=조회종료),1,0)</f>
        <v/>
      </c>
    </row>
    <row r="1045">
      <c r="A1045" s="2">
        <f>ROW()-1</f>
        <v/>
      </c>
      <c r="B1045" s="5">
        <f>INDEX(상호범위,D1045)</f>
        <v/>
      </c>
      <c r="C1045" s="5">
        <f>INDEX(플랫폼명범위,E1045)</f>
        <v/>
      </c>
      <c r="D1045" s="2">
        <f>MOD(INT((A1045-1)/4),8)+1</f>
        <v/>
      </c>
      <c r="E1045" s="2">
        <f>MOD(A1045-1,4)+1</f>
        <v/>
      </c>
      <c r="F1045" s="20">
        <f>축시작+INT((A1045-1)/32)</f>
        <v/>
      </c>
      <c r="G1045" s="20">
        <f>F1045+H1045</f>
        <v/>
      </c>
      <c r="H1045" s="5" t="n">
        <v>5</v>
      </c>
      <c r="I1045" s="2">
        <f>ROUND(INDEX(가맹점!$P$2:$P$9,D1045)*INDEX(가맹점!$J$2:$M$9,D1045,E1045),0)</f>
        <v/>
      </c>
      <c r="J1045" s="2">
        <f>ROUND(I1045*(1-할인율),0)</f>
        <v/>
      </c>
      <c r="K1045" s="2">
        <f>ROUNDDOWN(I1045*할인율,0)</f>
        <v/>
      </c>
      <c r="L1045" s="2">
        <f>ROUND(I1045*INDEX(미지급률범위,E1045),0)</f>
        <v/>
      </c>
      <c r="M1045" s="2">
        <f>ROUND(I1045*INDEX(과지급률범위,E1045),0)</f>
        <v/>
      </c>
      <c r="N1045" s="2">
        <f>MAX(0,L1045-M1045)</f>
        <v/>
      </c>
      <c r="O1045" s="2">
        <f>K1045-N1045</f>
        <v/>
      </c>
      <c r="P1045" s="2">
        <f>I1045-N1045</f>
        <v/>
      </c>
      <c r="Q1045" s="5">
        <f>IF(G1045&gt;기준일,1,0)</f>
        <v/>
      </c>
      <c r="R1045" s="5">
        <f>IF(G1045&lt;=기준일,1,0)</f>
        <v/>
      </c>
      <c r="S1045" s="2">
        <f>J1045*H1045</f>
        <v/>
      </c>
      <c r="T1045" s="5">
        <f>IF(AND(F1045&gt;=표본시작,F1045&lt;=표본종료),1,0)</f>
        <v/>
      </c>
      <c r="U1045" s="5">
        <f>IF(AND(G1045&gt;=조회시작,G1045&lt;=조회종료),1,0)</f>
        <v/>
      </c>
    </row>
    <row r="1046">
      <c r="A1046" s="2">
        <f>ROW()-1</f>
        <v/>
      </c>
      <c r="B1046" s="5">
        <f>INDEX(상호범위,D1046)</f>
        <v/>
      </c>
      <c r="C1046" s="5">
        <f>INDEX(플랫폼명범위,E1046)</f>
        <v/>
      </c>
      <c r="D1046" s="2">
        <f>MOD(INT((A1046-1)/4),8)+1</f>
        <v/>
      </c>
      <c r="E1046" s="2">
        <f>MOD(A1046-1,4)+1</f>
        <v/>
      </c>
      <c r="F1046" s="20">
        <f>축시작+INT((A1046-1)/32)</f>
        <v/>
      </c>
      <c r="G1046" s="20">
        <f>F1046+H1046</f>
        <v/>
      </c>
      <c r="H1046" s="5" t="n">
        <v>3</v>
      </c>
      <c r="I1046" s="2">
        <f>ROUND(INDEX(가맹점!$P$2:$P$9,D1046)*INDEX(가맹점!$J$2:$M$9,D1046,E1046),0)</f>
        <v/>
      </c>
      <c r="J1046" s="2">
        <f>ROUND(I1046*(1-할인율),0)</f>
        <v/>
      </c>
      <c r="K1046" s="2">
        <f>ROUNDDOWN(I1046*할인율,0)</f>
        <v/>
      </c>
      <c r="L1046" s="2">
        <f>ROUND(I1046*INDEX(미지급률범위,E1046),0)</f>
        <v/>
      </c>
      <c r="M1046" s="2">
        <f>ROUND(I1046*INDEX(과지급률범위,E1046),0)</f>
        <v/>
      </c>
      <c r="N1046" s="2">
        <f>MAX(0,L1046-M1046)</f>
        <v/>
      </c>
      <c r="O1046" s="2">
        <f>K1046-N1046</f>
        <v/>
      </c>
      <c r="P1046" s="2">
        <f>I1046-N1046</f>
        <v/>
      </c>
      <c r="Q1046" s="5">
        <f>IF(G1046&gt;기준일,1,0)</f>
        <v/>
      </c>
      <c r="R1046" s="5">
        <f>IF(G1046&lt;=기준일,1,0)</f>
        <v/>
      </c>
      <c r="S1046" s="2">
        <f>J1046*H1046</f>
        <v/>
      </c>
      <c r="T1046" s="5">
        <f>IF(AND(F1046&gt;=표본시작,F1046&lt;=표본종료),1,0)</f>
        <v/>
      </c>
      <c r="U1046" s="5">
        <f>IF(AND(G1046&gt;=조회시작,G1046&lt;=조회종료),1,0)</f>
        <v/>
      </c>
    </row>
    <row r="1047">
      <c r="A1047" s="2">
        <f>ROW()-1</f>
        <v/>
      </c>
      <c r="B1047" s="5">
        <f>INDEX(상호범위,D1047)</f>
        <v/>
      </c>
      <c r="C1047" s="5">
        <f>INDEX(플랫폼명범위,E1047)</f>
        <v/>
      </c>
      <c r="D1047" s="2">
        <f>MOD(INT((A1047-1)/4),8)+1</f>
        <v/>
      </c>
      <c r="E1047" s="2">
        <f>MOD(A1047-1,4)+1</f>
        <v/>
      </c>
      <c r="F1047" s="20">
        <f>축시작+INT((A1047-1)/32)</f>
        <v/>
      </c>
      <c r="G1047" s="20">
        <f>F1047+H1047</f>
        <v/>
      </c>
      <c r="H1047" s="5" t="n">
        <v>3</v>
      </c>
      <c r="I1047" s="2">
        <f>ROUND(INDEX(가맹점!$P$2:$P$9,D1047)*INDEX(가맹점!$J$2:$M$9,D1047,E1047),0)</f>
        <v/>
      </c>
      <c r="J1047" s="2">
        <f>ROUND(I1047*(1-할인율),0)</f>
        <v/>
      </c>
      <c r="K1047" s="2">
        <f>ROUNDDOWN(I1047*할인율,0)</f>
        <v/>
      </c>
      <c r="L1047" s="2">
        <f>ROUND(I1047*INDEX(미지급률범위,E1047),0)</f>
        <v/>
      </c>
      <c r="M1047" s="2">
        <f>ROUND(I1047*INDEX(과지급률범위,E1047),0)</f>
        <v/>
      </c>
      <c r="N1047" s="2">
        <f>MAX(0,L1047-M1047)</f>
        <v/>
      </c>
      <c r="O1047" s="2">
        <f>K1047-N1047</f>
        <v/>
      </c>
      <c r="P1047" s="2">
        <f>I1047-N1047</f>
        <v/>
      </c>
      <c r="Q1047" s="5">
        <f>IF(G1047&gt;기준일,1,0)</f>
        <v/>
      </c>
      <c r="R1047" s="5">
        <f>IF(G1047&lt;=기준일,1,0)</f>
        <v/>
      </c>
      <c r="S1047" s="2">
        <f>J1047*H1047</f>
        <v/>
      </c>
      <c r="T1047" s="5">
        <f>IF(AND(F1047&gt;=표본시작,F1047&lt;=표본종료),1,0)</f>
        <v/>
      </c>
      <c r="U1047" s="5">
        <f>IF(AND(G1047&gt;=조회시작,G1047&lt;=조회종료),1,0)</f>
        <v/>
      </c>
    </row>
    <row r="1048">
      <c r="A1048" s="2">
        <f>ROW()-1</f>
        <v/>
      </c>
      <c r="B1048" s="5">
        <f>INDEX(상호범위,D1048)</f>
        <v/>
      </c>
      <c r="C1048" s="5">
        <f>INDEX(플랫폼명범위,E1048)</f>
        <v/>
      </c>
      <c r="D1048" s="2">
        <f>MOD(INT((A1048-1)/4),8)+1</f>
        <v/>
      </c>
      <c r="E1048" s="2">
        <f>MOD(A1048-1,4)+1</f>
        <v/>
      </c>
      <c r="F1048" s="20">
        <f>축시작+INT((A1048-1)/32)</f>
        <v/>
      </c>
      <c r="G1048" s="20">
        <f>F1048+H1048</f>
        <v/>
      </c>
      <c r="H1048" s="5" t="n">
        <v>7</v>
      </c>
      <c r="I1048" s="2">
        <f>ROUND(INDEX(가맹점!$P$2:$P$9,D1048)*INDEX(가맹점!$J$2:$M$9,D1048,E1048),0)</f>
        <v/>
      </c>
      <c r="J1048" s="2">
        <f>ROUND(I1048*(1-할인율),0)</f>
        <v/>
      </c>
      <c r="K1048" s="2">
        <f>ROUNDDOWN(I1048*할인율,0)</f>
        <v/>
      </c>
      <c r="L1048" s="2">
        <f>ROUND(I1048*INDEX(미지급률범위,E1048),0)</f>
        <v/>
      </c>
      <c r="M1048" s="2">
        <f>ROUND(I1048*INDEX(과지급률범위,E1048),0)</f>
        <v/>
      </c>
      <c r="N1048" s="2">
        <f>MAX(0,L1048-M1048)</f>
        <v/>
      </c>
      <c r="O1048" s="2">
        <f>K1048-N1048</f>
        <v/>
      </c>
      <c r="P1048" s="2">
        <f>I1048-N1048</f>
        <v/>
      </c>
      <c r="Q1048" s="5">
        <f>IF(G1048&gt;기준일,1,0)</f>
        <v/>
      </c>
      <c r="R1048" s="5">
        <f>IF(G1048&lt;=기준일,1,0)</f>
        <v/>
      </c>
      <c r="S1048" s="2">
        <f>J1048*H1048</f>
        <v/>
      </c>
      <c r="T1048" s="5">
        <f>IF(AND(F1048&gt;=표본시작,F1048&lt;=표본종료),1,0)</f>
        <v/>
      </c>
      <c r="U1048" s="5">
        <f>IF(AND(G1048&gt;=조회시작,G1048&lt;=조회종료),1,0)</f>
        <v/>
      </c>
    </row>
    <row r="1049">
      <c r="A1049" s="2">
        <f>ROW()-1</f>
        <v/>
      </c>
      <c r="B1049" s="5">
        <f>INDEX(상호범위,D1049)</f>
        <v/>
      </c>
      <c r="C1049" s="5">
        <f>INDEX(플랫폼명범위,E1049)</f>
        <v/>
      </c>
      <c r="D1049" s="2">
        <f>MOD(INT((A1049-1)/4),8)+1</f>
        <v/>
      </c>
      <c r="E1049" s="2">
        <f>MOD(A1049-1,4)+1</f>
        <v/>
      </c>
      <c r="F1049" s="20">
        <f>축시작+INT((A1049-1)/32)</f>
        <v/>
      </c>
      <c r="G1049" s="20">
        <f>F1049+H1049</f>
        <v/>
      </c>
      <c r="H1049" s="5" t="n">
        <v>7</v>
      </c>
      <c r="I1049" s="2">
        <f>ROUND(INDEX(가맹점!$P$2:$P$9,D1049)*INDEX(가맹점!$J$2:$M$9,D1049,E1049),0)</f>
        <v/>
      </c>
      <c r="J1049" s="2">
        <f>ROUND(I1049*(1-할인율),0)</f>
        <v/>
      </c>
      <c r="K1049" s="2">
        <f>ROUNDDOWN(I1049*할인율,0)</f>
        <v/>
      </c>
      <c r="L1049" s="2">
        <f>ROUND(I1049*INDEX(미지급률범위,E1049),0)</f>
        <v/>
      </c>
      <c r="M1049" s="2">
        <f>ROUND(I1049*INDEX(과지급률범위,E1049),0)</f>
        <v/>
      </c>
      <c r="N1049" s="2">
        <f>MAX(0,L1049-M1049)</f>
        <v/>
      </c>
      <c r="O1049" s="2">
        <f>K1049-N1049</f>
        <v/>
      </c>
      <c r="P1049" s="2">
        <f>I1049-N1049</f>
        <v/>
      </c>
      <c r="Q1049" s="5">
        <f>IF(G1049&gt;기준일,1,0)</f>
        <v/>
      </c>
      <c r="R1049" s="5">
        <f>IF(G1049&lt;=기준일,1,0)</f>
        <v/>
      </c>
      <c r="S1049" s="2">
        <f>J1049*H1049</f>
        <v/>
      </c>
      <c r="T1049" s="5">
        <f>IF(AND(F1049&gt;=표본시작,F1049&lt;=표본종료),1,0)</f>
        <v/>
      </c>
      <c r="U1049" s="5">
        <f>IF(AND(G1049&gt;=조회시작,G1049&lt;=조회종료),1,0)</f>
        <v/>
      </c>
    </row>
    <row r="1050">
      <c r="A1050" s="2">
        <f>ROW()-1</f>
        <v/>
      </c>
      <c r="B1050" s="5">
        <f>INDEX(상호범위,D1050)</f>
        <v/>
      </c>
      <c r="C1050" s="5">
        <f>INDEX(플랫폼명범위,E1050)</f>
        <v/>
      </c>
      <c r="D1050" s="2">
        <f>MOD(INT((A1050-1)/4),8)+1</f>
        <v/>
      </c>
      <c r="E1050" s="2">
        <f>MOD(A1050-1,4)+1</f>
        <v/>
      </c>
      <c r="F1050" s="20">
        <f>축시작+INT((A1050-1)/32)</f>
        <v/>
      </c>
      <c r="G1050" s="20">
        <f>F1050+H1050</f>
        <v/>
      </c>
      <c r="H1050" s="5" t="n">
        <v>1</v>
      </c>
      <c r="I1050" s="2">
        <f>ROUND(INDEX(가맹점!$P$2:$P$9,D1050)*INDEX(가맹점!$J$2:$M$9,D1050,E1050),0)</f>
        <v/>
      </c>
      <c r="J1050" s="2">
        <f>ROUND(I1050*(1-할인율),0)</f>
        <v/>
      </c>
      <c r="K1050" s="2">
        <f>ROUNDDOWN(I1050*할인율,0)</f>
        <v/>
      </c>
      <c r="L1050" s="2">
        <f>ROUND(I1050*INDEX(미지급률범위,E1050),0)</f>
        <v/>
      </c>
      <c r="M1050" s="2">
        <f>ROUND(I1050*INDEX(과지급률범위,E1050),0)</f>
        <v/>
      </c>
      <c r="N1050" s="2">
        <f>MAX(0,L1050-M1050)</f>
        <v/>
      </c>
      <c r="O1050" s="2">
        <f>K1050-N1050</f>
        <v/>
      </c>
      <c r="P1050" s="2">
        <f>I1050-N1050</f>
        <v/>
      </c>
      <c r="Q1050" s="5">
        <f>IF(G1050&gt;기준일,1,0)</f>
        <v/>
      </c>
      <c r="R1050" s="5">
        <f>IF(G1050&lt;=기준일,1,0)</f>
        <v/>
      </c>
      <c r="S1050" s="2">
        <f>J1050*H1050</f>
        <v/>
      </c>
      <c r="T1050" s="5">
        <f>IF(AND(F1050&gt;=표본시작,F1050&lt;=표본종료),1,0)</f>
        <v/>
      </c>
      <c r="U1050" s="5">
        <f>IF(AND(G1050&gt;=조회시작,G1050&lt;=조회종료),1,0)</f>
        <v/>
      </c>
    </row>
    <row r="1051">
      <c r="A1051" s="2">
        <f>ROW()-1</f>
        <v/>
      </c>
      <c r="B1051" s="5">
        <f>INDEX(상호범위,D1051)</f>
        <v/>
      </c>
      <c r="C1051" s="5">
        <f>INDEX(플랫폼명범위,E1051)</f>
        <v/>
      </c>
      <c r="D1051" s="2">
        <f>MOD(INT((A1051-1)/4),8)+1</f>
        <v/>
      </c>
      <c r="E1051" s="2">
        <f>MOD(A1051-1,4)+1</f>
        <v/>
      </c>
      <c r="F1051" s="20">
        <f>축시작+INT((A1051-1)/32)</f>
        <v/>
      </c>
      <c r="G1051" s="20">
        <f>F1051+H1051</f>
        <v/>
      </c>
      <c r="H1051" s="5" t="n">
        <v>4</v>
      </c>
      <c r="I1051" s="2">
        <f>ROUND(INDEX(가맹점!$P$2:$P$9,D1051)*INDEX(가맹점!$J$2:$M$9,D1051,E1051),0)</f>
        <v/>
      </c>
      <c r="J1051" s="2">
        <f>ROUND(I1051*(1-할인율),0)</f>
        <v/>
      </c>
      <c r="K1051" s="2">
        <f>ROUNDDOWN(I1051*할인율,0)</f>
        <v/>
      </c>
      <c r="L1051" s="2">
        <f>ROUND(I1051*INDEX(미지급률범위,E1051),0)</f>
        <v/>
      </c>
      <c r="M1051" s="2">
        <f>ROUND(I1051*INDEX(과지급률범위,E1051),0)</f>
        <v/>
      </c>
      <c r="N1051" s="2">
        <f>MAX(0,L1051-M1051)</f>
        <v/>
      </c>
      <c r="O1051" s="2">
        <f>K1051-N1051</f>
        <v/>
      </c>
      <c r="P1051" s="2">
        <f>I1051-N1051</f>
        <v/>
      </c>
      <c r="Q1051" s="5">
        <f>IF(G1051&gt;기준일,1,0)</f>
        <v/>
      </c>
      <c r="R1051" s="5">
        <f>IF(G1051&lt;=기준일,1,0)</f>
        <v/>
      </c>
      <c r="S1051" s="2">
        <f>J1051*H1051</f>
        <v/>
      </c>
      <c r="T1051" s="5">
        <f>IF(AND(F1051&gt;=표본시작,F1051&lt;=표본종료),1,0)</f>
        <v/>
      </c>
      <c r="U1051" s="5">
        <f>IF(AND(G1051&gt;=조회시작,G1051&lt;=조회종료),1,0)</f>
        <v/>
      </c>
    </row>
    <row r="1052">
      <c r="A1052" s="2">
        <f>ROW()-1</f>
        <v/>
      </c>
      <c r="B1052" s="5">
        <f>INDEX(상호범위,D1052)</f>
        <v/>
      </c>
      <c r="C1052" s="5">
        <f>INDEX(플랫폼명범위,E1052)</f>
        <v/>
      </c>
      <c r="D1052" s="2">
        <f>MOD(INT((A1052-1)/4),8)+1</f>
        <v/>
      </c>
      <c r="E1052" s="2">
        <f>MOD(A1052-1,4)+1</f>
        <v/>
      </c>
      <c r="F1052" s="20">
        <f>축시작+INT((A1052-1)/32)</f>
        <v/>
      </c>
      <c r="G1052" s="20">
        <f>F1052+H1052</f>
        <v/>
      </c>
      <c r="H1052" s="5" t="n">
        <v>5</v>
      </c>
      <c r="I1052" s="2">
        <f>ROUND(INDEX(가맹점!$P$2:$P$9,D1052)*INDEX(가맹점!$J$2:$M$9,D1052,E1052),0)</f>
        <v/>
      </c>
      <c r="J1052" s="2">
        <f>ROUND(I1052*(1-할인율),0)</f>
        <v/>
      </c>
      <c r="K1052" s="2">
        <f>ROUNDDOWN(I1052*할인율,0)</f>
        <v/>
      </c>
      <c r="L1052" s="2">
        <f>ROUND(I1052*INDEX(미지급률범위,E1052),0)</f>
        <v/>
      </c>
      <c r="M1052" s="2">
        <f>ROUND(I1052*INDEX(과지급률범위,E1052),0)</f>
        <v/>
      </c>
      <c r="N1052" s="2">
        <f>MAX(0,L1052-M1052)</f>
        <v/>
      </c>
      <c r="O1052" s="2">
        <f>K1052-N1052</f>
        <v/>
      </c>
      <c r="P1052" s="2">
        <f>I1052-N1052</f>
        <v/>
      </c>
      <c r="Q1052" s="5">
        <f>IF(G1052&gt;기준일,1,0)</f>
        <v/>
      </c>
      <c r="R1052" s="5">
        <f>IF(G1052&lt;=기준일,1,0)</f>
        <v/>
      </c>
      <c r="S1052" s="2">
        <f>J1052*H1052</f>
        <v/>
      </c>
      <c r="T1052" s="5">
        <f>IF(AND(F1052&gt;=표본시작,F1052&lt;=표본종료),1,0)</f>
        <v/>
      </c>
      <c r="U1052" s="5">
        <f>IF(AND(G1052&gt;=조회시작,G1052&lt;=조회종료),1,0)</f>
        <v/>
      </c>
    </row>
    <row r="1053">
      <c r="A1053" s="2">
        <f>ROW()-1</f>
        <v/>
      </c>
      <c r="B1053" s="5">
        <f>INDEX(상호범위,D1053)</f>
        <v/>
      </c>
      <c r="C1053" s="5">
        <f>INDEX(플랫폼명범위,E1053)</f>
        <v/>
      </c>
      <c r="D1053" s="2">
        <f>MOD(INT((A1053-1)/4),8)+1</f>
        <v/>
      </c>
      <c r="E1053" s="2">
        <f>MOD(A1053-1,4)+1</f>
        <v/>
      </c>
      <c r="F1053" s="20">
        <f>축시작+INT((A1053-1)/32)</f>
        <v/>
      </c>
      <c r="G1053" s="20">
        <f>F1053+H1053</f>
        <v/>
      </c>
      <c r="H1053" s="5" t="n">
        <v>5</v>
      </c>
      <c r="I1053" s="2">
        <f>ROUND(INDEX(가맹점!$P$2:$P$9,D1053)*INDEX(가맹점!$J$2:$M$9,D1053,E1053),0)</f>
        <v/>
      </c>
      <c r="J1053" s="2">
        <f>ROUND(I1053*(1-할인율),0)</f>
        <v/>
      </c>
      <c r="K1053" s="2">
        <f>ROUNDDOWN(I1053*할인율,0)</f>
        <v/>
      </c>
      <c r="L1053" s="2">
        <f>ROUND(I1053*INDEX(미지급률범위,E1053),0)</f>
        <v/>
      </c>
      <c r="M1053" s="2">
        <f>ROUND(I1053*INDEX(과지급률범위,E1053),0)</f>
        <v/>
      </c>
      <c r="N1053" s="2">
        <f>MAX(0,L1053-M1053)</f>
        <v/>
      </c>
      <c r="O1053" s="2">
        <f>K1053-N1053</f>
        <v/>
      </c>
      <c r="P1053" s="2">
        <f>I1053-N1053</f>
        <v/>
      </c>
      <c r="Q1053" s="5">
        <f>IF(G1053&gt;기준일,1,0)</f>
        <v/>
      </c>
      <c r="R1053" s="5">
        <f>IF(G1053&lt;=기준일,1,0)</f>
        <v/>
      </c>
      <c r="S1053" s="2">
        <f>J1053*H1053</f>
        <v/>
      </c>
      <c r="T1053" s="5">
        <f>IF(AND(F1053&gt;=표본시작,F1053&lt;=표본종료),1,0)</f>
        <v/>
      </c>
      <c r="U1053" s="5">
        <f>IF(AND(G1053&gt;=조회시작,G1053&lt;=조회종료),1,0)</f>
        <v/>
      </c>
    </row>
    <row r="1054">
      <c r="A1054" s="2">
        <f>ROW()-1</f>
        <v/>
      </c>
      <c r="B1054" s="5">
        <f>INDEX(상호범위,D1054)</f>
        <v/>
      </c>
      <c r="C1054" s="5">
        <f>INDEX(플랫폼명범위,E1054)</f>
        <v/>
      </c>
      <c r="D1054" s="2">
        <f>MOD(INT((A1054-1)/4),8)+1</f>
        <v/>
      </c>
      <c r="E1054" s="2">
        <f>MOD(A1054-1,4)+1</f>
        <v/>
      </c>
      <c r="F1054" s="20">
        <f>축시작+INT((A1054-1)/32)</f>
        <v/>
      </c>
      <c r="G1054" s="20">
        <f>F1054+H1054</f>
        <v/>
      </c>
      <c r="H1054" s="5" t="n">
        <v>3</v>
      </c>
      <c r="I1054" s="2">
        <f>ROUND(INDEX(가맹점!$P$2:$P$9,D1054)*INDEX(가맹점!$J$2:$M$9,D1054,E1054),0)</f>
        <v/>
      </c>
      <c r="J1054" s="2">
        <f>ROUND(I1054*(1-할인율),0)</f>
        <v/>
      </c>
      <c r="K1054" s="2">
        <f>ROUNDDOWN(I1054*할인율,0)</f>
        <v/>
      </c>
      <c r="L1054" s="2">
        <f>ROUND(I1054*INDEX(미지급률범위,E1054),0)</f>
        <v/>
      </c>
      <c r="M1054" s="2">
        <f>ROUND(I1054*INDEX(과지급률범위,E1054),0)</f>
        <v/>
      </c>
      <c r="N1054" s="2">
        <f>MAX(0,L1054-M1054)</f>
        <v/>
      </c>
      <c r="O1054" s="2">
        <f>K1054-N1054</f>
        <v/>
      </c>
      <c r="P1054" s="2">
        <f>I1054-N1054</f>
        <v/>
      </c>
      <c r="Q1054" s="5">
        <f>IF(G1054&gt;기준일,1,0)</f>
        <v/>
      </c>
      <c r="R1054" s="5">
        <f>IF(G1054&lt;=기준일,1,0)</f>
        <v/>
      </c>
      <c r="S1054" s="2">
        <f>J1054*H1054</f>
        <v/>
      </c>
      <c r="T1054" s="5">
        <f>IF(AND(F1054&gt;=표본시작,F1054&lt;=표본종료),1,0)</f>
        <v/>
      </c>
      <c r="U1054" s="5">
        <f>IF(AND(G1054&gt;=조회시작,G1054&lt;=조회종료),1,0)</f>
        <v/>
      </c>
    </row>
    <row r="1055">
      <c r="A1055" s="2">
        <f>ROW()-1</f>
        <v/>
      </c>
      <c r="B1055" s="5">
        <f>INDEX(상호범위,D1055)</f>
        <v/>
      </c>
      <c r="C1055" s="5">
        <f>INDEX(플랫폼명범위,E1055)</f>
        <v/>
      </c>
      <c r="D1055" s="2">
        <f>MOD(INT((A1055-1)/4),8)+1</f>
        <v/>
      </c>
      <c r="E1055" s="2">
        <f>MOD(A1055-1,4)+1</f>
        <v/>
      </c>
      <c r="F1055" s="20">
        <f>축시작+INT((A1055-1)/32)</f>
        <v/>
      </c>
      <c r="G1055" s="20">
        <f>F1055+H1055</f>
        <v/>
      </c>
      <c r="H1055" s="5" t="n">
        <v>3</v>
      </c>
      <c r="I1055" s="2">
        <f>ROUND(INDEX(가맹점!$P$2:$P$9,D1055)*INDEX(가맹점!$J$2:$M$9,D1055,E1055),0)</f>
        <v/>
      </c>
      <c r="J1055" s="2">
        <f>ROUND(I1055*(1-할인율),0)</f>
        <v/>
      </c>
      <c r="K1055" s="2">
        <f>ROUNDDOWN(I1055*할인율,0)</f>
        <v/>
      </c>
      <c r="L1055" s="2">
        <f>ROUND(I1055*INDEX(미지급률범위,E1055),0)</f>
        <v/>
      </c>
      <c r="M1055" s="2">
        <f>ROUND(I1055*INDEX(과지급률범위,E1055),0)</f>
        <v/>
      </c>
      <c r="N1055" s="2">
        <f>MAX(0,L1055-M1055)</f>
        <v/>
      </c>
      <c r="O1055" s="2">
        <f>K1055-N1055</f>
        <v/>
      </c>
      <c r="P1055" s="2">
        <f>I1055-N1055</f>
        <v/>
      </c>
      <c r="Q1055" s="5">
        <f>IF(G1055&gt;기준일,1,0)</f>
        <v/>
      </c>
      <c r="R1055" s="5">
        <f>IF(G1055&lt;=기준일,1,0)</f>
        <v/>
      </c>
      <c r="S1055" s="2">
        <f>J1055*H1055</f>
        <v/>
      </c>
      <c r="T1055" s="5">
        <f>IF(AND(F1055&gt;=표본시작,F1055&lt;=표본종료),1,0)</f>
        <v/>
      </c>
      <c r="U1055" s="5">
        <f>IF(AND(G1055&gt;=조회시작,G1055&lt;=조회종료),1,0)</f>
        <v/>
      </c>
    </row>
    <row r="1056">
      <c r="A1056" s="2">
        <f>ROW()-1</f>
        <v/>
      </c>
      <c r="B1056" s="5">
        <f>INDEX(상호범위,D1056)</f>
        <v/>
      </c>
      <c r="C1056" s="5">
        <f>INDEX(플랫폼명범위,E1056)</f>
        <v/>
      </c>
      <c r="D1056" s="2">
        <f>MOD(INT((A1056-1)/4),8)+1</f>
        <v/>
      </c>
      <c r="E1056" s="2">
        <f>MOD(A1056-1,4)+1</f>
        <v/>
      </c>
      <c r="F1056" s="20">
        <f>축시작+INT((A1056-1)/32)</f>
        <v/>
      </c>
      <c r="G1056" s="20">
        <f>F1056+H1056</f>
        <v/>
      </c>
      <c r="H1056" s="5" t="n">
        <v>5</v>
      </c>
      <c r="I1056" s="2">
        <f>ROUND(INDEX(가맹점!$P$2:$P$9,D1056)*INDEX(가맹점!$J$2:$M$9,D1056,E1056),0)</f>
        <v/>
      </c>
      <c r="J1056" s="2">
        <f>ROUND(I1056*(1-할인율),0)</f>
        <v/>
      </c>
      <c r="K1056" s="2">
        <f>ROUNDDOWN(I1056*할인율,0)</f>
        <v/>
      </c>
      <c r="L1056" s="2">
        <f>ROUND(I1056*INDEX(미지급률범위,E1056),0)</f>
        <v/>
      </c>
      <c r="M1056" s="2">
        <f>ROUND(I1056*INDEX(과지급률범위,E1056),0)</f>
        <v/>
      </c>
      <c r="N1056" s="2">
        <f>MAX(0,L1056-M1056)</f>
        <v/>
      </c>
      <c r="O1056" s="2">
        <f>K1056-N1056</f>
        <v/>
      </c>
      <c r="P1056" s="2">
        <f>I1056-N1056</f>
        <v/>
      </c>
      <c r="Q1056" s="5">
        <f>IF(G1056&gt;기준일,1,0)</f>
        <v/>
      </c>
      <c r="R1056" s="5">
        <f>IF(G1056&lt;=기준일,1,0)</f>
        <v/>
      </c>
      <c r="S1056" s="2">
        <f>J1056*H1056</f>
        <v/>
      </c>
      <c r="T1056" s="5">
        <f>IF(AND(F1056&gt;=표본시작,F1056&lt;=표본종료),1,0)</f>
        <v/>
      </c>
      <c r="U1056" s="5">
        <f>IF(AND(G1056&gt;=조회시작,G1056&lt;=조회종료),1,0)</f>
        <v/>
      </c>
    </row>
    <row r="1057">
      <c r="A1057" s="2">
        <f>ROW()-1</f>
        <v/>
      </c>
      <c r="B1057" s="5">
        <f>INDEX(상호범위,D1057)</f>
        <v/>
      </c>
      <c r="C1057" s="5">
        <f>INDEX(플랫폼명범위,E1057)</f>
        <v/>
      </c>
      <c r="D1057" s="2">
        <f>MOD(INT((A1057-1)/4),8)+1</f>
        <v/>
      </c>
      <c r="E1057" s="2">
        <f>MOD(A1057-1,4)+1</f>
        <v/>
      </c>
      <c r="F1057" s="20">
        <f>축시작+INT((A1057-1)/32)</f>
        <v/>
      </c>
      <c r="G1057" s="20">
        <f>F1057+H1057</f>
        <v/>
      </c>
      <c r="H1057" s="5" t="n">
        <v>9</v>
      </c>
      <c r="I1057" s="2">
        <f>ROUND(INDEX(가맹점!$P$2:$P$9,D1057)*INDEX(가맹점!$J$2:$M$9,D1057,E1057),0)</f>
        <v/>
      </c>
      <c r="J1057" s="2">
        <f>ROUND(I1057*(1-할인율),0)</f>
        <v/>
      </c>
      <c r="K1057" s="2">
        <f>ROUNDDOWN(I1057*할인율,0)</f>
        <v/>
      </c>
      <c r="L1057" s="2">
        <f>ROUND(I1057*INDEX(미지급률범위,E1057),0)</f>
        <v/>
      </c>
      <c r="M1057" s="2">
        <f>ROUND(I1057*INDEX(과지급률범위,E1057),0)</f>
        <v/>
      </c>
      <c r="N1057" s="2">
        <f>MAX(0,L1057-M1057)</f>
        <v/>
      </c>
      <c r="O1057" s="2">
        <f>K1057-N1057</f>
        <v/>
      </c>
      <c r="P1057" s="2">
        <f>I1057-N1057</f>
        <v/>
      </c>
      <c r="Q1057" s="5">
        <f>IF(G1057&gt;기준일,1,0)</f>
        <v/>
      </c>
      <c r="R1057" s="5">
        <f>IF(G1057&lt;=기준일,1,0)</f>
        <v/>
      </c>
      <c r="S1057" s="2">
        <f>J1057*H1057</f>
        <v/>
      </c>
      <c r="T1057" s="5">
        <f>IF(AND(F1057&gt;=표본시작,F1057&lt;=표본종료),1,0)</f>
        <v/>
      </c>
      <c r="U1057" s="5">
        <f>IF(AND(G1057&gt;=조회시작,G1057&lt;=조회종료),1,0)</f>
        <v/>
      </c>
    </row>
    <row r="1058">
      <c r="A1058" s="2">
        <f>ROW()-1</f>
        <v/>
      </c>
      <c r="B1058" s="5">
        <f>INDEX(상호범위,D1058)</f>
        <v/>
      </c>
      <c r="C1058" s="5">
        <f>INDEX(플랫폼명범위,E1058)</f>
        <v/>
      </c>
      <c r="D1058" s="2">
        <f>MOD(INT((A1058-1)/4),8)+1</f>
        <v/>
      </c>
      <c r="E1058" s="2">
        <f>MOD(A1058-1,4)+1</f>
        <v/>
      </c>
      <c r="F1058" s="20">
        <f>축시작+INT((A1058-1)/32)</f>
        <v/>
      </c>
      <c r="G1058" s="20">
        <f>F1058+H1058</f>
        <v/>
      </c>
      <c r="H1058" s="5" t="n">
        <v>2</v>
      </c>
      <c r="I1058" s="2">
        <f>ROUND(INDEX(가맹점!$P$2:$P$9,D1058)*INDEX(가맹점!$J$2:$M$9,D1058,E1058),0)</f>
        <v/>
      </c>
      <c r="J1058" s="2">
        <f>ROUND(I1058*(1-할인율),0)</f>
        <v/>
      </c>
      <c r="K1058" s="2">
        <f>ROUNDDOWN(I1058*할인율,0)</f>
        <v/>
      </c>
      <c r="L1058" s="2">
        <f>ROUND(I1058*INDEX(미지급률범위,E1058),0)</f>
        <v/>
      </c>
      <c r="M1058" s="2">
        <f>ROUND(I1058*INDEX(과지급률범위,E1058),0)</f>
        <v/>
      </c>
      <c r="N1058" s="2">
        <f>MAX(0,L1058-M1058)</f>
        <v/>
      </c>
      <c r="O1058" s="2">
        <f>K1058-N1058</f>
        <v/>
      </c>
      <c r="P1058" s="2">
        <f>I1058-N1058</f>
        <v/>
      </c>
      <c r="Q1058" s="5">
        <f>IF(G1058&gt;기준일,1,0)</f>
        <v/>
      </c>
      <c r="R1058" s="5">
        <f>IF(G1058&lt;=기준일,1,0)</f>
        <v/>
      </c>
      <c r="S1058" s="2">
        <f>J1058*H1058</f>
        <v/>
      </c>
      <c r="T1058" s="5">
        <f>IF(AND(F1058&gt;=표본시작,F1058&lt;=표본종료),1,0)</f>
        <v/>
      </c>
      <c r="U1058" s="5">
        <f>IF(AND(G1058&gt;=조회시작,G1058&lt;=조회종료),1,0)</f>
        <v/>
      </c>
    </row>
    <row r="1059">
      <c r="A1059" s="2">
        <f>ROW()-1</f>
        <v/>
      </c>
      <c r="B1059" s="5">
        <f>INDEX(상호범위,D1059)</f>
        <v/>
      </c>
      <c r="C1059" s="5">
        <f>INDEX(플랫폼명범위,E1059)</f>
        <v/>
      </c>
      <c r="D1059" s="2">
        <f>MOD(INT((A1059-1)/4),8)+1</f>
        <v/>
      </c>
      <c r="E1059" s="2">
        <f>MOD(A1059-1,4)+1</f>
        <v/>
      </c>
      <c r="F1059" s="20">
        <f>축시작+INT((A1059-1)/32)</f>
        <v/>
      </c>
      <c r="G1059" s="20">
        <f>F1059+H1059</f>
        <v/>
      </c>
      <c r="H1059" s="5" t="n">
        <v>3</v>
      </c>
      <c r="I1059" s="2">
        <f>ROUND(INDEX(가맹점!$P$2:$P$9,D1059)*INDEX(가맹점!$J$2:$M$9,D1059,E1059),0)</f>
        <v/>
      </c>
      <c r="J1059" s="2">
        <f>ROUND(I1059*(1-할인율),0)</f>
        <v/>
      </c>
      <c r="K1059" s="2">
        <f>ROUNDDOWN(I1059*할인율,0)</f>
        <v/>
      </c>
      <c r="L1059" s="2">
        <f>ROUND(I1059*INDEX(미지급률범위,E1059),0)</f>
        <v/>
      </c>
      <c r="M1059" s="2">
        <f>ROUND(I1059*INDEX(과지급률범위,E1059),0)</f>
        <v/>
      </c>
      <c r="N1059" s="2">
        <f>MAX(0,L1059-M1059)</f>
        <v/>
      </c>
      <c r="O1059" s="2">
        <f>K1059-N1059</f>
        <v/>
      </c>
      <c r="P1059" s="2">
        <f>I1059-N1059</f>
        <v/>
      </c>
      <c r="Q1059" s="5">
        <f>IF(G1059&gt;기준일,1,0)</f>
        <v/>
      </c>
      <c r="R1059" s="5">
        <f>IF(G1059&lt;=기준일,1,0)</f>
        <v/>
      </c>
      <c r="S1059" s="2">
        <f>J1059*H1059</f>
        <v/>
      </c>
      <c r="T1059" s="5">
        <f>IF(AND(F1059&gt;=표본시작,F1059&lt;=표본종료),1,0)</f>
        <v/>
      </c>
      <c r="U1059" s="5">
        <f>IF(AND(G1059&gt;=조회시작,G1059&lt;=조회종료),1,0)</f>
        <v/>
      </c>
    </row>
    <row r="1060">
      <c r="A1060" s="2">
        <f>ROW()-1</f>
        <v/>
      </c>
      <c r="B1060" s="5">
        <f>INDEX(상호범위,D1060)</f>
        <v/>
      </c>
      <c r="C1060" s="5">
        <f>INDEX(플랫폼명범위,E1060)</f>
        <v/>
      </c>
      <c r="D1060" s="2">
        <f>MOD(INT((A1060-1)/4),8)+1</f>
        <v/>
      </c>
      <c r="E1060" s="2">
        <f>MOD(A1060-1,4)+1</f>
        <v/>
      </c>
      <c r="F1060" s="20">
        <f>축시작+INT((A1060-1)/32)</f>
        <v/>
      </c>
      <c r="G1060" s="20">
        <f>F1060+H1060</f>
        <v/>
      </c>
      <c r="H1060" s="5" t="n">
        <v>5</v>
      </c>
      <c r="I1060" s="2">
        <f>ROUND(INDEX(가맹점!$P$2:$P$9,D1060)*INDEX(가맹점!$J$2:$M$9,D1060,E1060),0)</f>
        <v/>
      </c>
      <c r="J1060" s="2">
        <f>ROUND(I1060*(1-할인율),0)</f>
        <v/>
      </c>
      <c r="K1060" s="2">
        <f>ROUNDDOWN(I1060*할인율,0)</f>
        <v/>
      </c>
      <c r="L1060" s="2">
        <f>ROUND(I1060*INDEX(미지급률범위,E1060),0)</f>
        <v/>
      </c>
      <c r="M1060" s="2">
        <f>ROUND(I1060*INDEX(과지급률범위,E1060),0)</f>
        <v/>
      </c>
      <c r="N1060" s="2">
        <f>MAX(0,L1060-M1060)</f>
        <v/>
      </c>
      <c r="O1060" s="2">
        <f>K1060-N1060</f>
        <v/>
      </c>
      <c r="P1060" s="2">
        <f>I1060-N1060</f>
        <v/>
      </c>
      <c r="Q1060" s="5">
        <f>IF(G1060&gt;기준일,1,0)</f>
        <v/>
      </c>
      <c r="R1060" s="5">
        <f>IF(G1060&lt;=기준일,1,0)</f>
        <v/>
      </c>
      <c r="S1060" s="2">
        <f>J1060*H1060</f>
        <v/>
      </c>
      <c r="T1060" s="5">
        <f>IF(AND(F1060&gt;=표본시작,F1060&lt;=표본종료),1,0)</f>
        <v/>
      </c>
      <c r="U1060" s="5">
        <f>IF(AND(G1060&gt;=조회시작,G1060&lt;=조회종료),1,0)</f>
        <v/>
      </c>
    </row>
    <row r="1061">
      <c r="A1061" s="2">
        <f>ROW()-1</f>
        <v/>
      </c>
      <c r="B1061" s="5">
        <f>INDEX(상호범위,D1061)</f>
        <v/>
      </c>
      <c r="C1061" s="5">
        <f>INDEX(플랫폼명범위,E1061)</f>
        <v/>
      </c>
      <c r="D1061" s="2">
        <f>MOD(INT((A1061-1)/4),8)+1</f>
        <v/>
      </c>
      <c r="E1061" s="2">
        <f>MOD(A1061-1,4)+1</f>
        <v/>
      </c>
      <c r="F1061" s="20">
        <f>축시작+INT((A1061-1)/32)</f>
        <v/>
      </c>
      <c r="G1061" s="20">
        <f>F1061+H1061</f>
        <v/>
      </c>
      <c r="H1061" s="5" t="n">
        <v>11</v>
      </c>
      <c r="I1061" s="2">
        <f>ROUND(INDEX(가맹점!$P$2:$P$9,D1061)*INDEX(가맹점!$J$2:$M$9,D1061,E1061),0)</f>
        <v/>
      </c>
      <c r="J1061" s="2">
        <f>ROUND(I1061*(1-할인율),0)</f>
        <v/>
      </c>
      <c r="K1061" s="2">
        <f>ROUNDDOWN(I1061*할인율,0)</f>
        <v/>
      </c>
      <c r="L1061" s="2">
        <f>ROUND(I1061*INDEX(미지급률범위,E1061),0)</f>
        <v/>
      </c>
      <c r="M1061" s="2">
        <f>ROUND(I1061*INDEX(과지급률범위,E1061),0)</f>
        <v/>
      </c>
      <c r="N1061" s="2">
        <f>MAX(0,L1061-M1061)</f>
        <v/>
      </c>
      <c r="O1061" s="2">
        <f>K1061-N1061</f>
        <v/>
      </c>
      <c r="P1061" s="2">
        <f>I1061-N1061</f>
        <v/>
      </c>
      <c r="Q1061" s="5">
        <f>IF(G1061&gt;기준일,1,0)</f>
        <v/>
      </c>
      <c r="R1061" s="5">
        <f>IF(G1061&lt;=기준일,1,0)</f>
        <v/>
      </c>
      <c r="S1061" s="2">
        <f>J1061*H1061</f>
        <v/>
      </c>
      <c r="T1061" s="5">
        <f>IF(AND(F1061&gt;=표본시작,F1061&lt;=표본종료),1,0)</f>
        <v/>
      </c>
      <c r="U1061" s="5">
        <f>IF(AND(G1061&gt;=조회시작,G1061&lt;=조회종료),1,0)</f>
        <v/>
      </c>
    </row>
    <row r="1062">
      <c r="A1062" s="2">
        <f>ROW()-1</f>
        <v/>
      </c>
      <c r="B1062" s="5">
        <f>INDEX(상호범위,D1062)</f>
        <v/>
      </c>
      <c r="C1062" s="5">
        <f>INDEX(플랫폼명범위,E1062)</f>
        <v/>
      </c>
      <c r="D1062" s="2">
        <f>MOD(INT((A1062-1)/4),8)+1</f>
        <v/>
      </c>
      <c r="E1062" s="2">
        <f>MOD(A1062-1,4)+1</f>
        <v/>
      </c>
      <c r="F1062" s="20">
        <f>축시작+INT((A1062-1)/32)</f>
        <v/>
      </c>
      <c r="G1062" s="20">
        <f>F1062+H1062</f>
        <v/>
      </c>
      <c r="H1062" s="5" t="n">
        <v>3</v>
      </c>
      <c r="I1062" s="2">
        <f>ROUND(INDEX(가맹점!$P$2:$P$9,D1062)*INDEX(가맹점!$J$2:$M$9,D1062,E1062),0)</f>
        <v/>
      </c>
      <c r="J1062" s="2">
        <f>ROUND(I1062*(1-할인율),0)</f>
        <v/>
      </c>
      <c r="K1062" s="2">
        <f>ROUNDDOWN(I1062*할인율,0)</f>
        <v/>
      </c>
      <c r="L1062" s="2">
        <f>ROUND(I1062*INDEX(미지급률범위,E1062),0)</f>
        <v/>
      </c>
      <c r="M1062" s="2">
        <f>ROUND(I1062*INDEX(과지급률범위,E1062),0)</f>
        <v/>
      </c>
      <c r="N1062" s="2">
        <f>MAX(0,L1062-M1062)</f>
        <v/>
      </c>
      <c r="O1062" s="2">
        <f>K1062-N1062</f>
        <v/>
      </c>
      <c r="P1062" s="2">
        <f>I1062-N1062</f>
        <v/>
      </c>
      <c r="Q1062" s="5">
        <f>IF(G1062&gt;기준일,1,0)</f>
        <v/>
      </c>
      <c r="R1062" s="5">
        <f>IF(G1062&lt;=기준일,1,0)</f>
        <v/>
      </c>
      <c r="S1062" s="2">
        <f>J1062*H1062</f>
        <v/>
      </c>
      <c r="T1062" s="5">
        <f>IF(AND(F1062&gt;=표본시작,F1062&lt;=표본종료),1,0)</f>
        <v/>
      </c>
      <c r="U1062" s="5">
        <f>IF(AND(G1062&gt;=조회시작,G1062&lt;=조회종료),1,0)</f>
        <v/>
      </c>
    </row>
    <row r="1063">
      <c r="A1063" s="2">
        <f>ROW()-1</f>
        <v/>
      </c>
      <c r="B1063" s="5">
        <f>INDEX(상호범위,D1063)</f>
        <v/>
      </c>
      <c r="C1063" s="5">
        <f>INDEX(플랫폼명범위,E1063)</f>
        <v/>
      </c>
      <c r="D1063" s="2">
        <f>MOD(INT((A1063-1)/4),8)+1</f>
        <v/>
      </c>
      <c r="E1063" s="2">
        <f>MOD(A1063-1,4)+1</f>
        <v/>
      </c>
      <c r="F1063" s="20">
        <f>축시작+INT((A1063-1)/32)</f>
        <v/>
      </c>
      <c r="G1063" s="20">
        <f>F1063+H1063</f>
        <v/>
      </c>
      <c r="H1063" s="5" t="n">
        <v>2</v>
      </c>
      <c r="I1063" s="2">
        <f>ROUND(INDEX(가맹점!$P$2:$P$9,D1063)*INDEX(가맹점!$J$2:$M$9,D1063,E1063),0)</f>
        <v/>
      </c>
      <c r="J1063" s="2">
        <f>ROUND(I1063*(1-할인율),0)</f>
        <v/>
      </c>
      <c r="K1063" s="2">
        <f>ROUNDDOWN(I1063*할인율,0)</f>
        <v/>
      </c>
      <c r="L1063" s="2">
        <f>ROUND(I1063*INDEX(미지급률범위,E1063),0)</f>
        <v/>
      </c>
      <c r="M1063" s="2">
        <f>ROUND(I1063*INDEX(과지급률범위,E1063),0)</f>
        <v/>
      </c>
      <c r="N1063" s="2">
        <f>MAX(0,L1063-M1063)</f>
        <v/>
      </c>
      <c r="O1063" s="2">
        <f>K1063-N1063</f>
        <v/>
      </c>
      <c r="P1063" s="2">
        <f>I1063-N1063</f>
        <v/>
      </c>
      <c r="Q1063" s="5">
        <f>IF(G1063&gt;기준일,1,0)</f>
        <v/>
      </c>
      <c r="R1063" s="5">
        <f>IF(G1063&lt;=기준일,1,0)</f>
        <v/>
      </c>
      <c r="S1063" s="2">
        <f>J1063*H1063</f>
        <v/>
      </c>
      <c r="T1063" s="5">
        <f>IF(AND(F1063&gt;=표본시작,F1063&lt;=표본종료),1,0)</f>
        <v/>
      </c>
      <c r="U1063" s="5">
        <f>IF(AND(G1063&gt;=조회시작,G1063&lt;=조회종료),1,0)</f>
        <v/>
      </c>
    </row>
    <row r="1064">
      <c r="A1064" s="2">
        <f>ROW()-1</f>
        <v/>
      </c>
      <c r="B1064" s="5">
        <f>INDEX(상호범위,D1064)</f>
        <v/>
      </c>
      <c r="C1064" s="5">
        <f>INDEX(플랫폼명범위,E1064)</f>
        <v/>
      </c>
      <c r="D1064" s="2">
        <f>MOD(INT((A1064-1)/4),8)+1</f>
        <v/>
      </c>
      <c r="E1064" s="2">
        <f>MOD(A1064-1,4)+1</f>
        <v/>
      </c>
      <c r="F1064" s="20">
        <f>축시작+INT((A1064-1)/32)</f>
        <v/>
      </c>
      <c r="G1064" s="20">
        <f>F1064+H1064</f>
        <v/>
      </c>
      <c r="H1064" s="5" t="n">
        <v>6</v>
      </c>
      <c r="I1064" s="2">
        <f>ROUND(INDEX(가맹점!$P$2:$P$9,D1064)*INDEX(가맹점!$J$2:$M$9,D1064,E1064),0)</f>
        <v/>
      </c>
      <c r="J1064" s="2">
        <f>ROUND(I1064*(1-할인율),0)</f>
        <v/>
      </c>
      <c r="K1064" s="2">
        <f>ROUNDDOWN(I1064*할인율,0)</f>
        <v/>
      </c>
      <c r="L1064" s="2">
        <f>ROUND(I1064*INDEX(미지급률범위,E1064),0)</f>
        <v/>
      </c>
      <c r="M1064" s="2">
        <f>ROUND(I1064*INDEX(과지급률범위,E1064),0)</f>
        <v/>
      </c>
      <c r="N1064" s="2">
        <f>MAX(0,L1064-M1064)</f>
        <v/>
      </c>
      <c r="O1064" s="2">
        <f>K1064-N1064</f>
        <v/>
      </c>
      <c r="P1064" s="2">
        <f>I1064-N1064</f>
        <v/>
      </c>
      <c r="Q1064" s="5">
        <f>IF(G1064&gt;기준일,1,0)</f>
        <v/>
      </c>
      <c r="R1064" s="5">
        <f>IF(G1064&lt;=기준일,1,0)</f>
        <v/>
      </c>
      <c r="S1064" s="2">
        <f>J1064*H1064</f>
        <v/>
      </c>
      <c r="T1064" s="5">
        <f>IF(AND(F1064&gt;=표본시작,F1064&lt;=표본종료),1,0)</f>
        <v/>
      </c>
      <c r="U1064" s="5">
        <f>IF(AND(G1064&gt;=조회시작,G1064&lt;=조회종료),1,0)</f>
        <v/>
      </c>
    </row>
    <row r="1065">
      <c r="A1065" s="2">
        <f>ROW()-1</f>
        <v/>
      </c>
      <c r="B1065" s="5">
        <f>INDEX(상호범위,D1065)</f>
        <v/>
      </c>
      <c r="C1065" s="5">
        <f>INDEX(플랫폼명범위,E1065)</f>
        <v/>
      </c>
      <c r="D1065" s="2">
        <f>MOD(INT((A1065-1)/4),8)+1</f>
        <v/>
      </c>
      <c r="E1065" s="2">
        <f>MOD(A1065-1,4)+1</f>
        <v/>
      </c>
      <c r="F1065" s="20">
        <f>축시작+INT((A1065-1)/32)</f>
        <v/>
      </c>
      <c r="G1065" s="20">
        <f>F1065+H1065</f>
        <v/>
      </c>
      <c r="H1065" s="5" t="n">
        <v>10</v>
      </c>
      <c r="I1065" s="2">
        <f>ROUND(INDEX(가맹점!$P$2:$P$9,D1065)*INDEX(가맹점!$J$2:$M$9,D1065,E1065),0)</f>
        <v/>
      </c>
      <c r="J1065" s="2">
        <f>ROUND(I1065*(1-할인율),0)</f>
        <v/>
      </c>
      <c r="K1065" s="2">
        <f>ROUNDDOWN(I1065*할인율,0)</f>
        <v/>
      </c>
      <c r="L1065" s="2">
        <f>ROUND(I1065*INDEX(미지급률범위,E1065),0)</f>
        <v/>
      </c>
      <c r="M1065" s="2">
        <f>ROUND(I1065*INDEX(과지급률범위,E1065),0)</f>
        <v/>
      </c>
      <c r="N1065" s="2">
        <f>MAX(0,L1065-M1065)</f>
        <v/>
      </c>
      <c r="O1065" s="2">
        <f>K1065-N1065</f>
        <v/>
      </c>
      <c r="P1065" s="2">
        <f>I1065-N1065</f>
        <v/>
      </c>
      <c r="Q1065" s="5">
        <f>IF(G1065&gt;기준일,1,0)</f>
        <v/>
      </c>
      <c r="R1065" s="5">
        <f>IF(G1065&lt;=기준일,1,0)</f>
        <v/>
      </c>
      <c r="S1065" s="2">
        <f>J1065*H1065</f>
        <v/>
      </c>
      <c r="T1065" s="5">
        <f>IF(AND(F1065&gt;=표본시작,F1065&lt;=표본종료),1,0)</f>
        <v/>
      </c>
      <c r="U1065" s="5">
        <f>IF(AND(G1065&gt;=조회시작,G1065&lt;=조회종료),1,0)</f>
        <v/>
      </c>
    </row>
    <row r="1066">
      <c r="A1066" s="2">
        <f>ROW()-1</f>
        <v/>
      </c>
      <c r="B1066" s="5">
        <f>INDEX(상호범위,D1066)</f>
        <v/>
      </c>
      <c r="C1066" s="5">
        <f>INDEX(플랫폼명범위,E1066)</f>
        <v/>
      </c>
      <c r="D1066" s="2">
        <f>MOD(INT((A1066-1)/4),8)+1</f>
        <v/>
      </c>
      <c r="E1066" s="2">
        <f>MOD(A1066-1,4)+1</f>
        <v/>
      </c>
      <c r="F1066" s="20">
        <f>축시작+INT((A1066-1)/32)</f>
        <v/>
      </c>
      <c r="G1066" s="20">
        <f>F1066+H1066</f>
        <v/>
      </c>
      <c r="H1066" s="5" t="n">
        <v>2</v>
      </c>
      <c r="I1066" s="2">
        <f>ROUND(INDEX(가맹점!$P$2:$P$9,D1066)*INDEX(가맹점!$J$2:$M$9,D1066,E1066),0)</f>
        <v/>
      </c>
      <c r="J1066" s="2">
        <f>ROUND(I1066*(1-할인율),0)</f>
        <v/>
      </c>
      <c r="K1066" s="2">
        <f>ROUNDDOWN(I1066*할인율,0)</f>
        <v/>
      </c>
      <c r="L1066" s="2">
        <f>ROUND(I1066*INDEX(미지급률범위,E1066),0)</f>
        <v/>
      </c>
      <c r="M1066" s="2">
        <f>ROUND(I1066*INDEX(과지급률범위,E1066),0)</f>
        <v/>
      </c>
      <c r="N1066" s="2">
        <f>MAX(0,L1066-M1066)</f>
        <v/>
      </c>
      <c r="O1066" s="2">
        <f>K1066-N1066</f>
        <v/>
      </c>
      <c r="P1066" s="2">
        <f>I1066-N1066</f>
        <v/>
      </c>
      <c r="Q1066" s="5">
        <f>IF(G1066&gt;기준일,1,0)</f>
        <v/>
      </c>
      <c r="R1066" s="5">
        <f>IF(G1066&lt;=기준일,1,0)</f>
        <v/>
      </c>
      <c r="S1066" s="2">
        <f>J1066*H1066</f>
        <v/>
      </c>
      <c r="T1066" s="5">
        <f>IF(AND(F1066&gt;=표본시작,F1066&lt;=표본종료),1,0)</f>
        <v/>
      </c>
      <c r="U1066" s="5">
        <f>IF(AND(G1066&gt;=조회시작,G1066&lt;=조회종료),1,0)</f>
        <v/>
      </c>
    </row>
    <row r="1067">
      <c r="A1067" s="2">
        <f>ROW()-1</f>
        <v/>
      </c>
      <c r="B1067" s="5">
        <f>INDEX(상호범위,D1067)</f>
        <v/>
      </c>
      <c r="C1067" s="5">
        <f>INDEX(플랫폼명범위,E1067)</f>
        <v/>
      </c>
      <c r="D1067" s="2">
        <f>MOD(INT((A1067-1)/4),8)+1</f>
        <v/>
      </c>
      <c r="E1067" s="2">
        <f>MOD(A1067-1,4)+1</f>
        <v/>
      </c>
      <c r="F1067" s="20">
        <f>축시작+INT((A1067-1)/32)</f>
        <v/>
      </c>
      <c r="G1067" s="20">
        <f>F1067+H1067</f>
        <v/>
      </c>
      <c r="H1067" s="5" t="n">
        <v>2</v>
      </c>
      <c r="I1067" s="2">
        <f>ROUND(INDEX(가맹점!$P$2:$P$9,D1067)*INDEX(가맹점!$J$2:$M$9,D1067,E1067),0)</f>
        <v/>
      </c>
      <c r="J1067" s="2">
        <f>ROUND(I1067*(1-할인율),0)</f>
        <v/>
      </c>
      <c r="K1067" s="2">
        <f>ROUNDDOWN(I1067*할인율,0)</f>
        <v/>
      </c>
      <c r="L1067" s="2">
        <f>ROUND(I1067*INDEX(미지급률범위,E1067),0)</f>
        <v/>
      </c>
      <c r="M1067" s="2">
        <f>ROUND(I1067*INDEX(과지급률범위,E1067),0)</f>
        <v/>
      </c>
      <c r="N1067" s="2">
        <f>MAX(0,L1067-M1067)</f>
        <v/>
      </c>
      <c r="O1067" s="2">
        <f>K1067-N1067</f>
        <v/>
      </c>
      <c r="P1067" s="2">
        <f>I1067-N1067</f>
        <v/>
      </c>
      <c r="Q1067" s="5">
        <f>IF(G1067&gt;기준일,1,0)</f>
        <v/>
      </c>
      <c r="R1067" s="5">
        <f>IF(G1067&lt;=기준일,1,0)</f>
        <v/>
      </c>
      <c r="S1067" s="2">
        <f>J1067*H1067</f>
        <v/>
      </c>
      <c r="T1067" s="5">
        <f>IF(AND(F1067&gt;=표본시작,F1067&lt;=표본종료),1,0)</f>
        <v/>
      </c>
      <c r="U1067" s="5">
        <f>IF(AND(G1067&gt;=조회시작,G1067&lt;=조회종료),1,0)</f>
        <v/>
      </c>
    </row>
    <row r="1068">
      <c r="A1068" s="2">
        <f>ROW()-1</f>
        <v/>
      </c>
      <c r="B1068" s="5">
        <f>INDEX(상호범위,D1068)</f>
        <v/>
      </c>
      <c r="C1068" s="5">
        <f>INDEX(플랫폼명범위,E1068)</f>
        <v/>
      </c>
      <c r="D1068" s="2">
        <f>MOD(INT((A1068-1)/4),8)+1</f>
        <v/>
      </c>
      <c r="E1068" s="2">
        <f>MOD(A1068-1,4)+1</f>
        <v/>
      </c>
      <c r="F1068" s="20">
        <f>축시작+INT((A1068-1)/32)</f>
        <v/>
      </c>
      <c r="G1068" s="20">
        <f>F1068+H1068</f>
        <v/>
      </c>
      <c r="H1068" s="5" t="n">
        <v>6</v>
      </c>
      <c r="I1068" s="2">
        <f>ROUND(INDEX(가맹점!$P$2:$P$9,D1068)*INDEX(가맹점!$J$2:$M$9,D1068,E1068),0)</f>
        <v/>
      </c>
      <c r="J1068" s="2">
        <f>ROUND(I1068*(1-할인율),0)</f>
        <v/>
      </c>
      <c r="K1068" s="2">
        <f>ROUNDDOWN(I1068*할인율,0)</f>
        <v/>
      </c>
      <c r="L1068" s="2">
        <f>ROUND(I1068*INDEX(미지급률범위,E1068),0)</f>
        <v/>
      </c>
      <c r="M1068" s="2">
        <f>ROUND(I1068*INDEX(과지급률범위,E1068),0)</f>
        <v/>
      </c>
      <c r="N1068" s="2">
        <f>MAX(0,L1068-M1068)</f>
        <v/>
      </c>
      <c r="O1068" s="2">
        <f>K1068-N1068</f>
        <v/>
      </c>
      <c r="P1068" s="2">
        <f>I1068-N1068</f>
        <v/>
      </c>
      <c r="Q1068" s="5">
        <f>IF(G1068&gt;기준일,1,0)</f>
        <v/>
      </c>
      <c r="R1068" s="5">
        <f>IF(G1068&lt;=기준일,1,0)</f>
        <v/>
      </c>
      <c r="S1068" s="2">
        <f>J1068*H1068</f>
        <v/>
      </c>
      <c r="T1068" s="5">
        <f>IF(AND(F1068&gt;=표본시작,F1068&lt;=표본종료),1,0)</f>
        <v/>
      </c>
      <c r="U1068" s="5">
        <f>IF(AND(G1068&gt;=조회시작,G1068&lt;=조회종료),1,0)</f>
        <v/>
      </c>
    </row>
    <row r="1069">
      <c r="A1069" s="2">
        <f>ROW()-1</f>
        <v/>
      </c>
      <c r="B1069" s="5">
        <f>INDEX(상호범위,D1069)</f>
        <v/>
      </c>
      <c r="C1069" s="5">
        <f>INDEX(플랫폼명범위,E1069)</f>
        <v/>
      </c>
      <c r="D1069" s="2">
        <f>MOD(INT((A1069-1)/4),8)+1</f>
        <v/>
      </c>
      <c r="E1069" s="2">
        <f>MOD(A1069-1,4)+1</f>
        <v/>
      </c>
      <c r="F1069" s="20">
        <f>축시작+INT((A1069-1)/32)</f>
        <v/>
      </c>
      <c r="G1069" s="20">
        <f>F1069+H1069</f>
        <v/>
      </c>
      <c r="H1069" s="5" t="n">
        <v>5</v>
      </c>
      <c r="I1069" s="2">
        <f>ROUND(INDEX(가맹점!$P$2:$P$9,D1069)*INDEX(가맹점!$J$2:$M$9,D1069,E1069),0)</f>
        <v/>
      </c>
      <c r="J1069" s="2">
        <f>ROUND(I1069*(1-할인율),0)</f>
        <v/>
      </c>
      <c r="K1069" s="2">
        <f>ROUNDDOWN(I1069*할인율,0)</f>
        <v/>
      </c>
      <c r="L1069" s="2">
        <f>ROUND(I1069*INDEX(미지급률범위,E1069),0)</f>
        <v/>
      </c>
      <c r="M1069" s="2">
        <f>ROUND(I1069*INDEX(과지급률범위,E1069),0)</f>
        <v/>
      </c>
      <c r="N1069" s="2">
        <f>MAX(0,L1069-M1069)</f>
        <v/>
      </c>
      <c r="O1069" s="2">
        <f>K1069-N1069</f>
        <v/>
      </c>
      <c r="P1069" s="2">
        <f>I1069-N1069</f>
        <v/>
      </c>
      <c r="Q1069" s="5">
        <f>IF(G1069&gt;기준일,1,0)</f>
        <v/>
      </c>
      <c r="R1069" s="5">
        <f>IF(G1069&lt;=기준일,1,0)</f>
        <v/>
      </c>
      <c r="S1069" s="2">
        <f>J1069*H1069</f>
        <v/>
      </c>
      <c r="T1069" s="5">
        <f>IF(AND(F1069&gt;=표본시작,F1069&lt;=표본종료),1,0)</f>
        <v/>
      </c>
      <c r="U1069" s="5">
        <f>IF(AND(G1069&gt;=조회시작,G1069&lt;=조회종료),1,0)</f>
        <v/>
      </c>
    </row>
    <row r="1070">
      <c r="A1070" s="2">
        <f>ROW()-1</f>
        <v/>
      </c>
      <c r="B1070" s="5">
        <f>INDEX(상호범위,D1070)</f>
        <v/>
      </c>
      <c r="C1070" s="5">
        <f>INDEX(플랫폼명범위,E1070)</f>
        <v/>
      </c>
      <c r="D1070" s="2">
        <f>MOD(INT((A1070-1)/4),8)+1</f>
        <v/>
      </c>
      <c r="E1070" s="2">
        <f>MOD(A1070-1,4)+1</f>
        <v/>
      </c>
      <c r="F1070" s="20">
        <f>축시작+INT((A1070-1)/32)</f>
        <v/>
      </c>
      <c r="G1070" s="20">
        <f>F1070+H1070</f>
        <v/>
      </c>
      <c r="H1070" s="5" t="n">
        <v>2</v>
      </c>
      <c r="I1070" s="2">
        <f>ROUND(INDEX(가맹점!$P$2:$P$9,D1070)*INDEX(가맹점!$J$2:$M$9,D1070,E1070),0)</f>
        <v/>
      </c>
      <c r="J1070" s="2">
        <f>ROUND(I1070*(1-할인율),0)</f>
        <v/>
      </c>
      <c r="K1070" s="2">
        <f>ROUNDDOWN(I1070*할인율,0)</f>
        <v/>
      </c>
      <c r="L1070" s="2">
        <f>ROUND(I1070*INDEX(미지급률범위,E1070),0)</f>
        <v/>
      </c>
      <c r="M1070" s="2">
        <f>ROUND(I1070*INDEX(과지급률범위,E1070),0)</f>
        <v/>
      </c>
      <c r="N1070" s="2">
        <f>MAX(0,L1070-M1070)</f>
        <v/>
      </c>
      <c r="O1070" s="2">
        <f>K1070-N1070</f>
        <v/>
      </c>
      <c r="P1070" s="2">
        <f>I1070-N1070</f>
        <v/>
      </c>
      <c r="Q1070" s="5">
        <f>IF(G1070&gt;기준일,1,0)</f>
        <v/>
      </c>
      <c r="R1070" s="5">
        <f>IF(G1070&lt;=기준일,1,0)</f>
        <v/>
      </c>
      <c r="S1070" s="2">
        <f>J1070*H1070</f>
        <v/>
      </c>
      <c r="T1070" s="5">
        <f>IF(AND(F1070&gt;=표본시작,F1070&lt;=표본종료),1,0)</f>
        <v/>
      </c>
      <c r="U1070" s="5">
        <f>IF(AND(G1070&gt;=조회시작,G1070&lt;=조회종료),1,0)</f>
        <v/>
      </c>
    </row>
    <row r="1071">
      <c r="A1071" s="2">
        <f>ROW()-1</f>
        <v/>
      </c>
      <c r="B1071" s="5">
        <f>INDEX(상호범위,D1071)</f>
        <v/>
      </c>
      <c r="C1071" s="5">
        <f>INDEX(플랫폼명범위,E1071)</f>
        <v/>
      </c>
      <c r="D1071" s="2">
        <f>MOD(INT((A1071-1)/4),8)+1</f>
        <v/>
      </c>
      <c r="E1071" s="2">
        <f>MOD(A1071-1,4)+1</f>
        <v/>
      </c>
      <c r="F1071" s="20">
        <f>축시작+INT((A1071-1)/32)</f>
        <v/>
      </c>
      <c r="G1071" s="20">
        <f>F1071+H1071</f>
        <v/>
      </c>
      <c r="H1071" s="5" t="n">
        <v>4</v>
      </c>
      <c r="I1071" s="2">
        <f>ROUND(INDEX(가맹점!$P$2:$P$9,D1071)*INDEX(가맹점!$J$2:$M$9,D1071,E1071),0)</f>
        <v/>
      </c>
      <c r="J1071" s="2">
        <f>ROUND(I1071*(1-할인율),0)</f>
        <v/>
      </c>
      <c r="K1071" s="2">
        <f>ROUNDDOWN(I1071*할인율,0)</f>
        <v/>
      </c>
      <c r="L1071" s="2">
        <f>ROUND(I1071*INDEX(미지급률범위,E1071),0)</f>
        <v/>
      </c>
      <c r="M1071" s="2">
        <f>ROUND(I1071*INDEX(과지급률범위,E1071),0)</f>
        <v/>
      </c>
      <c r="N1071" s="2">
        <f>MAX(0,L1071-M1071)</f>
        <v/>
      </c>
      <c r="O1071" s="2">
        <f>K1071-N1071</f>
        <v/>
      </c>
      <c r="P1071" s="2">
        <f>I1071-N1071</f>
        <v/>
      </c>
      <c r="Q1071" s="5">
        <f>IF(G1071&gt;기준일,1,0)</f>
        <v/>
      </c>
      <c r="R1071" s="5">
        <f>IF(G1071&lt;=기준일,1,0)</f>
        <v/>
      </c>
      <c r="S1071" s="2">
        <f>J1071*H1071</f>
        <v/>
      </c>
      <c r="T1071" s="5">
        <f>IF(AND(F1071&gt;=표본시작,F1071&lt;=표본종료),1,0)</f>
        <v/>
      </c>
      <c r="U1071" s="5">
        <f>IF(AND(G1071&gt;=조회시작,G1071&lt;=조회종료),1,0)</f>
        <v/>
      </c>
    </row>
    <row r="1072">
      <c r="A1072" s="2">
        <f>ROW()-1</f>
        <v/>
      </c>
      <c r="B1072" s="5">
        <f>INDEX(상호범위,D1072)</f>
        <v/>
      </c>
      <c r="C1072" s="5">
        <f>INDEX(플랫폼명범위,E1072)</f>
        <v/>
      </c>
      <c r="D1072" s="2">
        <f>MOD(INT((A1072-1)/4),8)+1</f>
        <v/>
      </c>
      <c r="E1072" s="2">
        <f>MOD(A1072-1,4)+1</f>
        <v/>
      </c>
      <c r="F1072" s="20">
        <f>축시작+INT((A1072-1)/32)</f>
        <v/>
      </c>
      <c r="G1072" s="20">
        <f>F1072+H1072</f>
        <v/>
      </c>
      <c r="H1072" s="5" t="n">
        <v>5</v>
      </c>
      <c r="I1072" s="2">
        <f>ROUND(INDEX(가맹점!$P$2:$P$9,D1072)*INDEX(가맹점!$J$2:$M$9,D1072,E1072),0)</f>
        <v/>
      </c>
      <c r="J1072" s="2">
        <f>ROUND(I1072*(1-할인율),0)</f>
        <v/>
      </c>
      <c r="K1072" s="2">
        <f>ROUNDDOWN(I1072*할인율,0)</f>
        <v/>
      </c>
      <c r="L1072" s="2">
        <f>ROUND(I1072*INDEX(미지급률범위,E1072),0)</f>
        <v/>
      </c>
      <c r="M1072" s="2">
        <f>ROUND(I1072*INDEX(과지급률범위,E1072),0)</f>
        <v/>
      </c>
      <c r="N1072" s="2">
        <f>MAX(0,L1072-M1072)</f>
        <v/>
      </c>
      <c r="O1072" s="2">
        <f>K1072-N1072</f>
        <v/>
      </c>
      <c r="P1072" s="2">
        <f>I1072-N1072</f>
        <v/>
      </c>
      <c r="Q1072" s="5">
        <f>IF(G1072&gt;기준일,1,0)</f>
        <v/>
      </c>
      <c r="R1072" s="5">
        <f>IF(G1072&lt;=기준일,1,0)</f>
        <v/>
      </c>
      <c r="S1072" s="2">
        <f>J1072*H1072</f>
        <v/>
      </c>
      <c r="T1072" s="5">
        <f>IF(AND(F1072&gt;=표본시작,F1072&lt;=표본종료),1,0)</f>
        <v/>
      </c>
      <c r="U1072" s="5">
        <f>IF(AND(G1072&gt;=조회시작,G1072&lt;=조회종료),1,0)</f>
        <v/>
      </c>
    </row>
    <row r="1073">
      <c r="A1073" s="2">
        <f>ROW()-1</f>
        <v/>
      </c>
      <c r="B1073" s="5">
        <f>INDEX(상호범위,D1073)</f>
        <v/>
      </c>
      <c r="C1073" s="5">
        <f>INDEX(플랫폼명범위,E1073)</f>
        <v/>
      </c>
      <c r="D1073" s="2">
        <f>MOD(INT((A1073-1)/4),8)+1</f>
        <v/>
      </c>
      <c r="E1073" s="2">
        <f>MOD(A1073-1,4)+1</f>
        <v/>
      </c>
      <c r="F1073" s="20">
        <f>축시작+INT((A1073-1)/32)</f>
        <v/>
      </c>
      <c r="G1073" s="20">
        <f>F1073+H1073</f>
        <v/>
      </c>
      <c r="H1073" s="5" t="n">
        <v>9</v>
      </c>
      <c r="I1073" s="2">
        <f>ROUND(INDEX(가맹점!$P$2:$P$9,D1073)*INDEX(가맹점!$J$2:$M$9,D1073,E1073),0)</f>
        <v/>
      </c>
      <c r="J1073" s="2">
        <f>ROUND(I1073*(1-할인율),0)</f>
        <v/>
      </c>
      <c r="K1073" s="2">
        <f>ROUNDDOWN(I1073*할인율,0)</f>
        <v/>
      </c>
      <c r="L1073" s="2">
        <f>ROUND(I1073*INDEX(미지급률범위,E1073),0)</f>
        <v/>
      </c>
      <c r="M1073" s="2">
        <f>ROUND(I1073*INDEX(과지급률범위,E1073),0)</f>
        <v/>
      </c>
      <c r="N1073" s="2">
        <f>MAX(0,L1073-M1073)</f>
        <v/>
      </c>
      <c r="O1073" s="2">
        <f>K1073-N1073</f>
        <v/>
      </c>
      <c r="P1073" s="2">
        <f>I1073-N1073</f>
        <v/>
      </c>
      <c r="Q1073" s="5">
        <f>IF(G1073&gt;기준일,1,0)</f>
        <v/>
      </c>
      <c r="R1073" s="5">
        <f>IF(G1073&lt;=기준일,1,0)</f>
        <v/>
      </c>
      <c r="S1073" s="2">
        <f>J1073*H1073</f>
        <v/>
      </c>
      <c r="T1073" s="5">
        <f>IF(AND(F1073&gt;=표본시작,F1073&lt;=표본종료),1,0)</f>
        <v/>
      </c>
      <c r="U1073" s="5">
        <f>IF(AND(G1073&gt;=조회시작,G1073&lt;=조회종료),1,0)</f>
        <v/>
      </c>
    </row>
    <row r="1074">
      <c r="A1074" s="2">
        <f>ROW()-1</f>
        <v/>
      </c>
      <c r="B1074" s="5">
        <f>INDEX(상호범위,D1074)</f>
        <v/>
      </c>
      <c r="C1074" s="5">
        <f>INDEX(플랫폼명범위,E1074)</f>
        <v/>
      </c>
      <c r="D1074" s="2">
        <f>MOD(INT((A1074-1)/4),8)+1</f>
        <v/>
      </c>
      <c r="E1074" s="2">
        <f>MOD(A1074-1,4)+1</f>
        <v/>
      </c>
      <c r="F1074" s="20">
        <f>축시작+INT((A1074-1)/32)</f>
        <v/>
      </c>
      <c r="G1074" s="20">
        <f>F1074+H1074</f>
        <v/>
      </c>
      <c r="H1074" s="5" t="n">
        <v>3</v>
      </c>
      <c r="I1074" s="2">
        <f>ROUND(INDEX(가맹점!$P$2:$P$9,D1074)*INDEX(가맹점!$J$2:$M$9,D1074,E1074),0)</f>
        <v/>
      </c>
      <c r="J1074" s="2">
        <f>ROUND(I1074*(1-할인율),0)</f>
        <v/>
      </c>
      <c r="K1074" s="2">
        <f>ROUNDDOWN(I1074*할인율,0)</f>
        <v/>
      </c>
      <c r="L1074" s="2">
        <f>ROUND(I1074*INDEX(미지급률범위,E1074),0)</f>
        <v/>
      </c>
      <c r="M1074" s="2">
        <f>ROUND(I1074*INDEX(과지급률범위,E1074),0)</f>
        <v/>
      </c>
      <c r="N1074" s="2">
        <f>MAX(0,L1074-M1074)</f>
        <v/>
      </c>
      <c r="O1074" s="2">
        <f>K1074-N1074</f>
        <v/>
      </c>
      <c r="P1074" s="2">
        <f>I1074-N1074</f>
        <v/>
      </c>
      <c r="Q1074" s="5">
        <f>IF(G1074&gt;기준일,1,0)</f>
        <v/>
      </c>
      <c r="R1074" s="5">
        <f>IF(G1074&lt;=기준일,1,0)</f>
        <v/>
      </c>
      <c r="S1074" s="2">
        <f>J1074*H1074</f>
        <v/>
      </c>
      <c r="T1074" s="5">
        <f>IF(AND(F1074&gt;=표본시작,F1074&lt;=표본종료),1,0)</f>
        <v/>
      </c>
      <c r="U1074" s="5">
        <f>IF(AND(G1074&gt;=조회시작,G1074&lt;=조회종료),1,0)</f>
        <v/>
      </c>
    </row>
    <row r="1075">
      <c r="A1075" s="2">
        <f>ROW()-1</f>
        <v/>
      </c>
      <c r="B1075" s="5">
        <f>INDEX(상호범위,D1075)</f>
        <v/>
      </c>
      <c r="C1075" s="5">
        <f>INDEX(플랫폼명범위,E1075)</f>
        <v/>
      </c>
      <c r="D1075" s="2">
        <f>MOD(INT((A1075-1)/4),8)+1</f>
        <v/>
      </c>
      <c r="E1075" s="2">
        <f>MOD(A1075-1,4)+1</f>
        <v/>
      </c>
      <c r="F1075" s="20">
        <f>축시작+INT((A1075-1)/32)</f>
        <v/>
      </c>
      <c r="G1075" s="20">
        <f>F1075+H1075</f>
        <v/>
      </c>
      <c r="H1075" s="5" t="n">
        <v>3</v>
      </c>
      <c r="I1075" s="2">
        <f>ROUND(INDEX(가맹점!$P$2:$P$9,D1075)*INDEX(가맹점!$J$2:$M$9,D1075,E1075),0)</f>
        <v/>
      </c>
      <c r="J1075" s="2">
        <f>ROUND(I1075*(1-할인율),0)</f>
        <v/>
      </c>
      <c r="K1075" s="2">
        <f>ROUNDDOWN(I1075*할인율,0)</f>
        <v/>
      </c>
      <c r="L1075" s="2">
        <f>ROUND(I1075*INDEX(미지급률범위,E1075),0)</f>
        <v/>
      </c>
      <c r="M1075" s="2">
        <f>ROUND(I1075*INDEX(과지급률범위,E1075),0)</f>
        <v/>
      </c>
      <c r="N1075" s="2">
        <f>MAX(0,L1075-M1075)</f>
        <v/>
      </c>
      <c r="O1075" s="2">
        <f>K1075-N1075</f>
        <v/>
      </c>
      <c r="P1075" s="2">
        <f>I1075-N1075</f>
        <v/>
      </c>
      <c r="Q1075" s="5">
        <f>IF(G1075&gt;기준일,1,0)</f>
        <v/>
      </c>
      <c r="R1075" s="5">
        <f>IF(G1075&lt;=기준일,1,0)</f>
        <v/>
      </c>
      <c r="S1075" s="2">
        <f>J1075*H1075</f>
        <v/>
      </c>
      <c r="T1075" s="5">
        <f>IF(AND(F1075&gt;=표본시작,F1075&lt;=표본종료),1,0)</f>
        <v/>
      </c>
      <c r="U1075" s="5">
        <f>IF(AND(G1075&gt;=조회시작,G1075&lt;=조회종료),1,0)</f>
        <v/>
      </c>
    </row>
    <row r="1076">
      <c r="A1076" s="2">
        <f>ROW()-1</f>
        <v/>
      </c>
      <c r="B1076" s="5">
        <f>INDEX(상호범위,D1076)</f>
        <v/>
      </c>
      <c r="C1076" s="5">
        <f>INDEX(플랫폼명범위,E1076)</f>
        <v/>
      </c>
      <c r="D1076" s="2">
        <f>MOD(INT((A1076-1)/4),8)+1</f>
        <v/>
      </c>
      <c r="E1076" s="2">
        <f>MOD(A1076-1,4)+1</f>
        <v/>
      </c>
      <c r="F1076" s="20">
        <f>축시작+INT((A1076-1)/32)</f>
        <v/>
      </c>
      <c r="G1076" s="20">
        <f>F1076+H1076</f>
        <v/>
      </c>
      <c r="H1076" s="5" t="n">
        <v>6</v>
      </c>
      <c r="I1076" s="2">
        <f>ROUND(INDEX(가맹점!$P$2:$P$9,D1076)*INDEX(가맹점!$J$2:$M$9,D1076,E1076),0)</f>
        <v/>
      </c>
      <c r="J1076" s="2">
        <f>ROUND(I1076*(1-할인율),0)</f>
        <v/>
      </c>
      <c r="K1076" s="2">
        <f>ROUNDDOWN(I1076*할인율,0)</f>
        <v/>
      </c>
      <c r="L1076" s="2">
        <f>ROUND(I1076*INDEX(미지급률범위,E1076),0)</f>
        <v/>
      </c>
      <c r="M1076" s="2">
        <f>ROUND(I1076*INDEX(과지급률범위,E1076),0)</f>
        <v/>
      </c>
      <c r="N1076" s="2">
        <f>MAX(0,L1076-M1076)</f>
        <v/>
      </c>
      <c r="O1076" s="2">
        <f>K1076-N1076</f>
        <v/>
      </c>
      <c r="P1076" s="2">
        <f>I1076-N1076</f>
        <v/>
      </c>
      <c r="Q1076" s="5">
        <f>IF(G1076&gt;기준일,1,0)</f>
        <v/>
      </c>
      <c r="R1076" s="5">
        <f>IF(G1076&lt;=기준일,1,0)</f>
        <v/>
      </c>
      <c r="S1076" s="2">
        <f>J1076*H1076</f>
        <v/>
      </c>
      <c r="T1076" s="5">
        <f>IF(AND(F1076&gt;=표본시작,F1076&lt;=표본종료),1,0)</f>
        <v/>
      </c>
      <c r="U1076" s="5">
        <f>IF(AND(G1076&gt;=조회시작,G1076&lt;=조회종료),1,0)</f>
        <v/>
      </c>
    </row>
    <row r="1077">
      <c r="A1077" s="2">
        <f>ROW()-1</f>
        <v/>
      </c>
      <c r="B1077" s="5">
        <f>INDEX(상호범위,D1077)</f>
        <v/>
      </c>
      <c r="C1077" s="5">
        <f>INDEX(플랫폼명범위,E1077)</f>
        <v/>
      </c>
      <c r="D1077" s="2">
        <f>MOD(INT((A1077-1)/4),8)+1</f>
        <v/>
      </c>
      <c r="E1077" s="2">
        <f>MOD(A1077-1,4)+1</f>
        <v/>
      </c>
      <c r="F1077" s="20">
        <f>축시작+INT((A1077-1)/32)</f>
        <v/>
      </c>
      <c r="G1077" s="20">
        <f>F1077+H1077</f>
        <v/>
      </c>
      <c r="H1077" s="5" t="n">
        <v>5</v>
      </c>
      <c r="I1077" s="2">
        <f>ROUND(INDEX(가맹점!$P$2:$P$9,D1077)*INDEX(가맹점!$J$2:$M$9,D1077,E1077),0)</f>
        <v/>
      </c>
      <c r="J1077" s="2">
        <f>ROUND(I1077*(1-할인율),0)</f>
        <v/>
      </c>
      <c r="K1077" s="2">
        <f>ROUNDDOWN(I1077*할인율,0)</f>
        <v/>
      </c>
      <c r="L1077" s="2">
        <f>ROUND(I1077*INDEX(미지급률범위,E1077),0)</f>
        <v/>
      </c>
      <c r="M1077" s="2">
        <f>ROUND(I1077*INDEX(과지급률범위,E1077),0)</f>
        <v/>
      </c>
      <c r="N1077" s="2">
        <f>MAX(0,L1077-M1077)</f>
        <v/>
      </c>
      <c r="O1077" s="2">
        <f>K1077-N1077</f>
        <v/>
      </c>
      <c r="P1077" s="2">
        <f>I1077-N1077</f>
        <v/>
      </c>
      <c r="Q1077" s="5">
        <f>IF(G1077&gt;기준일,1,0)</f>
        <v/>
      </c>
      <c r="R1077" s="5">
        <f>IF(G1077&lt;=기준일,1,0)</f>
        <v/>
      </c>
      <c r="S1077" s="2">
        <f>J1077*H1077</f>
        <v/>
      </c>
      <c r="T1077" s="5">
        <f>IF(AND(F1077&gt;=표본시작,F1077&lt;=표본종료),1,0)</f>
        <v/>
      </c>
      <c r="U1077" s="5">
        <f>IF(AND(G1077&gt;=조회시작,G1077&lt;=조회종료),1,0)</f>
        <v/>
      </c>
    </row>
    <row r="1078">
      <c r="A1078" s="2">
        <f>ROW()-1</f>
        <v/>
      </c>
      <c r="B1078" s="5">
        <f>INDEX(상호범위,D1078)</f>
        <v/>
      </c>
      <c r="C1078" s="5">
        <f>INDEX(플랫폼명범위,E1078)</f>
        <v/>
      </c>
      <c r="D1078" s="2">
        <f>MOD(INT((A1078-1)/4),8)+1</f>
        <v/>
      </c>
      <c r="E1078" s="2">
        <f>MOD(A1078-1,4)+1</f>
        <v/>
      </c>
      <c r="F1078" s="20">
        <f>축시작+INT((A1078-1)/32)</f>
        <v/>
      </c>
      <c r="G1078" s="20">
        <f>F1078+H1078</f>
        <v/>
      </c>
      <c r="H1078" s="5" t="n">
        <v>3</v>
      </c>
      <c r="I1078" s="2">
        <f>ROUND(INDEX(가맹점!$P$2:$P$9,D1078)*INDEX(가맹점!$J$2:$M$9,D1078,E1078),0)</f>
        <v/>
      </c>
      <c r="J1078" s="2">
        <f>ROUND(I1078*(1-할인율),0)</f>
        <v/>
      </c>
      <c r="K1078" s="2">
        <f>ROUNDDOWN(I1078*할인율,0)</f>
        <v/>
      </c>
      <c r="L1078" s="2">
        <f>ROUND(I1078*INDEX(미지급률범위,E1078),0)</f>
        <v/>
      </c>
      <c r="M1078" s="2">
        <f>ROUND(I1078*INDEX(과지급률범위,E1078),0)</f>
        <v/>
      </c>
      <c r="N1078" s="2">
        <f>MAX(0,L1078-M1078)</f>
        <v/>
      </c>
      <c r="O1078" s="2">
        <f>K1078-N1078</f>
        <v/>
      </c>
      <c r="P1078" s="2">
        <f>I1078-N1078</f>
        <v/>
      </c>
      <c r="Q1078" s="5">
        <f>IF(G1078&gt;기준일,1,0)</f>
        <v/>
      </c>
      <c r="R1078" s="5">
        <f>IF(G1078&lt;=기준일,1,0)</f>
        <v/>
      </c>
      <c r="S1078" s="2">
        <f>J1078*H1078</f>
        <v/>
      </c>
      <c r="T1078" s="5">
        <f>IF(AND(F1078&gt;=표본시작,F1078&lt;=표본종료),1,0)</f>
        <v/>
      </c>
      <c r="U1078" s="5">
        <f>IF(AND(G1078&gt;=조회시작,G1078&lt;=조회종료),1,0)</f>
        <v/>
      </c>
    </row>
    <row r="1079">
      <c r="A1079" s="2">
        <f>ROW()-1</f>
        <v/>
      </c>
      <c r="B1079" s="5">
        <f>INDEX(상호범위,D1079)</f>
        <v/>
      </c>
      <c r="C1079" s="5">
        <f>INDEX(플랫폼명범위,E1079)</f>
        <v/>
      </c>
      <c r="D1079" s="2">
        <f>MOD(INT((A1079-1)/4),8)+1</f>
        <v/>
      </c>
      <c r="E1079" s="2">
        <f>MOD(A1079-1,4)+1</f>
        <v/>
      </c>
      <c r="F1079" s="20">
        <f>축시작+INT((A1079-1)/32)</f>
        <v/>
      </c>
      <c r="G1079" s="20">
        <f>F1079+H1079</f>
        <v/>
      </c>
      <c r="H1079" s="5" t="n">
        <v>3</v>
      </c>
      <c r="I1079" s="2">
        <f>ROUND(INDEX(가맹점!$P$2:$P$9,D1079)*INDEX(가맹점!$J$2:$M$9,D1079,E1079),0)</f>
        <v/>
      </c>
      <c r="J1079" s="2">
        <f>ROUND(I1079*(1-할인율),0)</f>
        <v/>
      </c>
      <c r="K1079" s="2">
        <f>ROUNDDOWN(I1079*할인율,0)</f>
        <v/>
      </c>
      <c r="L1079" s="2">
        <f>ROUND(I1079*INDEX(미지급률범위,E1079),0)</f>
        <v/>
      </c>
      <c r="M1079" s="2">
        <f>ROUND(I1079*INDEX(과지급률범위,E1079),0)</f>
        <v/>
      </c>
      <c r="N1079" s="2">
        <f>MAX(0,L1079-M1079)</f>
        <v/>
      </c>
      <c r="O1079" s="2">
        <f>K1079-N1079</f>
        <v/>
      </c>
      <c r="P1079" s="2">
        <f>I1079-N1079</f>
        <v/>
      </c>
      <c r="Q1079" s="5">
        <f>IF(G1079&gt;기준일,1,0)</f>
        <v/>
      </c>
      <c r="R1079" s="5">
        <f>IF(G1079&lt;=기준일,1,0)</f>
        <v/>
      </c>
      <c r="S1079" s="2">
        <f>J1079*H1079</f>
        <v/>
      </c>
      <c r="T1079" s="5">
        <f>IF(AND(F1079&gt;=표본시작,F1079&lt;=표본종료),1,0)</f>
        <v/>
      </c>
      <c r="U1079" s="5">
        <f>IF(AND(G1079&gt;=조회시작,G1079&lt;=조회종료),1,0)</f>
        <v/>
      </c>
    </row>
    <row r="1080">
      <c r="A1080" s="2">
        <f>ROW()-1</f>
        <v/>
      </c>
      <c r="B1080" s="5">
        <f>INDEX(상호범위,D1080)</f>
        <v/>
      </c>
      <c r="C1080" s="5">
        <f>INDEX(플랫폼명범위,E1080)</f>
        <v/>
      </c>
      <c r="D1080" s="2">
        <f>MOD(INT((A1080-1)/4),8)+1</f>
        <v/>
      </c>
      <c r="E1080" s="2">
        <f>MOD(A1080-1,4)+1</f>
        <v/>
      </c>
      <c r="F1080" s="20">
        <f>축시작+INT((A1080-1)/32)</f>
        <v/>
      </c>
      <c r="G1080" s="20">
        <f>F1080+H1080</f>
        <v/>
      </c>
      <c r="H1080" s="5" t="n">
        <v>9</v>
      </c>
      <c r="I1080" s="2">
        <f>ROUND(INDEX(가맹점!$P$2:$P$9,D1080)*INDEX(가맹점!$J$2:$M$9,D1080,E1080),0)</f>
        <v/>
      </c>
      <c r="J1080" s="2">
        <f>ROUND(I1080*(1-할인율),0)</f>
        <v/>
      </c>
      <c r="K1080" s="2">
        <f>ROUNDDOWN(I1080*할인율,0)</f>
        <v/>
      </c>
      <c r="L1080" s="2">
        <f>ROUND(I1080*INDEX(미지급률범위,E1080),0)</f>
        <v/>
      </c>
      <c r="M1080" s="2">
        <f>ROUND(I1080*INDEX(과지급률범위,E1080),0)</f>
        <v/>
      </c>
      <c r="N1080" s="2">
        <f>MAX(0,L1080-M1080)</f>
        <v/>
      </c>
      <c r="O1080" s="2">
        <f>K1080-N1080</f>
        <v/>
      </c>
      <c r="P1080" s="2">
        <f>I1080-N1080</f>
        <v/>
      </c>
      <c r="Q1080" s="5">
        <f>IF(G1080&gt;기준일,1,0)</f>
        <v/>
      </c>
      <c r="R1080" s="5">
        <f>IF(G1080&lt;=기준일,1,0)</f>
        <v/>
      </c>
      <c r="S1080" s="2">
        <f>J1080*H1080</f>
        <v/>
      </c>
      <c r="T1080" s="5">
        <f>IF(AND(F1080&gt;=표본시작,F1080&lt;=표본종료),1,0)</f>
        <v/>
      </c>
      <c r="U1080" s="5">
        <f>IF(AND(G1080&gt;=조회시작,G1080&lt;=조회종료),1,0)</f>
        <v/>
      </c>
    </row>
    <row r="1081">
      <c r="A1081" s="2">
        <f>ROW()-1</f>
        <v/>
      </c>
      <c r="B1081" s="5">
        <f>INDEX(상호범위,D1081)</f>
        <v/>
      </c>
      <c r="C1081" s="5">
        <f>INDEX(플랫폼명범위,E1081)</f>
        <v/>
      </c>
      <c r="D1081" s="2">
        <f>MOD(INT((A1081-1)/4),8)+1</f>
        <v/>
      </c>
      <c r="E1081" s="2">
        <f>MOD(A1081-1,4)+1</f>
        <v/>
      </c>
      <c r="F1081" s="20">
        <f>축시작+INT((A1081-1)/32)</f>
        <v/>
      </c>
      <c r="G1081" s="20">
        <f>F1081+H1081</f>
        <v/>
      </c>
      <c r="H1081" s="5" t="n">
        <v>9</v>
      </c>
      <c r="I1081" s="2">
        <f>ROUND(INDEX(가맹점!$P$2:$P$9,D1081)*INDEX(가맹점!$J$2:$M$9,D1081,E1081),0)</f>
        <v/>
      </c>
      <c r="J1081" s="2">
        <f>ROUND(I1081*(1-할인율),0)</f>
        <v/>
      </c>
      <c r="K1081" s="2">
        <f>ROUNDDOWN(I1081*할인율,0)</f>
        <v/>
      </c>
      <c r="L1081" s="2">
        <f>ROUND(I1081*INDEX(미지급률범위,E1081),0)</f>
        <v/>
      </c>
      <c r="M1081" s="2">
        <f>ROUND(I1081*INDEX(과지급률범위,E1081),0)</f>
        <v/>
      </c>
      <c r="N1081" s="2">
        <f>MAX(0,L1081-M1081)</f>
        <v/>
      </c>
      <c r="O1081" s="2">
        <f>K1081-N1081</f>
        <v/>
      </c>
      <c r="P1081" s="2">
        <f>I1081-N1081</f>
        <v/>
      </c>
      <c r="Q1081" s="5">
        <f>IF(G1081&gt;기준일,1,0)</f>
        <v/>
      </c>
      <c r="R1081" s="5">
        <f>IF(G1081&lt;=기준일,1,0)</f>
        <v/>
      </c>
      <c r="S1081" s="2">
        <f>J1081*H1081</f>
        <v/>
      </c>
      <c r="T1081" s="5">
        <f>IF(AND(F1081&gt;=표본시작,F1081&lt;=표본종료),1,0)</f>
        <v/>
      </c>
      <c r="U1081" s="5">
        <f>IF(AND(G1081&gt;=조회시작,G1081&lt;=조회종료),1,0)</f>
        <v/>
      </c>
    </row>
    <row r="1082">
      <c r="A1082" s="2">
        <f>ROW()-1</f>
        <v/>
      </c>
      <c r="B1082" s="5">
        <f>INDEX(상호범위,D1082)</f>
        <v/>
      </c>
      <c r="C1082" s="5">
        <f>INDEX(플랫폼명범위,E1082)</f>
        <v/>
      </c>
      <c r="D1082" s="2">
        <f>MOD(INT((A1082-1)/4),8)+1</f>
        <v/>
      </c>
      <c r="E1082" s="2">
        <f>MOD(A1082-1,4)+1</f>
        <v/>
      </c>
      <c r="F1082" s="20">
        <f>축시작+INT((A1082-1)/32)</f>
        <v/>
      </c>
      <c r="G1082" s="20">
        <f>F1082+H1082</f>
        <v/>
      </c>
      <c r="H1082" s="5" t="n">
        <v>2</v>
      </c>
      <c r="I1082" s="2">
        <f>ROUND(INDEX(가맹점!$P$2:$P$9,D1082)*INDEX(가맹점!$J$2:$M$9,D1082,E1082),0)</f>
        <v/>
      </c>
      <c r="J1082" s="2">
        <f>ROUND(I1082*(1-할인율),0)</f>
        <v/>
      </c>
      <c r="K1082" s="2">
        <f>ROUNDDOWN(I1082*할인율,0)</f>
        <v/>
      </c>
      <c r="L1082" s="2">
        <f>ROUND(I1082*INDEX(미지급률범위,E1082),0)</f>
        <v/>
      </c>
      <c r="M1082" s="2">
        <f>ROUND(I1082*INDEX(과지급률범위,E1082),0)</f>
        <v/>
      </c>
      <c r="N1082" s="2">
        <f>MAX(0,L1082-M1082)</f>
        <v/>
      </c>
      <c r="O1082" s="2">
        <f>K1082-N1082</f>
        <v/>
      </c>
      <c r="P1082" s="2">
        <f>I1082-N1082</f>
        <v/>
      </c>
      <c r="Q1082" s="5">
        <f>IF(G1082&gt;기준일,1,0)</f>
        <v/>
      </c>
      <c r="R1082" s="5">
        <f>IF(G1082&lt;=기준일,1,0)</f>
        <v/>
      </c>
      <c r="S1082" s="2">
        <f>J1082*H1082</f>
        <v/>
      </c>
      <c r="T1082" s="5">
        <f>IF(AND(F1082&gt;=표본시작,F1082&lt;=표본종료),1,0)</f>
        <v/>
      </c>
      <c r="U1082" s="5">
        <f>IF(AND(G1082&gt;=조회시작,G1082&lt;=조회종료),1,0)</f>
        <v/>
      </c>
    </row>
    <row r="1083">
      <c r="A1083" s="2">
        <f>ROW()-1</f>
        <v/>
      </c>
      <c r="B1083" s="5">
        <f>INDEX(상호범위,D1083)</f>
        <v/>
      </c>
      <c r="C1083" s="5">
        <f>INDEX(플랫폼명범위,E1083)</f>
        <v/>
      </c>
      <c r="D1083" s="2">
        <f>MOD(INT((A1083-1)/4),8)+1</f>
        <v/>
      </c>
      <c r="E1083" s="2">
        <f>MOD(A1083-1,4)+1</f>
        <v/>
      </c>
      <c r="F1083" s="20">
        <f>축시작+INT((A1083-1)/32)</f>
        <v/>
      </c>
      <c r="G1083" s="20">
        <f>F1083+H1083</f>
        <v/>
      </c>
      <c r="H1083" s="5" t="n">
        <v>4</v>
      </c>
      <c r="I1083" s="2">
        <f>ROUND(INDEX(가맹점!$P$2:$P$9,D1083)*INDEX(가맹점!$J$2:$M$9,D1083,E1083),0)</f>
        <v/>
      </c>
      <c r="J1083" s="2">
        <f>ROUND(I1083*(1-할인율),0)</f>
        <v/>
      </c>
      <c r="K1083" s="2">
        <f>ROUNDDOWN(I1083*할인율,0)</f>
        <v/>
      </c>
      <c r="L1083" s="2">
        <f>ROUND(I1083*INDEX(미지급률범위,E1083),0)</f>
        <v/>
      </c>
      <c r="M1083" s="2">
        <f>ROUND(I1083*INDEX(과지급률범위,E1083),0)</f>
        <v/>
      </c>
      <c r="N1083" s="2">
        <f>MAX(0,L1083-M1083)</f>
        <v/>
      </c>
      <c r="O1083" s="2">
        <f>K1083-N1083</f>
        <v/>
      </c>
      <c r="P1083" s="2">
        <f>I1083-N1083</f>
        <v/>
      </c>
      <c r="Q1083" s="5">
        <f>IF(G1083&gt;기준일,1,0)</f>
        <v/>
      </c>
      <c r="R1083" s="5">
        <f>IF(G1083&lt;=기준일,1,0)</f>
        <v/>
      </c>
      <c r="S1083" s="2">
        <f>J1083*H1083</f>
        <v/>
      </c>
      <c r="T1083" s="5">
        <f>IF(AND(F1083&gt;=표본시작,F1083&lt;=표본종료),1,0)</f>
        <v/>
      </c>
      <c r="U1083" s="5">
        <f>IF(AND(G1083&gt;=조회시작,G1083&lt;=조회종료),1,0)</f>
        <v/>
      </c>
    </row>
    <row r="1084">
      <c r="A1084" s="2">
        <f>ROW()-1</f>
        <v/>
      </c>
      <c r="B1084" s="5">
        <f>INDEX(상호범위,D1084)</f>
        <v/>
      </c>
      <c r="C1084" s="5">
        <f>INDEX(플랫폼명범위,E1084)</f>
        <v/>
      </c>
      <c r="D1084" s="2">
        <f>MOD(INT((A1084-1)/4),8)+1</f>
        <v/>
      </c>
      <c r="E1084" s="2">
        <f>MOD(A1084-1,4)+1</f>
        <v/>
      </c>
      <c r="F1084" s="20">
        <f>축시작+INT((A1084-1)/32)</f>
        <v/>
      </c>
      <c r="G1084" s="20">
        <f>F1084+H1084</f>
        <v/>
      </c>
      <c r="H1084" s="5" t="n">
        <v>5</v>
      </c>
      <c r="I1084" s="2">
        <f>ROUND(INDEX(가맹점!$P$2:$P$9,D1084)*INDEX(가맹점!$J$2:$M$9,D1084,E1084),0)</f>
        <v/>
      </c>
      <c r="J1084" s="2">
        <f>ROUND(I1084*(1-할인율),0)</f>
        <v/>
      </c>
      <c r="K1084" s="2">
        <f>ROUNDDOWN(I1084*할인율,0)</f>
        <v/>
      </c>
      <c r="L1084" s="2">
        <f>ROUND(I1084*INDEX(미지급률범위,E1084),0)</f>
        <v/>
      </c>
      <c r="M1084" s="2">
        <f>ROUND(I1084*INDEX(과지급률범위,E1084),0)</f>
        <v/>
      </c>
      <c r="N1084" s="2">
        <f>MAX(0,L1084-M1084)</f>
        <v/>
      </c>
      <c r="O1084" s="2">
        <f>K1084-N1084</f>
        <v/>
      </c>
      <c r="P1084" s="2">
        <f>I1084-N1084</f>
        <v/>
      </c>
      <c r="Q1084" s="5">
        <f>IF(G1084&gt;기준일,1,0)</f>
        <v/>
      </c>
      <c r="R1084" s="5">
        <f>IF(G1084&lt;=기준일,1,0)</f>
        <v/>
      </c>
      <c r="S1084" s="2">
        <f>J1084*H1084</f>
        <v/>
      </c>
      <c r="T1084" s="5">
        <f>IF(AND(F1084&gt;=표본시작,F1084&lt;=표본종료),1,0)</f>
        <v/>
      </c>
      <c r="U1084" s="5">
        <f>IF(AND(G1084&gt;=조회시작,G1084&lt;=조회종료),1,0)</f>
        <v/>
      </c>
    </row>
    <row r="1085">
      <c r="A1085" s="2">
        <f>ROW()-1</f>
        <v/>
      </c>
      <c r="B1085" s="5">
        <f>INDEX(상호범위,D1085)</f>
        <v/>
      </c>
      <c r="C1085" s="5">
        <f>INDEX(플랫폼명범위,E1085)</f>
        <v/>
      </c>
      <c r="D1085" s="2">
        <f>MOD(INT((A1085-1)/4),8)+1</f>
        <v/>
      </c>
      <c r="E1085" s="2">
        <f>MOD(A1085-1,4)+1</f>
        <v/>
      </c>
      <c r="F1085" s="20">
        <f>축시작+INT((A1085-1)/32)</f>
        <v/>
      </c>
      <c r="G1085" s="20">
        <f>F1085+H1085</f>
        <v/>
      </c>
      <c r="H1085" s="5" t="n">
        <v>5</v>
      </c>
      <c r="I1085" s="2">
        <f>ROUND(INDEX(가맹점!$P$2:$P$9,D1085)*INDEX(가맹점!$J$2:$M$9,D1085,E1085),0)</f>
        <v/>
      </c>
      <c r="J1085" s="2">
        <f>ROUND(I1085*(1-할인율),0)</f>
        <v/>
      </c>
      <c r="K1085" s="2">
        <f>ROUNDDOWN(I1085*할인율,0)</f>
        <v/>
      </c>
      <c r="L1085" s="2">
        <f>ROUND(I1085*INDEX(미지급률범위,E1085),0)</f>
        <v/>
      </c>
      <c r="M1085" s="2">
        <f>ROUND(I1085*INDEX(과지급률범위,E1085),0)</f>
        <v/>
      </c>
      <c r="N1085" s="2">
        <f>MAX(0,L1085-M1085)</f>
        <v/>
      </c>
      <c r="O1085" s="2">
        <f>K1085-N1085</f>
        <v/>
      </c>
      <c r="P1085" s="2">
        <f>I1085-N1085</f>
        <v/>
      </c>
      <c r="Q1085" s="5">
        <f>IF(G1085&gt;기준일,1,0)</f>
        <v/>
      </c>
      <c r="R1085" s="5">
        <f>IF(G1085&lt;=기준일,1,0)</f>
        <v/>
      </c>
      <c r="S1085" s="2">
        <f>J1085*H1085</f>
        <v/>
      </c>
      <c r="T1085" s="5">
        <f>IF(AND(F1085&gt;=표본시작,F1085&lt;=표본종료),1,0)</f>
        <v/>
      </c>
      <c r="U1085" s="5">
        <f>IF(AND(G1085&gt;=조회시작,G1085&lt;=조회종료),1,0)</f>
        <v/>
      </c>
    </row>
    <row r="1086">
      <c r="A1086" s="2">
        <f>ROW()-1</f>
        <v/>
      </c>
      <c r="B1086" s="5">
        <f>INDEX(상호범위,D1086)</f>
        <v/>
      </c>
      <c r="C1086" s="5">
        <f>INDEX(플랫폼명범위,E1086)</f>
        <v/>
      </c>
      <c r="D1086" s="2">
        <f>MOD(INT((A1086-1)/4),8)+1</f>
        <v/>
      </c>
      <c r="E1086" s="2">
        <f>MOD(A1086-1,4)+1</f>
        <v/>
      </c>
      <c r="F1086" s="20">
        <f>축시작+INT((A1086-1)/32)</f>
        <v/>
      </c>
      <c r="G1086" s="20">
        <f>F1086+H1086</f>
        <v/>
      </c>
      <c r="H1086" s="5" t="n">
        <v>3</v>
      </c>
      <c r="I1086" s="2">
        <f>ROUND(INDEX(가맹점!$P$2:$P$9,D1086)*INDEX(가맹점!$J$2:$M$9,D1086,E1086),0)</f>
        <v/>
      </c>
      <c r="J1086" s="2">
        <f>ROUND(I1086*(1-할인율),0)</f>
        <v/>
      </c>
      <c r="K1086" s="2">
        <f>ROUNDDOWN(I1086*할인율,0)</f>
        <v/>
      </c>
      <c r="L1086" s="2">
        <f>ROUND(I1086*INDEX(미지급률범위,E1086),0)</f>
        <v/>
      </c>
      <c r="M1086" s="2">
        <f>ROUND(I1086*INDEX(과지급률범위,E1086),0)</f>
        <v/>
      </c>
      <c r="N1086" s="2">
        <f>MAX(0,L1086-M1086)</f>
        <v/>
      </c>
      <c r="O1086" s="2">
        <f>K1086-N1086</f>
        <v/>
      </c>
      <c r="P1086" s="2">
        <f>I1086-N1086</f>
        <v/>
      </c>
      <c r="Q1086" s="5">
        <f>IF(G1086&gt;기준일,1,0)</f>
        <v/>
      </c>
      <c r="R1086" s="5">
        <f>IF(G1086&lt;=기준일,1,0)</f>
        <v/>
      </c>
      <c r="S1086" s="2">
        <f>J1086*H1086</f>
        <v/>
      </c>
      <c r="T1086" s="5">
        <f>IF(AND(F1086&gt;=표본시작,F1086&lt;=표본종료),1,0)</f>
        <v/>
      </c>
      <c r="U1086" s="5">
        <f>IF(AND(G1086&gt;=조회시작,G1086&lt;=조회종료),1,0)</f>
        <v/>
      </c>
    </row>
    <row r="1087">
      <c r="A1087" s="2">
        <f>ROW()-1</f>
        <v/>
      </c>
      <c r="B1087" s="5">
        <f>INDEX(상호범위,D1087)</f>
        <v/>
      </c>
      <c r="C1087" s="5">
        <f>INDEX(플랫폼명범위,E1087)</f>
        <v/>
      </c>
      <c r="D1087" s="2">
        <f>MOD(INT((A1087-1)/4),8)+1</f>
        <v/>
      </c>
      <c r="E1087" s="2">
        <f>MOD(A1087-1,4)+1</f>
        <v/>
      </c>
      <c r="F1087" s="20">
        <f>축시작+INT((A1087-1)/32)</f>
        <v/>
      </c>
      <c r="G1087" s="20">
        <f>F1087+H1087</f>
        <v/>
      </c>
      <c r="H1087" s="5" t="n">
        <v>3</v>
      </c>
      <c r="I1087" s="2">
        <f>ROUND(INDEX(가맹점!$P$2:$P$9,D1087)*INDEX(가맹점!$J$2:$M$9,D1087,E1087),0)</f>
        <v/>
      </c>
      <c r="J1087" s="2">
        <f>ROUND(I1087*(1-할인율),0)</f>
        <v/>
      </c>
      <c r="K1087" s="2">
        <f>ROUNDDOWN(I1087*할인율,0)</f>
        <v/>
      </c>
      <c r="L1087" s="2">
        <f>ROUND(I1087*INDEX(미지급률범위,E1087),0)</f>
        <v/>
      </c>
      <c r="M1087" s="2">
        <f>ROUND(I1087*INDEX(과지급률범위,E1087),0)</f>
        <v/>
      </c>
      <c r="N1087" s="2">
        <f>MAX(0,L1087-M1087)</f>
        <v/>
      </c>
      <c r="O1087" s="2">
        <f>K1087-N1087</f>
        <v/>
      </c>
      <c r="P1087" s="2">
        <f>I1087-N1087</f>
        <v/>
      </c>
      <c r="Q1087" s="5">
        <f>IF(G1087&gt;기준일,1,0)</f>
        <v/>
      </c>
      <c r="R1087" s="5">
        <f>IF(G1087&lt;=기준일,1,0)</f>
        <v/>
      </c>
      <c r="S1087" s="2">
        <f>J1087*H1087</f>
        <v/>
      </c>
      <c r="T1087" s="5">
        <f>IF(AND(F1087&gt;=표본시작,F1087&lt;=표본종료),1,0)</f>
        <v/>
      </c>
      <c r="U1087" s="5">
        <f>IF(AND(G1087&gt;=조회시작,G1087&lt;=조회종료),1,0)</f>
        <v/>
      </c>
    </row>
    <row r="1088">
      <c r="A1088" s="2">
        <f>ROW()-1</f>
        <v/>
      </c>
      <c r="B1088" s="5">
        <f>INDEX(상호범위,D1088)</f>
        <v/>
      </c>
      <c r="C1088" s="5">
        <f>INDEX(플랫폼명범위,E1088)</f>
        <v/>
      </c>
      <c r="D1088" s="2">
        <f>MOD(INT((A1088-1)/4),8)+1</f>
        <v/>
      </c>
      <c r="E1088" s="2">
        <f>MOD(A1088-1,4)+1</f>
        <v/>
      </c>
      <c r="F1088" s="20">
        <f>축시작+INT((A1088-1)/32)</f>
        <v/>
      </c>
      <c r="G1088" s="20">
        <f>F1088+H1088</f>
        <v/>
      </c>
      <c r="H1088" s="5" t="n">
        <v>5</v>
      </c>
      <c r="I1088" s="2">
        <f>ROUND(INDEX(가맹점!$P$2:$P$9,D1088)*INDEX(가맹점!$J$2:$M$9,D1088,E1088),0)</f>
        <v/>
      </c>
      <c r="J1088" s="2">
        <f>ROUND(I1088*(1-할인율),0)</f>
        <v/>
      </c>
      <c r="K1088" s="2">
        <f>ROUNDDOWN(I1088*할인율,0)</f>
        <v/>
      </c>
      <c r="L1088" s="2">
        <f>ROUND(I1088*INDEX(미지급률범위,E1088),0)</f>
        <v/>
      </c>
      <c r="M1088" s="2">
        <f>ROUND(I1088*INDEX(과지급률범위,E1088),0)</f>
        <v/>
      </c>
      <c r="N1088" s="2">
        <f>MAX(0,L1088-M1088)</f>
        <v/>
      </c>
      <c r="O1088" s="2">
        <f>K1088-N1088</f>
        <v/>
      </c>
      <c r="P1088" s="2">
        <f>I1088-N1088</f>
        <v/>
      </c>
      <c r="Q1088" s="5">
        <f>IF(G1088&gt;기준일,1,0)</f>
        <v/>
      </c>
      <c r="R1088" s="5">
        <f>IF(G1088&lt;=기준일,1,0)</f>
        <v/>
      </c>
      <c r="S1088" s="2">
        <f>J1088*H1088</f>
        <v/>
      </c>
      <c r="T1088" s="5">
        <f>IF(AND(F1088&gt;=표본시작,F1088&lt;=표본종료),1,0)</f>
        <v/>
      </c>
      <c r="U1088" s="5">
        <f>IF(AND(G1088&gt;=조회시작,G1088&lt;=조회종료),1,0)</f>
        <v/>
      </c>
    </row>
    <row r="1089">
      <c r="A1089" s="2">
        <f>ROW()-1</f>
        <v/>
      </c>
      <c r="B1089" s="5">
        <f>INDEX(상호범위,D1089)</f>
        <v/>
      </c>
      <c r="C1089" s="5">
        <f>INDEX(플랫폼명범위,E1089)</f>
        <v/>
      </c>
      <c r="D1089" s="2">
        <f>MOD(INT((A1089-1)/4),8)+1</f>
        <v/>
      </c>
      <c r="E1089" s="2">
        <f>MOD(A1089-1,4)+1</f>
        <v/>
      </c>
      <c r="F1089" s="20">
        <f>축시작+INT((A1089-1)/32)</f>
        <v/>
      </c>
      <c r="G1089" s="20">
        <f>F1089+H1089</f>
        <v/>
      </c>
      <c r="H1089" s="5" t="n">
        <v>7</v>
      </c>
      <c r="I1089" s="2">
        <f>ROUND(INDEX(가맹점!$P$2:$P$9,D1089)*INDEX(가맹점!$J$2:$M$9,D1089,E1089),0)</f>
        <v/>
      </c>
      <c r="J1089" s="2">
        <f>ROUND(I1089*(1-할인율),0)</f>
        <v/>
      </c>
      <c r="K1089" s="2">
        <f>ROUNDDOWN(I1089*할인율,0)</f>
        <v/>
      </c>
      <c r="L1089" s="2">
        <f>ROUND(I1089*INDEX(미지급률범위,E1089),0)</f>
        <v/>
      </c>
      <c r="M1089" s="2">
        <f>ROUND(I1089*INDEX(과지급률범위,E1089),0)</f>
        <v/>
      </c>
      <c r="N1089" s="2">
        <f>MAX(0,L1089-M1089)</f>
        <v/>
      </c>
      <c r="O1089" s="2">
        <f>K1089-N1089</f>
        <v/>
      </c>
      <c r="P1089" s="2">
        <f>I1089-N1089</f>
        <v/>
      </c>
      <c r="Q1089" s="5">
        <f>IF(G1089&gt;기준일,1,0)</f>
        <v/>
      </c>
      <c r="R1089" s="5">
        <f>IF(G1089&lt;=기준일,1,0)</f>
        <v/>
      </c>
      <c r="S1089" s="2">
        <f>J1089*H1089</f>
        <v/>
      </c>
      <c r="T1089" s="5">
        <f>IF(AND(F1089&gt;=표본시작,F1089&lt;=표본종료),1,0)</f>
        <v/>
      </c>
      <c r="U1089" s="5">
        <f>IF(AND(G1089&gt;=조회시작,G1089&lt;=조회종료),1,0)</f>
        <v/>
      </c>
    </row>
    <row r="1090">
      <c r="A1090" s="2">
        <f>ROW()-1</f>
        <v/>
      </c>
      <c r="B1090" s="5">
        <f>INDEX(상호범위,D1090)</f>
        <v/>
      </c>
      <c r="C1090" s="5">
        <f>INDEX(플랫폼명범위,E1090)</f>
        <v/>
      </c>
      <c r="D1090" s="2">
        <f>MOD(INT((A1090-1)/4),8)+1</f>
        <v/>
      </c>
      <c r="E1090" s="2">
        <f>MOD(A1090-1,4)+1</f>
        <v/>
      </c>
      <c r="F1090" s="20">
        <f>축시작+INT((A1090-1)/32)</f>
        <v/>
      </c>
      <c r="G1090" s="20">
        <f>F1090+H1090</f>
        <v/>
      </c>
      <c r="H1090" s="5" t="n">
        <v>2</v>
      </c>
      <c r="I1090" s="2">
        <f>ROUND(INDEX(가맹점!$P$2:$P$9,D1090)*INDEX(가맹점!$J$2:$M$9,D1090,E1090),0)</f>
        <v/>
      </c>
      <c r="J1090" s="2">
        <f>ROUND(I1090*(1-할인율),0)</f>
        <v/>
      </c>
      <c r="K1090" s="2">
        <f>ROUNDDOWN(I1090*할인율,0)</f>
        <v/>
      </c>
      <c r="L1090" s="2">
        <f>ROUND(I1090*INDEX(미지급률범위,E1090),0)</f>
        <v/>
      </c>
      <c r="M1090" s="2">
        <f>ROUND(I1090*INDEX(과지급률범위,E1090),0)</f>
        <v/>
      </c>
      <c r="N1090" s="2">
        <f>MAX(0,L1090-M1090)</f>
        <v/>
      </c>
      <c r="O1090" s="2">
        <f>K1090-N1090</f>
        <v/>
      </c>
      <c r="P1090" s="2">
        <f>I1090-N1090</f>
        <v/>
      </c>
      <c r="Q1090" s="5">
        <f>IF(G1090&gt;기준일,1,0)</f>
        <v/>
      </c>
      <c r="R1090" s="5">
        <f>IF(G1090&lt;=기준일,1,0)</f>
        <v/>
      </c>
      <c r="S1090" s="2">
        <f>J1090*H1090</f>
        <v/>
      </c>
      <c r="T1090" s="5">
        <f>IF(AND(F1090&gt;=표본시작,F1090&lt;=표본종료),1,0)</f>
        <v/>
      </c>
      <c r="U1090" s="5">
        <f>IF(AND(G1090&gt;=조회시작,G1090&lt;=조회종료),1,0)</f>
        <v/>
      </c>
    </row>
    <row r="1091">
      <c r="A1091" s="2">
        <f>ROW()-1</f>
        <v/>
      </c>
      <c r="B1091" s="5">
        <f>INDEX(상호범위,D1091)</f>
        <v/>
      </c>
      <c r="C1091" s="5">
        <f>INDEX(플랫폼명범위,E1091)</f>
        <v/>
      </c>
      <c r="D1091" s="2">
        <f>MOD(INT((A1091-1)/4),8)+1</f>
        <v/>
      </c>
      <c r="E1091" s="2">
        <f>MOD(A1091-1,4)+1</f>
        <v/>
      </c>
      <c r="F1091" s="20">
        <f>축시작+INT((A1091-1)/32)</f>
        <v/>
      </c>
      <c r="G1091" s="20">
        <f>F1091+H1091</f>
        <v/>
      </c>
      <c r="H1091" s="5" t="n">
        <v>3</v>
      </c>
      <c r="I1091" s="2">
        <f>ROUND(INDEX(가맹점!$P$2:$P$9,D1091)*INDEX(가맹점!$J$2:$M$9,D1091,E1091),0)</f>
        <v/>
      </c>
      <c r="J1091" s="2">
        <f>ROUND(I1091*(1-할인율),0)</f>
        <v/>
      </c>
      <c r="K1091" s="2">
        <f>ROUNDDOWN(I1091*할인율,0)</f>
        <v/>
      </c>
      <c r="L1091" s="2">
        <f>ROUND(I1091*INDEX(미지급률범위,E1091),0)</f>
        <v/>
      </c>
      <c r="M1091" s="2">
        <f>ROUND(I1091*INDEX(과지급률범위,E1091),0)</f>
        <v/>
      </c>
      <c r="N1091" s="2">
        <f>MAX(0,L1091-M1091)</f>
        <v/>
      </c>
      <c r="O1091" s="2">
        <f>K1091-N1091</f>
        <v/>
      </c>
      <c r="P1091" s="2">
        <f>I1091-N1091</f>
        <v/>
      </c>
      <c r="Q1091" s="5">
        <f>IF(G1091&gt;기준일,1,0)</f>
        <v/>
      </c>
      <c r="R1091" s="5">
        <f>IF(G1091&lt;=기준일,1,0)</f>
        <v/>
      </c>
      <c r="S1091" s="2">
        <f>J1091*H1091</f>
        <v/>
      </c>
      <c r="T1091" s="5">
        <f>IF(AND(F1091&gt;=표본시작,F1091&lt;=표본종료),1,0)</f>
        <v/>
      </c>
      <c r="U1091" s="5">
        <f>IF(AND(G1091&gt;=조회시작,G1091&lt;=조회종료),1,0)</f>
        <v/>
      </c>
    </row>
    <row r="1092">
      <c r="A1092" s="2">
        <f>ROW()-1</f>
        <v/>
      </c>
      <c r="B1092" s="5">
        <f>INDEX(상호범위,D1092)</f>
        <v/>
      </c>
      <c r="C1092" s="5">
        <f>INDEX(플랫폼명범위,E1092)</f>
        <v/>
      </c>
      <c r="D1092" s="2">
        <f>MOD(INT((A1092-1)/4),8)+1</f>
        <v/>
      </c>
      <c r="E1092" s="2">
        <f>MOD(A1092-1,4)+1</f>
        <v/>
      </c>
      <c r="F1092" s="20">
        <f>축시작+INT((A1092-1)/32)</f>
        <v/>
      </c>
      <c r="G1092" s="20">
        <f>F1092+H1092</f>
        <v/>
      </c>
      <c r="H1092" s="5" t="n">
        <v>5</v>
      </c>
      <c r="I1092" s="2">
        <f>ROUND(INDEX(가맹점!$P$2:$P$9,D1092)*INDEX(가맹점!$J$2:$M$9,D1092,E1092),0)</f>
        <v/>
      </c>
      <c r="J1092" s="2">
        <f>ROUND(I1092*(1-할인율),0)</f>
        <v/>
      </c>
      <c r="K1092" s="2">
        <f>ROUNDDOWN(I1092*할인율,0)</f>
        <v/>
      </c>
      <c r="L1092" s="2">
        <f>ROUND(I1092*INDEX(미지급률범위,E1092),0)</f>
        <v/>
      </c>
      <c r="M1092" s="2">
        <f>ROUND(I1092*INDEX(과지급률범위,E1092),0)</f>
        <v/>
      </c>
      <c r="N1092" s="2">
        <f>MAX(0,L1092-M1092)</f>
        <v/>
      </c>
      <c r="O1092" s="2">
        <f>K1092-N1092</f>
        <v/>
      </c>
      <c r="P1092" s="2">
        <f>I1092-N1092</f>
        <v/>
      </c>
      <c r="Q1092" s="5">
        <f>IF(G1092&gt;기준일,1,0)</f>
        <v/>
      </c>
      <c r="R1092" s="5">
        <f>IF(G1092&lt;=기준일,1,0)</f>
        <v/>
      </c>
      <c r="S1092" s="2">
        <f>J1092*H1092</f>
        <v/>
      </c>
      <c r="T1092" s="5">
        <f>IF(AND(F1092&gt;=표본시작,F1092&lt;=표본종료),1,0)</f>
        <v/>
      </c>
      <c r="U1092" s="5">
        <f>IF(AND(G1092&gt;=조회시작,G1092&lt;=조회종료),1,0)</f>
        <v/>
      </c>
    </row>
    <row r="1093">
      <c r="A1093" s="2">
        <f>ROW()-1</f>
        <v/>
      </c>
      <c r="B1093" s="5">
        <f>INDEX(상호범위,D1093)</f>
        <v/>
      </c>
      <c r="C1093" s="5">
        <f>INDEX(플랫폼명범위,E1093)</f>
        <v/>
      </c>
      <c r="D1093" s="2">
        <f>MOD(INT((A1093-1)/4),8)+1</f>
        <v/>
      </c>
      <c r="E1093" s="2">
        <f>MOD(A1093-1,4)+1</f>
        <v/>
      </c>
      <c r="F1093" s="20">
        <f>축시작+INT((A1093-1)/32)</f>
        <v/>
      </c>
      <c r="G1093" s="20">
        <f>F1093+H1093</f>
        <v/>
      </c>
      <c r="H1093" s="5" t="n">
        <v>6</v>
      </c>
      <c r="I1093" s="2">
        <f>ROUND(INDEX(가맹점!$P$2:$P$9,D1093)*INDEX(가맹점!$J$2:$M$9,D1093,E1093),0)</f>
        <v/>
      </c>
      <c r="J1093" s="2">
        <f>ROUND(I1093*(1-할인율),0)</f>
        <v/>
      </c>
      <c r="K1093" s="2">
        <f>ROUNDDOWN(I1093*할인율,0)</f>
        <v/>
      </c>
      <c r="L1093" s="2">
        <f>ROUND(I1093*INDEX(미지급률범위,E1093),0)</f>
        <v/>
      </c>
      <c r="M1093" s="2">
        <f>ROUND(I1093*INDEX(과지급률범위,E1093),0)</f>
        <v/>
      </c>
      <c r="N1093" s="2">
        <f>MAX(0,L1093-M1093)</f>
        <v/>
      </c>
      <c r="O1093" s="2">
        <f>K1093-N1093</f>
        <v/>
      </c>
      <c r="P1093" s="2">
        <f>I1093-N1093</f>
        <v/>
      </c>
      <c r="Q1093" s="5">
        <f>IF(G1093&gt;기준일,1,0)</f>
        <v/>
      </c>
      <c r="R1093" s="5">
        <f>IF(G1093&lt;=기준일,1,0)</f>
        <v/>
      </c>
      <c r="S1093" s="2">
        <f>J1093*H1093</f>
        <v/>
      </c>
      <c r="T1093" s="5">
        <f>IF(AND(F1093&gt;=표본시작,F1093&lt;=표본종료),1,0)</f>
        <v/>
      </c>
      <c r="U1093" s="5">
        <f>IF(AND(G1093&gt;=조회시작,G1093&lt;=조회종료),1,0)</f>
        <v/>
      </c>
    </row>
    <row r="1094">
      <c r="A1094" s="2">
        <f>ROW()-1</f>
        <v/>
      </c>
      <c r="B1094" s="5">
        <f>INDEX(상호범위,D1094)</f>
        <v/>
      </c>
      <c r="C1094" s="5">
        <f>INDEX(플랫폼명범위,E1094)</f>
        <v/>
      </c>
      <c r="D1094" s="2">
        <f>MOD(INT((A1094-1)/4),8)+1</f>
        <v/>
      </c>
      <c r="E1094" s="2">
        <f>MOD(A1094-1,4)+1</f>
        <v/>
      </c>
      <c r="F1094" s="20">
        <f>축시작+INT((A1094-1)/32)</f>
        <v/>
      </c>
      <c r="G1094" s="20">
        <f>F1094+H1094</f>
        <v/>
      </c>
      <c r="H1094" s="5" t="n">
        <v>3</v>
      </c>
      <c r="I1094" s="2">
        <f>ROUND(INDEX(가맹점!$P$2:$P$9,D1094)*INDEX(가맹점!$J$2:$M$9,D1094,E1094),0)</f>
        <v/>
      </c>
      <c r="J1094" s="2">
        <f>ROUND(I1094*(1-할인율),0)</f>
        <v/>
      </c>
      <c r="K1094" s="2">
        <f>ROUNDDOWN(I1094*할인율,0)</f>
        <v/>
      </c>
      <c r="L1094" s="2">
        <f>ROUND(I1094*INDEX(미지급률범위,E1094),0)</f>
        <v/>
      </c>
      <c r="M1094" s="2">
        <f>ROUND(I1094*INDEX(과지급률범위,E1094),0)</f>
        <v/>
      </c>
      <c r="N1094" s="2">
        <f>MAX(0,L1094-M1094)</f>
        <v/>
      </c>
      <c r="O1094" s="2">
        <f>K1094-N1094</f>
        <v/>
      </c>
      <c r="P1094" s="2">
        <f>I1094-N1094</f>
        <v/>
      </c>
      <c r="Q1094" s="5">
        <f>IF(G1094&gt;기준일,1,0)</f>
        <v/>
      </c>
      <c r="R1094" s="5">
        <f>IF(G1094&lt;=기준일,1,0)</f>
        <v/>
      </c>
      <c r="S1094" s="2">
        <f>J1094*H1094</f>
        <v/>
      </c>
      <c r="T1094" s="5">
        <f>IF(AND(F1094&gt;=표본시작,F1094&lt;=표본종료),1,0)</f>
        <v/>
      </c>
      <c r="U1094" s="5">
        <f>IF(AND(G1094&gt;=조회시작,G1094&lt;=조회종료),1,0)</f>
        <v/>
      </c>
    </row>
    <row r="1095">
      <c r="A1095" s="2">
        <f>ROW()-1</f>
        <v/>
      </c>
      <c r="B1095" s="5">
        <f>INDEX(상호범위,D1095)</f>
        <v/>
      </c>
      <c r="C1095" s="5">
        <f>INDEX(플랫폼명범위,E1095)</f>
        <v/>
      </c>
      <c r="D1095" s="2">
        <f>MOD(INT((A1095-1)/4),8)+1</f>
        <v/>
      </c>
      <c r="E1095" s="2">
        <f>MOD(A1095-1,4)+1</f>
        <v/>
      </c>
      <c r="F1095" s="20">
        <f>축시작+INT((A1095-1)/32)</f>
        <v/>
      </c>
      <c r="G1095" s="20">
        <f>F1095+H1095</f>
        <v/>
      </c>
      <c r="H1095" s="5" t="n">
        <v>2</v>
      </c>
      <c r="I1095" s="2">
        <f>ROUND(INDEX(가맹점!$P$2:$P$9,D1095)*INDEX(가맹점!$J$2:$M$9,D1095,E1095),0)</f>
        <v/>
      </c>
      <c r="J1095" s="2">
        <f>ROUND(I1095*(1-할인율),0)</f>
        <v/>
      </c>
      <c r="K1095" s="2">
        <f>ROUNDDOWN(I1095*할인율,0)</f>
        <v/>
      </c>
      <c r="L1095" s="2">
        <f>ROUND(I1095*INDEX(미지급률범위,E1095),0)</f>
        <v/>
      </c>
      <c r="M1095" s="2">
        <f>ROUND(I1095*INDEX(과지급률범위,E1095),0)</f>
        <v/>
      </c>
      <c r="N1095" s="2">
        <f>MAX(0,L1095-M1095)</f>
        <v/>
      </c>
      <c r="O1095" s="2">
        <f>K1095-N1095</f>
        <v/>
      </c>
      <c r="P1095" s="2">
        <f>I1095-N1095</f>
        <v/>
      </c>
      <c r="Q1095" s="5">
        <f>IF(G1095&gt;기준일,1,0)</f>
        <v/>
      </c>
      <c r="R1095" s="5">
        <f>IF(G1095&lt;=기준일,1,0)</f>
        <v/>
      </c>
      <c r="S1095" s="2">
        <f>J1095*H1095</f>
        <v/>
      </c>
      <c r="T1095" s="5">
        <f>IF(AND(F1095&gt;=표본시작,F1095&lt;=표본종료),1,0)</f>
        <v/>
      </c>
      <c r="U1095" s="5">
        <f>IF(AND(G1095&gt;=조회시작,G1095&lt;=조회종료),1,0)</f>
        <v/>
      </c>
    </row>
    <row r="1096">
      <c r="A1096" s="2">
        <f>ROW()-1</f>
        <v/>
      </c>
      <c r="B1096" s="5">
        <f>INDEX(상호범위,D1096)</f>
        <v/>
      </c>
      <c r="C1096" s="5">
        <f>INDEX(플랫폼명범위,E1096)</f>
        <v/>
      </c>
      <c r="D1096" s="2">
        <f>MOD(INT((A1096-1)/4),8)+1</f>
        <v/>
      </c>
      <c r="E1096" s="2">
        <f>MOD(A1096-1,4)+1</f>
        <v/>
      </c>
      <c r="F1096" s="20">
        <f>축시작+INT((A1096-1)/32)</f>
        <v/>
      </c>
      <c r="G1096" s="20">
        <f>F1096+H1096</f>
        <v/>
      </c>
      <c r="H1096" s="5" t="n">
        <v>7</v>
      </c>
      <c r="I1096" s="2">
        <f>ROUND(INDEX(가맹점!$P$2:$P$9,D1096)*INDEX(가맹점!$J$2:$M$9,D1096,E1096),0)</f>
        <v/>
      </c>
      <c r="J1096" s="2">
        <f>ROUND(I1096*(1-할인율),0)</f>
        <v/>
      </c>
      <c r="K1096" s="2">
        <f>ROUNDDOWN(I1096*할인율,0)</f>
        <v/>
      </c>
      <c r="L1096" s="2">
        <f>ROUND(I1096*INDEX(미지급률범위,E1096),0)</f>
        <v/>
      </c>
      <c r="M1096" s="2">
        <f>ROUND(I1096*INDEX(과지급률범위,E1096),0)</f>
        <v/>
      </c>
      <c r="N1096" s="2">
        <f>MAX(0,L1096-M1096)</f>
        <v/>
      </c>
      <c r="O1096" s="2">
        <f>K1096-N1096</f>
        <v/>
      </c>
      <c r="P1096" s="2">
        <f>I1096-N1096</f>
        <v/>
      </c>
      <c r="Q1096" s="5">
        <f>IF(G1096&gt;기준일,1,0)</f>
        <v/>
      </c>
      <c r="R1096" s="5">
        <f>IF(G1096&lt;=기준일,1,0)</f>
        <v/>
      </c>
      <c r="S1096" s="2">
        <f>J1096*H1096</f>
        <v/>
      </c>
      <c r="T1096" s="5">
        <f>IF(AND(F1096&gt;=표본시작,F1096&lt;=표본종료),1,0)</f>
        <v/>
      </c>
      <c r="U1096" s="5">
        <f>IF(AND(G1096&gt;=조회시작,G1096&lt;=조회종료),1,0)</f>
        <v/>
      </c>
    </row>
    <row r="1097">
      <c r="A1097" s="2">
        <f>ROW()-1</f>
        <v/>
      </c>
      <c r="B1097" s="5">
        <f>INDEX(상호범위,D1097)</f>
        <v/>
      </c>
      <c r="C1097" s="5">
        <f>INDEX(플랫폼명범위,E1097)</f>
        <v/>
      </c>
      <c r="D1097" s="2">
        <f>MOD(INT((A1097-1)/4),8)+1</f>
        <v/>
      </c>
      <c r="E1097" s="2">
        <f>MOD(A1097-1,4)+1</f>
        <v/>
      </c>
      <c r="F1097" s="20">
        <f>축시작+INT((A1097-1)/32)</f>
        <v/>
      </c>
      <c r="G1097" s="20">
        <f>F1097+H1097</f>
        <v/>
      </c>
      <c r="H1097" s="5" t="n">
        <v>6</v>
      </c>
      <c r="I1097" s="2">
        <f>ROUND(INDEX(가맹점!$P$2:$P$9,D1097)*INDEX(가맹점!$J$2:$M$9,D1097,E1097),0)</f>
        <v/>
      </c>
      <c r="J1097" s="2">
        <f>ROUND(I1097*(1-할인율),0)</f>
        <v/>
      </c>
      <c r="K1097" s="2">
        <f>ROUNDDOWN(I1097*할인율,0)</f>
        <v/>
      </c>
      <c r="L1097" s="2">
        <f>ROUND(I1097*INDEX(미지급률범위,E1097),0)</f>
        <v/>
      </c>
      <c r="M1097" s="2">
        <f>ROUND(I1097*INDEX(과지급률범위,E1097),0)</f>
        <v/>
      </c>
      <c r="N1097" s="2">
        <f>MAX(0,L1097-M1097)</f>
        <v/>
      </c>
      <c r="O1097" s="2">
        <f>K1097-N1097</f>
        <v/>
      </c>
      <c r="P1097" s="2">
        <f>I1097-N1097</f>
        <v/>
      </c>
      <c r="Q1097" s="5">
        <f>IF(G1097&gt;기준일,1,0)</f>
        <v/>
      </c>
      <c r="R1097" s="5">
        <f>IF(G1097&lt;=기준일,1,0)</f>
        <v/>
      </c>
      <c r="S1097" s="2">
        <f>J1097*H1097</f>
        <v/>
      </c>
      <c r="T1097" s="5">
        <f>IF(AND(F1097&gt;=표본시작,F1097&lt;=표본종료),1,0)</f>
        <v/>
      </c>
      <c r="U1097" s="5">
        <f>IF(AND(G1097&gt;=조회시작,G1097&lt;=조회종료),1,0)</f>
        <v/>
      </c>
    </row>
    <row r="1098">
      <c r="A1098" s="2">
        <f>ROW()-1</f>
        <v/>
      </c>
      <c r="B1098" s="5">
        <f>INDEX(상호범위,D1098)</f>
        <v/>
      </c>
      <c r="C1098" s="5">
        <f>INDEX(플랫폼명범위,E1098)</f>
        <v/>
      </c>
      <c r="D1098" s="2">
        <f>MOD(INT((A1098-1)/4),8)+1</f>
        <v/>
      </c>
      <c r="E1098" s="2">
        <f>MOD(A1098-1,4)+1</f>
        <v/>
      </c>
      <c r="F1098" s="20">
        <f>축시작+INT((A1098-1)/32)</f>
        <v/>
      </c>
      <c r="G1098" s="20">
        <f>F1098+H1098</f>
        <v/>
      </c>
      <c r="H1098" s="5" t="n">
        <v>2</v>
      </c>
      <c r="I1098" s="2">
        <f>ROUND(INDEX(가맹점!$P$2:$P$9,D1098)*INDEX(가맹점!$J$2:$M$9,D1098,E1098),0)</f>
        <v/>
      </c>
      <c r="J1098" s="2">
        <f>ROUND(I1098*(1-할인율),0)</f>
        <v/>
      </c>
      <c r="K1098" s="2">
        <f>ROUNDDOWN(I1098*할인율,0)</f>
        <v/>
      </c>
      <c r="L1098" s="2">
        <f>ROUND(I1098*INDEX(미지급률범위,E1098),0)</f>
        <v/>
      </c>
      <c r="M1098" s="2">
        <f>ROUND(I1098*INDEX(과지급률범위,E1098),0)</f>
        <v/>
      </c>
      <c r="N1098" s="2">
        <f>MAX(0,L1098-M1098)</f>
        <v/>
      </c>
      <c r="O1098" s="2">
        <f>K1098-N1098</f>
        <v/>
      </c>
      <c r="P1098" s="2">
        <f>I1098-N1098</f>
        <v/>
      </c>
      <c r="Q1098" s="5">
        <f>IF(G1098&gt;기준일,1,0)</f>
        <v/>
      </c>
      <c r="R1098" s="5">
        <f>IF(G1098&lt;=기준일,1,0)</f>
        <v/>
      </c>
      <c r="S1098" s="2">
        <f>J1098*H1098</f>
        <v/>
      </c>
      <c r="T1098" s="5">
        <f>IF(AND(F1098&gt;=표본시작,F1098&lt;=표본종료),1,0)</f>
        <v/>
      </c>
      <c r="U1098" s="5">
        <f>IF(AND(G1098&gt;=조회시작,G1098&lt;=조회종료),1,0)</f>
        <v/>
      </c>
    </row>
    <row r="1099">
      <c r="A1099" s="2">
        <f>ROW()-1</f>
        <v/>
      </c>
      <c r="B1099" s="5">
        <f>INDEX(상호범위,D1099)</f>
        <v/>
      </c>
      <c r="C1099" s="5">
        <f>INDEX(플랫폼명범위,E1099)</f>
        <v/>
      </c>
      <c r="D1099" s="2">
        <f>MOD(INT((A1099-1)/4),8)+1</f>
        <v/>
      </c>
      <c r="E1099" s="2">
        <f>MOD(A1099-1,4)+1</f>
        <v/>
      </c>
      <c r="F1099" s="20">
        <f>축시작+INT((A1099-1)/32)</f>
        <v/>
      </c>
      <c r="G1099" s="20">
        <f>F1099+H1099</f>
        <v/>
      </c>
      <c r="H1099" s="5" t="n">
        <v>2</v>
      </c>
      <c r="I1099" s="2">
        <f>ROUND(INDEX(가맹점!$P$2:$P$9,D1099)*INDEX(가맹점!$J$2:$M$9,D1099,E1099),0)</f>
        <v/>
      </c>
      <c r="J1099" s="2">
        <f>ROUND(I1099*(1-할인율),0)</f>
        <v/>
      </c>
      <c r="K1099" s="2">
        <f>ROUNDDOWN(I1099*할인율,0)</f>
        <v/>
      </c>
      <c r="L1099" s="2">
        <f>ROUND(I1099*INDEX(미지급률범위,E1099),0)</f>
        <v/>
      </c>
      <c r="M1099" s="2">
        <f>ROUND(I1099*INDEX(과지급률범위,E1099),0)</f>
        <v/>
      </c>
      <c r="N1099" s="2">
        <f>MAX(0,L1099-M1099)</f>
        <v/>
      </c>
      <c r="O1099" s="2">
        <f>K1099-N1099</f>
        <v/>
      </c>
      <c r="P1099" s="2">
        <f>I1099-N1099</f>
        <v/>
      </c>
      <c r="Q1099" s="5">
        <f>IF(G1099&gt;기준일,1,0)</f>
        <v/>
      </c>
      <c r="R1099" s="5">
        <f>IF(G1099&lt;=기준일,1,0)</f>
        <v/>
      </c>
      <c r="S1099" s="2">
        <f>J1099*H1099</f>
        <v/>
      </c>
      <c r="T1099" s="5">
        <f>IF(AND(F1099&gt;=표본시작,F1099&lt;=표본종료),1,0)</f>
        <v/>
      </c>
      <c r="U1099" s="5">
        <f>IF(AND(G1099&gt;=조회시작,G1099&lt;=조회종료),1,0)</f>
        <v/>
      </c>
    </row>
    <row r="1100">
      <c r="A1100" s="2">
        <f>ROW()-1</f>
        <v/>
      </c>
      <c r="B1100" s="5">
        <f>INDEX(상호범위,D1100)</f>
        <v/>
      </c>
      <c r="C1100" s="5">
        <f>INDEX(플랫폼명범위,E1100)</f>
        <v/>
      </c>
      <c r="D1100" s="2">
        <f>MOD(INT((A1100-1)/4),8)+1</f>
        <v/>
      </c>
      <c r="E1100" s="2">
        <f>MOD(A1100-1,4)+1</f>
        <v/>
      </c>
      <c r="F1100" s="20">
        <f>축시작+INT((A1100-1)/32)</f>
        <v/>
      </c>
      <c r="G1100" s="20">
        <f>F1100+H1100</f>
        <v/>
      </c>
      <c r="H1100" s="5" t="n">
        <v>7</v>
      </c>
      <c r="I1100" s="2">
        <f>ROUND(INDEX(가맹점!$P$2:$P$9,D1100)*INDEX(가맹점!$J$2:$M$9,D1100,E1100),0)</f>
        <v/>
      </c>
      <c r="J1100" s="2">
        <f>ROUND(I1100*(1-할인율),0)</f>
        <v/>
      </c>
      <c r="K1100" s="2">
        <f>ROUNDDOWN(I1100*할인율,0)</f>
        <v/>
      </c>
      <c r="L1100" s="2">
        <f>ROUND(I1100*INDEX(미지급률범위,E1100),0)</f>
        <v/>
      </c>
      <c r="M1100" s="2">
        <f>ROUND(I1100*INDEX(과지급률범위,E1100),0)</f>
        <v/>
      </c>
      <c r="N1100" s="2">
        <f>MAX(0,L1100-M1100)</f>
        <v/>
      </c>
      <c r="O1100" s="2">
        <f>K1100-N1100</f>
        <v/>
      </c>
      <c r="P1100" s="2">
        <f>I1100-N1100</f>
        <v/>
      </c>
      <c r="Q1100" s="5">
        <f>IF(G1100&gt;기준일,1,0)</f>
        <v/>
      </c>
      <c r="R1100" s="5">
        <f>IF(G1100&lt;=기준일,1,0)</f>
        <v/>
      </c>
      <c r="S1100" s="2">
        <f>J1100*H1100</f>
        <v/>
      </c>
      <c r="T1100" s="5">
        <f>IF(AND(F1100&gt;=표본시작,F1100&lt;=표본종료),1,0)</f>
        <v/>
      </c>
      <c r="U1100" s="5">
        <f>IF(AND(G1100&gt;=조회시작,G1100&lt;=조회종료),1,0)</f>
        <v/>
      </c>
    </row>
    <row r="1101">
      <c r="A1101" s="2">
        <f>ROW()-1</f>
        <v/>
      </c>
      <c r="B1101" s="5">
        <f>INDEX(상호범위,D1101)</f>
        <v/>
      </c>
      <c r="C1101" s="5">
        <f>INDEX(플랫폼명범위,E1101)</f>
        <v/>
      </c>
      <c r="D1101" s="2">
        <f>MOD(INT((A1101-1)/4),8)+1</f>
        <v/>
      </c>
      <c r="E1101" s="2">
        <f>MOD(A1101-1,4)+1</f>
        <v/>
      </c>
      <c r="F1101" s="20">
        <f>축시작+INT((A1101-1)/32)</f>
        <v/>
      </c>
      <c r="G1101" s="20">
        <f>F1101+H1101</f>
        <v/>
      </c>
      <c r="H1101" s="5" t="n">
        <v>5</v>
      </c>
      <c r="I1101" s="2">
        <f>ROUND(INDEX(가맹점!$P$2:$P$9,D1101)*INDEX(가맹점!$J$2:$M$9,D1101,E1101),0)</f>
        <v/>
      </c>
      <c r="J1101" s="2">
        <f>ROUND(I1101*(1-할인율),0)</f>
        <v/>
      </c>
      <c r="K1101" s="2">
        <f>ROUNDDOWN(I1101*할인율,0)</f>
        <v/>
      </c>
      <c r="L1101" s="2">
        <f>ROUND(I1101*INDEX(미지급률범위,E1101),0)</f>
        <v/>
      </c>
      <c r="M1101" s="2">
        <f>ROUND(I1101*INDEX(과지급률범위,E1101),0)</f>
        <v/>
      </c>
      <c r="N1101" s="2">
        <f>MAX(0,L1101-M1101)</f>
        <v/>
      </c>
      <c r="O1101" s="2">
        <f>K1101-N1101</f>
        <v/>
      </c>
      <c r="P1101" s="2">
        <f>I1101-N1101</f>
        <v/>
      </c>
      <c r="Q1101" s="5">
        <f>IF(G1101&gt;기준일,1,0)</f>
        <v/>
      </c>
      <c r="R1101" s="5">
        <f>IF(G1101&lt;=기준일,1,0)</f>
        <v/>
      </c>
      <c r="S1101" s="2">
        <f>J1101*H1101</f>
        <v/>
      </c>
      <c r="T1101" s="5">
        <f>IF(AND(F1101&gt;=표본시작,F1101&lt;=표본종료),1,0)</f>
        <v/>
      </c>
      <c r="U1101" s="5">
        <f>IF(AND(G1101&gt;=조회시작,G1101&lt;=조회종료),1,0)</f>
        <v/>
      </c>
    </row>
    <row r="1102">
      <c r="A1102" s="2">
        <f>ROW()-1</f>
        <v/>
      </c>
      <c r="B1102" s="5">
        <f>INDEX(상호범위,D1102)</f>
        <v/>
      </c>
      <c r="C1102" s="5">
        <f>INDEX(플랫폼명범위,E1102)</f>
        <v/>
      </c>
      <c r="D1102" s="2">
        <f>MOD(INT((A1102-1)/4),8)+1</f>
        <v/>
      </c>
      <c r="E1102" s="2">
        <f>MOD(A1102-1,4)+1</f>
        <v/>
      </c>
      <c r="F1102" s="20">
        <f>축시작+INT((A1102-1)/32)</f>
        <v/>
      </c>
      <c r="G1102" s="20">
        <f>F1102+H1102</f>
        <v/>
      </c>
      <c r="H1102" s="5" t="n">
        <v>2</v>
      </c>
      <c r="I1102" s="2">
        <f>ROUND(INDEX(가맹점!$P$2:$P$9,D1102)*INDEX(가맹점!$J$2:$M$9,D1102,E1102),0)</f>
        <v/>
      </c>
      <c r="J1102" s="2">
        <f>ROUND(I1102*(1-할인율),0)</f>
        <v/>
      </c>
      <c r="K1102" s="2">
        <f>ROUNDDOWN(I1102*할인율,0)</f>
        <v/>
      </c>
      <c r="L1102" s="2">
        <f>ROUND(I1102*INDEX(미지급률범위,E1102),0)</f>
        <v/>
      </c>
      <c r="M1102" s="2">
        <f>ROUND(I1102*INDEX(과지급률범위,E1102),0)</f>
        <v/>
      </c>
      <c r="N1102" s="2">
        <f>MAX(0,L1102-M1102)</f>
        <v/>
      </c>
      <c r="O1102" s="2">
        <f>K1102-N1102</f>
        <v/>
      </c>
      <c r="P1102" s="2">
        <f>I1102-N1102</f>
        <v/>
      </c>
      <c r="Q1102" s="5">
        <f>IF(G1102&gt;기준일,1,0)</f>
        <v/>
      </c>
      <c r="R1102" s="5">
        <f>IF(G1102&lt;=기준일,1,0)</f>
        <v/>
      </c>
      <c r="S1102" s="2">
        <f>J1102*H1102</f>
        <v/>
      </c>
      <c r="T1102" s="5">
        <f>IF(AND(F1102&gt;=표본시작,F1102&lt;=표본종료),1,0)</f>
        <v/>
      </c>
      <c r="U1102" s="5">
        <f>IF(AND(G1102&gt;=조회시작,G1102&lt;=조회종료),1,0)</f>
        <v/>
      </c>
    </row>
    <row r="1103">
      <c r="A1103" s="2">
        <f>ROW()-1</f>
        <v/>
      </c>
      <c r="B1103" s="5">
        <f>INDEX(상호범위,D1103)</f>
        <v/>
      </c>
      <c r="C1103" s="5">
        <f>INDEX(플랫폼명범위,E1103)</f>
        <v/>
      </c>
      <c r="D1103" s="2">
        <f>MOD(INT((A1103-1)/4),8)+1</f>
        <v/>
      </c>
      <c r="E1103" s="2">
        <f>MOD(A1103-1,4)+1</f>
        <v/>
      </c>
      <c r="F1103" s="20">
        <f>축시작+INT((A1103-1)/32)</f>
        <v/>
      </c>
      <c r="G1103" s="20">
        <f>F1103+H1103</f>
        <v/>
      </c>
      <c r="H1103" s="5" t="n">
        <v>4</v>
      </c>
      <c r="I1103" s="2">
        <f>ROUND(INDEX(가맹점!$P$2:$P$9,D1103)*INDEX(가맹점!$J$2:$M$9,D1103,E1103),0)</f>
        <v/>
      </c>
      <c r="J1103" s="2">
        <f>ROUND(I1103*(1-할인율),0)</f>
        <v/>
      </c>
      <c r="K1103" s="2">
        <f>ROUNDDOWN(I1103*할인율,0)</f>
        <v/>
      </c>
      <c r="L1103" s="2">
        <f>ROUND(I1103*INDEX(미지급률범위,E1103),0)</f>
        <v/>
      </c>
      <c r="M1103" s="2">
        <f>ROUND(I1103*INDEX(과지급률범위,E1103),0)</f>
        <v/>
      </c>
      <c r="N1103" s="2">
        <f>MAX(0,L1103-M1103)</f>
        <v/>
      </c>
      <c r="O1103" s="2">
        <f>K1103-N1103</f>
        <v/>
      </c>
      <c r="P1103" s="2">
        <f>I1103-N1103</f>
        <v/>
      </c>
      <c r="Q1103" s="5">
        <f>IF(G1103&gt;기준일,1,0)</f>
        <v/>
      </c>
      <c r="R1103" s="5">
        <f>IF(G1103&lt;=기준일,1,0)</f>
        <v/>
      </c>
      <c r="S1103" s="2">
        <f>J1103*H1103</f>
        <v/>
      </c>
      <c r="T1103" s="5">
        <f>IF(AND(F1103&gt;=표본시작,F1103&lt;=표본종료),1,0)</f>
        <v/>
      </c>
      <c r="U1103" s="5">
        <f>IF(AND(G1103&gt;=조회시작,G1103&lt;=조회종료),1,0)</f>
        <v/>
      </c>
    </row>
    <row r="1104">
      <c r="A1104" s="2">
        <f>ROW()-1</f>
        <v/>
      </c>
      <c r="B1104" s="5">
        <f>INDEX(상호범위,D1104)</f>
        <v/>
      </c>
      <c r="C1104" s="5">
        <f>INDEX(플랫폼명범위,E1104)</f>
        <v/>
      </c>
      <c r="D1104" s="2">
        <f>MOD(INT((A1104-1)/4),8)+1</f>
        <v/>
      </c>
      <c r="E1104" s="2">
        <f>MOD(A1104-1,4)+1</f>
        <v/>
      </c>
      <c r="F1104" s="20">
        <f>축시작+INT((A1104-1)/32)</f>
        <v/>
      </c>
      <c r="G1104" s="20">
        <f>F1104+H1104</f>
        <v/>
      </c>
      <c r="H1104" s="5" t="n">
        <v>5</v>
      </c>
      <c r="I1104" s="2">
        <f>ROUND(INDEX(가맹점!$P$2:$P$9,D1104)*INDEX(가맹점!$J$2:$M$9,D1104,E1104),0)</f>
        <v/>
      </c>
      <c r="J1104" s="2">
        <f>ROUND(I1104*(1-할인율),0)</f>
        <v/>
      </c>
      <c r="K1104" s="2">
        <f>ROUNDDOWN(I1104*할인율,0)</f>
        <v/>
      </c>
      <c r="L1104" s="2">
        <f>ROUND(I1104*INDEX(미지급률범위,E1104),0)</f>
        <v/>
      </c>
      <c r="M1104" s="2">
        <f>ROUND(I1104*INDEX(과지급률범위,E1104),0)</f>
        <v/>
      </c>
      <c r="N1104" s="2">
        <f>MAX(0,L1104-M1104)</f>
        <v/>
      </c>
      <c r="O1104" s="2">
        <f>K1104-N1104</f>
        <v/>
      </c>
      <c r="P1104" s="2">
        <f>I1104-N1104</f>
        <v/>
      </c>
      <c r="Q1104" s="5">
        <f>IF(G1104&gt;기준일,1,0)</f>
        <v/>
      </c>
      <c r="R1104" s="5">
        <f>IF(G1104&lt;=기준일,1,0)</f>
        <v/>
      </c>
      <c r="S1104" s="2">
        <f>J1104*H1104</f>
        <v/>
      </c>
      <c r="T1104" s="5">
        <f>IF(AND(F1104&gt;=표본시작,F1104&lt;=표본종료),1,0)</f>
        <v/>
      </c>
      <c r="U1104" s="5">
        <f>IF(AND(G1104&gt;=조회시작,G1104&lt;=조회종료),1,0)</f>
        <v/>
      </c>
    </row>
    <row r="1105">
      <c r="A1105" s="2">
        <f>ROW()-1</f>
        <v/>
      </c>
      <c r="B1105" s="5">
        <f>INDEX(상호범위,D1105)</f>
        <v/>
      </c>
      <c r="C1105" s="5">
        <f>INDEX(플랫폼명범위,E1105)</f>
        <v/>
      </c>
      <c r="D1105" s="2">
        <f>MOD(INT((A1105-1)/4),8)+1</f>
        <v/>
      </c>
      <c r="E1105" s="2">
        <f>MOD(A1105-1,4)+1</f>
        <v/>
      </c>
      <c r="F1105" s="20">
        <f>축시작+INT((A1105-1)/32)</f>
        <v/>
      </c>
      <c r="G1105" s="20">
        <f>F1105+H1105</f>
        <v/>
      </c>
      <c r="H1105" s="5" t="n">
        <v>8</v>
      </c>
      <c r="I1105" s="2">
        <f>ROUND(INDEX(가맹점!$P$2:$P$9,D1105)*INDEX(가맹점!$J$2:$M$9,D1105,E1105),0)</f>
        <v/>
      </c>
      <c r="J1105" s="2">
        <f>ROUND(I1105*(1-할인율),0)</f>
        <v/>
      </c>
      <c r="K1105" s="2">
        <f>ROUNDDOWN(I1105*할인율,0)</f>
        <v/>
      </c>
      <c r="L1105" s="2">
        <f>ROUND(I1105*INDEX(미지급률범위,E1105),0)</f>
        <v/>
      </c>
      <c r="M1105" s="2">
        <f>ROUND(I1105*INDEX(과지급률범위,E1105),0)</f>
        <v/>
      </c>
      <c r="N1105" s="2">
        <f>MAX(0,L1105-M1105)</f>
        <v/>
      </c>
      <c r="O1105" s="2">
        <f>K1105-N1105</f>
        <v/>
      </c>
      <c r="P1105" s="2">
        <f>I1105-N1105</f>
        <v/>
      </c>
      <c r="Q1105" s="5">
        <f>IF(G1105&gt;기준일,1,0)</f>
        <v/>
      </c>
      <c r="R1105" s="5">
        <f>IF(G1105&lt;=기준일,1,0)</f>
        <v/>
      </c>
      <c r="S1105" s="2">
        <f>J1105*H1105</f>
        <v/>
      </c>
      <c r="T1105" s="5">
        <f>IF(AND(F1105&gt;=표본시작,F1105&lt;=표본종료),1,0)</f>
        <v/>
      </c>
      <c r="U1105" s="5">
        <f>IF(AND(G1105&gt;=조회시작,G1105&lt;=조회종료),1,0)</f>
        <v/>
      </c>
    </row>
    <row r="1106">
      <c r="A1106" s="2">
        <f>ROW()-1</f>
        <v/>
      </c>
      <c r="B1106" s="5">
        <f>INDEX(상호범위,D1106)</f>
        <v/>
      </c>
      <c r="C1106" s="5">
        <f>INDEX(플랫폼명범위,E1106)</f>
        <v/>
      </c>
      <c r="D1106" s="2">
        <f>MOD(INT((A1106-1)/4),8)+1</f>
        <v/>
      </c>
      <c r="E1106" s="2">
        <f>MOD(A1106-1,4)+1</f>
        <v/>
      </c>
      <c r="F1106" s="20">
        <f>축시작+INT((A1106-1)/32)</f>
        <v/>
      </c>
      <c r="G1106" s="20">
        <f>F1106+H1106</f>
        <v/>
      </c>
      <c r="H1106" s="5" t="n">
        <v>3</v>
      </c>
      <c r="I1106" s="2">
        <f>ROUND(INDEX(가맹점!$P$2:$P$9,D1106)*INDEX(가맹점!$J$2:$M$9,D1106,E1106),0)</f>
        <v/>
      </c>
      <c r="J1106" s="2">
        <f>ROUND(I1106*(1-할인율),0)</f>
        <v/>
      </c>
      <c r="K1106" s="2">
        <f>ROUNDDOWN(I1106*할인율,0)</f>
        <v/>
      </c>
      <c r="L1106" s="2">
        <f>ROUND(I1106*INDEX(미지급률범위,E1106),0)</f>
        <v/>
      </c>
      <c r="M1106" s="2">
        <f>ROUND(I1106*INDEX(과지급률범위,E1106),0)</f>
        <v/>
      </c>
      <c r="N1106" s="2">
        <f>MAX(0,L1106-M1106)</f>
        <v/>
      </c>
      <c r="O1106" s="2">
        <f>K1106-N1106</f>
        <v/>
      </c>
      <c r="P1106" s="2">
        <f>I1106-N1106</f>
        <v/>
      </c>
      <c r="Q1106" s="5">
        <f>IF(G1106&gt;기준일,1,0)</f>
        <v/>
      </c>
      <c r="R1106" s="5">
        <f>IF(G1106&lt;=기준일,1,0)</f>
        <v/>
      </c>
      <c r="S1106" s="2">
        <f>J1106*H1106</f>
        <v/>
      </c>
      <c r="T1106" s="5">
        <f>IF(AND(F1106&gt;=표본시작,F1106&lt;=표본종료),1,0)</f>
        <v/>
      </c>
      <c r="U1106" s="5">
        <f>IF(AND(G1106&gt;=조회시작,G1106&lt;=조회종료),1,0)</f>
        <v/>
      </c>
    </row>
    <row r="1107">
      <c r="A1107" s="2">
        <f>ROW()-1</f>
        <v/>
      </c>
      <c r="B1107" s="5">
        <f>INDEX(상호범위,D1107)</f>
        <v/>
      </c>
      <c r="C1107" s="5">
        <f>INDEX(플랫폼명범위,E1107)</f>
        <v/>
      </c>
      <c r="D1107" s="2">
        <f>MOD(INT((A1107-1)/4),8)+1</f>
        <v/>
      </c>
      <c r="E1107" s="2">
        <f>MOD(A1107-1,4)+1</f>
        <v/>
      </c>
      <c r="F1107" s="20">
        <f>축시작+INT((A1107-1)/32)</f>
        <v/>
      </c>
      <c r="G1107" s="20">
        <f>F1107+H1107</f>
        <v/>
      </c>
      <c r="H1107" s="5" t="n">
        <v>3</v>
      </c>
      <c r="I1107" s="2">
        <f>ROUND(INDEX(가맹점!$P$2:$P$9,D1107)*INDEX(가맹점!$J$2:$M$9,D1107,E1107),0)</f>
        <v/>
      </c>
      <c r="J1107" s="2">
        <f>ROUND(I1107*(1-할인율),0)</f>
        <v/>
      </c>
      <c r="K1107" s="2">
        <f>ROUNDDOWN(I1107*할인율,0)</f>
        <v/>
      </c>
      <c r="L1107" s="2">
        <f>ROUND(I1107*INDEX(미지급률범위,E1107),0)</f>
        <v/>
      </c>
      <c r="M1107" s="2">
        <f>ROUND(I1107*INDEX(과지급률범위,E1107),0)</f>
        <v/>
      </c>
      <c r="N1107" s="2">
        <f>MAX(0,L1107-M1107)</f>
        <v/>
      </c>
      <c r="O1107" s="2">
        <f>K1107-N1107</f>
        <v/>
      </c>
      <c r="P1107" s="2">
        <f>I1107-N1107</f>
        <v/>
      </c>
      <c r="Q1107" s="5">
        <f>IF(G1107&gt;기준일,1,0)</f>
        <v/>
      </c>
      <c r="R1107" s="5">
        <f>IF(G1107&lt;=기준일,1,0)</f>
        <v/>
      </c>
      <c r="S1107" s="2">
        <f>J1107*H1107</f>
        <v/>
      </c>
      <c r="T1107" s="5">
        <f>IF(AND(F1107&gt;=표본시작,F1107&lt;=표본종료),1,0)</f>
        <v/>
      </c>
      <c r="U1107" s="5">
        <f>IF(AND(G1107&gt;=조회시작,G1107&lt;=조회종료),1,0)</f>
        <v/>
      </c>
    </row>
    <row r="1108">
      <c r="A1108" s="2">
        <f>ROW()-1</f>
        <v/>
      </c>
      <c r="B1108" s="5">
        <f>INDEX(상호범위,D1108)</f>
        <v/>
      </c>
      <c r="C1108" s="5">
        <f>INDEX(플랫폼명범위,E1108)</f>
        <v/>
      </c>
      <c r="D1108" s="2">
        <f>MOD(INT((A1108-1)/4),8)+1</f>
        <v/>
      </c>
      <c r="E1108" s="2">
        <f>MOD(A1108-1,4)+1</f>
        <v/>
      </c>
      <c r="F1108" s="20">
        <f>축시작+INT((A1108-1)/32)</f>
        <v/>
      </c>
      <c r="G1108" s="20">
        <f>F1108+H1108</f>
        <v/>
      </c>
      <c r="H1108" s="5" t="n">
        <v>7</v>
      </c>
      <c r="I1108" s="2">
        <f>ROUND(INDEX(가맹점!$P$2:$P$9,D1108)*INDEX(가맹점!$J$2:$M$9,D1108,E1108),0)</f>
        <v/>
      </c>
      <c r="J1108" s="2">
        <f>ROUND(I1108*(1-할인율),0)</f>
        <v/>
      </c>
      <c r="K1108" s="2">
        <f>ROUNDDOWN(I1108*할인율,0)</f>
        <v/>
      </c>
      <c r="L1108" s="2">
        <f>ROUND(I1108*INDEX(미지급률범위,E1108),0)</f>
        <v/>
      </c>
      <c r="M1108" s="2">
        <f>ROUND(I1108*INDEX(과지급률범위,E1108),0)</f>
        <v/>
      </c>
      <c r="N1108" s="2">
        <f>MAX(0,L1108-M1108)</f>
        <v/>
      </c>
      <c r="O1108" s="2">
        <f>K1108-N1108</f>
        <v/>
      </c>
      <c r="P1108" s="2">
        <f>I1108-N1108</f>
        <v/>
      </c>
      <c r="Q1108" s="5">
        <f>IF(G1108&gt;기준일,1,0)</f>
        <v/>
      </c>
      <c r="R1108" s="5">
        <f>IF(G1108&lt;=기준일,1,0)</f>
        <v/>
      </c>
      <c r="S1108" s="2">
        <f>J1108*H1108</f>
        <v/>
      </c>
      <c r="T1108" s="5">
        <f>IF(AND(F1108&gt;=표본시작,F1108&lt;=표본종료),1,0)</f>
        <v/>
      </c>
      <c r="U1108" s="5">
        <f>IF(AND(G1108&gt;=조회시작,G1108&lt;=조회종료),1,0)</f>
        <v/>
      </c>
    </row>
    <row r="1109">
      <c r="A1109" s="2">
        <f>ROW()-1</f>
        <v/>
      </c>
      <c r="B1109" s="5">
        <f>INDEX(상호범위,D1109)</f>
        <v/>
      </c>
      <c r="C1109" s="5">
        <f>INDEX(플랫폼명범위,E1109)</f>
        <v/>
      </c>
      <c r="D1109" s="2">
        <f>MOD(INT((A1109-1)/4),8)+1</f>
        <v/>
      </c>
      <c r="E1109" s="2">
        <f>MOD(A1109-1,4)+1</f>
        <v/>
      </c>
      <c r="F1109" s="20">
        <f>축시작+INT((A1109-1)/32)</f>
        <v/>
      </c>
      <c r="G1109" s="20">
        <f>F1109+H1109</f>
        <v/>
      </c>
      <c r="H1109" s="5" t="n">
        <v>5</v>
      </c>
      <c r="I1109" s="2">
        <f>ROUND(INDEX(가맹점!$P$2:$P$9,D1109)*INDEX(가맹점!$J$2:$M$9,D1109,E1109),0)</f>
        <v/>
      </c>
      <c r="J1109" s="2">
        <f>ROUND(I1109*(1-할인율),0)</f>
        <v/>
      </c>
      <c r="K1109" s="2">
        <f>ROUNDDOWN(I1109*할인율,0)</f>
        <v/>
      </c>
      <c r="L1109" s="2">
        <f>ROUND(I1109*INDEX(미지급률범위,E1109),0)</f>
        <v/>
      </c>
      <c r="M1109" s="2">
        <f>ROUND(I1109*INDEX(과지급률범위,E1109),0)</f>
        <v/>
      </c>
      <c r="N1109" s="2">
        <f>MAX(0,L1109-M1109)</f>
        <v/>
      </c>
      <c r="O1109" s="2">
        <f>K1109-N1109</f>
        <v/>
      </c>
      <c r="P1109" s="2">
        <f>I1109-N1109</f>
        <v/>
      </c>
      <c r="Q1109" s="5">
        <f>IF(G1109&gt;기준일,1,0)</f>
        <v/>
      </c>
      <c r="R1109" s="5">
        <f>IF(G1109&lt;=기준일,1,0)</f>
        <v/>
      </c>
      <c r="S1109" s="2">
        <f>J1109*H1109</f>
        <v/>
      </c>
      <c r="T1109" s="5">
        <f>IF(AND(F1109&gt;=표본시작,F1109&lt;=표본종료),1,0)</f>
        <v/>
      </c>
      <c r="U1109" s="5">
        <f>IF(AND(G1109&gt;=조회시작,G1109&lt;=조회종료),1,0)</f>
        <v/>
      </c>
    </row>
    <row r="1110">
      <c r="A1110" s="2">
        <f>ROW()-1</f>
        <v/>
      </c>
      <c r="B1110" s="5">
        <f>INDEX(상호범위,D1110)</f>
        <v/>
      </c>
      <c r="C1110" s="5">
        <f>INDEX(플랫폼명범위,E1110)</f>
        <v/>
      </c>
      <c r="D1110" s="2">
        <f>MOD(INT((A1110-1)/4),8)+1</f>
        <v/>
      </c>
      <c r="E1110" s="2">
        <f>MOD(A1110-1,4)+1</f>
        <v/>
      </c>
      <c r="F1110" s="20">
        <f>축시작+INT((A1110-1)/32)</f>
        <v/>
      </c>
      <c r="G1110" s="20">
        <f>F1110+H1110</f>
        <v/>
      </c>
      <c r="H1110" s="5" t="n">
        <v>3</v>
      </c>
      <c r="I1110" s="2">
        <f>ROUND(INDEX(가맹점!$P$2:$P$9,D1110)*INDEX(가맹점!$J$2:$M$9,D1110,E1110),0)</f>
        <v/>
      </c>
      <c r="J1110" s="2">
        <f>ROUND(I1110*(1-할인율),0)</f>
        <v/>
      </c>
      <c r="K1110" s="2">
        <f>ROUNDDOWN(I1110*할인율,0)</f>
        <v/>
      </c>
      <c r="L1110" s="2">
        <f>ROUND(I1110*INDEX(미지급률범위,E1110),0)</f>
        <v/>
      </c>
      <c r="M1110" s="2">
        <f>ROUND(I1110*INDEX(과지급률범위,E1110),0)</f>
        <v/>
      </c>
      <c r="N1110" s="2">
        <f>MAX(0,L1110-M1110)</f>
        <v/>
      </c>
      <c r="O1110" s="2">
        <f>K1110-N1110</f>
        <v/>
      </c>
      <c r="P1110" s="2">
        <f>I1110-N1110</f>
        <v/>
      </c>
      <c r="Q1110" s="5">
        <f>IF(G1110&gt;기준일,1,0)</f>
        <v/>
      </c>
      <c r="R1110" s="5">
        <f>IF(G1110&lt;=기준일,1,0)</f>
        <v/>
      </c>
      <c r="S1110" s="2">
        <f>J1110*H1110</f>
        <v/>
      </c>
      <c r="T1110" s="5">
        <f>IF(AND(F1110&gt;=표본시작,F1110&lt;=표본종료),1,0)</f>
        <v/>
      </c>
      <c r="U1110" s="5">
        <f>IF(AND(G1110&gt;=조회시작,G1110&lt;=조회종료),1,0)</f>
        <v/>
      </c>
    </row>
    <row r="1111">
      <c r="A1111" s="2">
        <f>ROW()-1</f>
        <v/>
      </c>
      <c r="B1111" s="5">
        <f>INDEX(상호범위,D1111)</f>
        <v/>
      </c>
      <c r="C1111" s="5">
        <f>INDEX(플랫폼명범위,E1111)</f>
        <v/>
      </c>
      <c r="D1111" s="2">
        <f>MOD(INT((A1111-1)/4),8)+1</f>
        <v/>
      </c>
      <c r="E1111" s="2">
        <f>MOD(A1111-1,4)+1</f>
        <v/>
      </c>
      <c r="F1111" s="20">
        <f>축시작+INT((A1111-1)/32)</f>
        <v/>
      </c>
      <c r="G1111" s="20">
        <f>F1111+H1111</f>
        <v/>
      </c>
      <c r="H1111" s="5" t="n">
        <v>3</v>
      </c>
      <c r="I1111" s="2">
        <f>ROUND(INDEX(가맹점!$P$2:$P$9,D1111)*INDEX(가맹점!$J$2:$M$9,D1111,E1111),0)</f>
        <v/>
      </c>
      <c r="J1111" s="2">
        <f>ROUND(I1111*(1-할인율),0)</f>
        <v/>
      </c>
      <c r="K1111" s="2">
        <f>ROUNDDOWN(I1111*할인율,0)</f>
        <v/>
      </c>
      <c r="L1111" s="2">
        <f>ROUND(I1111*INDEX(미지급률범위,E1111),0)</f>
        <v/>
      </c>
      <c r="M1111" s="2">
        <f>ROUND(I1111*INDEX(과지급률범위,E1111),0)</f>
        <v/>
      </c>
      <c r="N1111" s="2">
        <f>MAX(0,L1111-M1111)</f>
        <v/>
      </c>
      <c r="O1111" s="2">
        <f>K1111-N1111</f>
        <v/>
      </c>
      <c r="P1111" s="2">
        <f>I1111-N1111</f>
        <v/>
      </c>
      <c r="Q1111" s="5">
        <f>IF(G1111&gt;기준일,1,0)</f>
        <v/>
      </c>
      <c r="R1111" s="5">
        <f>IF(G1111&lt;=기준일,1,0)</f>
        <v/>
      </c>
      <c r="S1111" s="2">
        <f>J1111*H1111</f>
        <v/>
      </c>
      <c r="T1111" s="5">
        <f>IF(AND(F1111&gt;=표본시작,F1111&lt;=표본종료),1,0)</f>
        <v/>
      </c>
      <c r="U1111" s="5">
        <f>IF(AND(G1111&gt;=조회시작,G1111&lt;=조회종료),1,0)</f>
        <v/>
      </c>
    </row>
    <row r="1112">
      <c r="A1112" s="2">
        <f>ROW()-1</f>
        <v/>
      </c>
      <c r="B1112" s="5">
        <f>INDEX(상호범위,D1112)</f>
        <v/>
      </c>
      <c r="C1112" s="5">
        <f>INDEX(플랫폼명범위,E1112)</f>
        <v/>
      </c>
      <c r="D1112" s="2">
        <f>MOD(INT((A1112-1)/4),8)+1</f>
        <v/>
      </c>
      <c r="E1112" s="2">
        <f>MOD(A1112-1,4)+1</f>
        <v/>
      </c>
      <c r="F1112" s="20">
        <f>축시작+INT((A1112-1)/32)</f>
        <v/>
      </c>
      <c r="G1112" s="20">
        <f>F1112+H1112</f>
        <v/>
      </c>
      <c r="H1112" s="5" t="n">
        <v>6</v>
      </c>
      <c r="I1112" s="2">
        <f>ROUND(INDEX(가맹점!$P$2:$P$9,D1112)*INDEX(가맹점!$J$2:$M$9,D1112,E1112),0)</f>
        <v/>
      </c>
      <c r="J1112" s="2">
        <f>ROUND(I1112*(1-할인율),0)</f>
        <v/>
      </c>
      <c r="K1112" s="2">
        <f>ROUNDDOWN(I1112*할인율,0)</f>
        <v/>
      </c>
      <c r="L1112" s="2">
        <f>ROUND(I1112*INDEX(미지급률범위,E1112),0)</f>
        <v/>
      </c>
      <c r="M1112" s="2">
        <f>ROUND(I1112*INDEX(과지급률범위,E1112),0)</f>
        <v/>
      </c>
      <c r="N1112" s="2">
        <f>MAX(0,L1112-M1112)</f>
        <v/>
      </c>
      <c r="O1112" s="2">
        <f>K1112-N1112</f>
        <v/>
      </c>
      <c r="P1112" s="2">
        <f>I1112-N1112</f>
        <v/>
      </c>
      <c r="Q1112" s="5">
        <f>IF(G1112&gt;기준일,1,0)</f>
        <v/>
      </c>
      <c r="R1112" s="5">
        <f>IF(G1112&lt;=기준일,1,0)</f>
        <v/>
      </c>
      <c r="S1112" s="2">
        <f>J1112*H1112</f>
        <v/>
      </c>
      <c r="T1112" s="5">
        <f>IF(AND(F1112&gt;=표본시작,F1112&lt;=표본종료),1,0)</f>
        <v/>
      </c>
      <c r="U1112" s="5">
        <f>IF(AND(G1112&gt;=조회시작,G1112&lt;=조회종료),1,0)</f>
        <v/>
      </c>
    </row>
    <row r="1113">
      <c r="A1113" s="2">
        <f>ROW()-1</f>
        <v/>
      </c>
      <c r="B1113" s="5">
        <f>INDEX(상호범위,D1113)</f>
        <v/>
      </c>
      <c r="C1113" s="5">
        <f>INDEX(플랫폼명범위,E1113)</f>
        <v/>
      </c>
      <c r="D1113" s="2">
        <f>MOD(INT((A1113-1)/4),8)+1</f>
        <v/>
      </c>
      <c r="E1113" s="2">
        <f>MOD(A1113-1,4)+1</f>
        <v/>
      </c>
      <c r="F1113" s="20">
        <f>축시작+INT((A1113-1)/32)</f>
        <v/>
      </c>
      <c r="G1113" s="20">
        <f>F1113+H1113</f>
        <v/>
      </c>
      <c r="H1113" s="5" t="n">
        <v>6</v>
      </c>
      <c r="I1113" s="2">
        <f>ROUND(INDEX(가맹점!$P$2:$P$9,D1113)*INDEX(가맹점!$J$2:$M$9,D1113,E1113),0)</f>
        <v/>
      </c>
      <c r="J1113" s="2">
        <f>ROUND(I1113*(1-할인율),0)</f>
        <v/>
      </c>
      <c r="K1113" s="2">
        <f>ROUNDDOWN(I1113*할인율,0)</f>
        <v/>
      </c>
      <c r="L1113" s="2">
        <f>ROUND(I1113*INDEX(미지급률범위,E1113),0)</f>
        <v/>
      </c>
      <c r="M1113" s="2">
        <f>ROUND(I1113*INDEX(과지급률범위,E1113),0)</f>
        <v/>
      </c>
      <c r="N1113" s="2">
        <f>MAX(0,L1113-M1113)</f>
        <v/>
      </c>
      <c r="O1113" s="2">
        <f>K1113-N1113</f>
        <v/>
      </c>
      <c r="P1113" s="2">
        <f>I1113-N1113</f>
        <v/>
      </c>
      <c r="Q1113" s="5">
        <f>IF(G1113&gt;기준일,1,0)</f>
        <v/>
      </c>
      <c r="R1113" s="5">
        <f>IF(G1113&lt;=기준일,1,0)</f>
        <v/>
      </c>
      <c r="S1113" s="2">
        <f>J1113*H1113</f>
        <v/>
      </c>
      <c r="T1113" s="5">
        <f>IF(AND(F1113&gt;=표본시작,F1113&lt;=표본종료),1,0)</f>
        <v/>
      </c>
      <c r="U1113" s="5">
        <f>IF(AND(G1113&gt;=조회시작,G1113&lt;=조회종료),1,0)</f>
        <v/>
      </c>
    </row>
    <row r="1114">
      <c r="A1114" s="2">
        <f>ROW()-1</f>
        <v/>
      </c>
      <c r="B1114" s="5">
        <f>INDEX(상호범위,D1114)</f>
        <v/>
      </c>
      <c r="C1114" s="5">
        <f>INDEX(플랫폼명범위,E1114)</f>
        <v/>
      </c>
      <c r="D1114" s="2">
        <f>MOD(INT((A1114-1)/4),8)+1</f>
        <v/>
      </c>
      <c r="E1114" s="2">
        <f>MOD(A1114-1,4)+1</f>
        <v/>
      </c>
      <c r="F1114" s="20">
        <f>축시작+INT((A1114-1)/32)</f>
        <v/>
      </c>
      <c r="G1114" s="20">
        <f>F1114+H1114</f>
        <v/>
      </c>
      <c r="H1114" s="5" t="n">
        <v>2</v>
      </c>
      <c r="I1114" s="2">
        <f>ROUND(INDEX(가맹점!$P$2:$P$9,D1114)*INDEX(가맹점!$J$2:$M$9,D1114,E1114),0)</f>
        <v/>
      </c>
      <c r="J1114" s="2">
        <f>ROUND(I1114*(1-할인율),0)</f>
        <v/>
      </c>
      <c r="K1114" s="2">
        <f>ROUNDDOWN(I1114*할인율,0)</f>
        <v/>
      </c>
      <c r="L1114" s="2">
        <f>ROUND(I1114*INDEX(미지급률범위,E1114),0)</f>
        <v/>
      </c>
      <c r="M1114" s="2">
        <f>ROUND(I1114*INDEX(과지급률범위,E1114),0)</f>
        <v/>
      </c>
      <c r="N1114" s="2">
        <f>MAX(0,L1114-M1114)</f>
        <v/>
      </c>
      <c r="O1114" s="2">
        <f>K1114-N1114</f>
        <v/>
      </c>
      <c r="P1114" s="2">
        <f>I1114-N1114</f>
        <v/>
      </c>
      <c r="Q1114" s="5">
        <f>IF(G1114&gt;기준일,1,0)</f>
        <v/>
      </c>
      <c r="R1114" s="5">
        <f>IF(G1114&lt;=기준일,1,0)</f>
        <v/>
      </c>
      <c r="S1114" s="2">
        <f>J1114*H1114</f>
        <v/>
      </c>
      <c r="T1114" s="5">
        <f>IF(AND(F1114&gt;=표본시작,F1114&lt;=표본종료),1,0)</f>
        <v/>
      </c>
      <c r="U1114" s="5">
        <f>IF(AND(G1114&gt;=조회시작,G1114&lt;=조회종료),1,0)</f>
        <v/>
      </c>
    </row>
    <row r="1115">
      <c r="A1115" s="2">
        <f>ROW()-1</f>
        <v/>
      </c>
      <c r="B1115" s="5">
        <f>INDEX(상호범위,D1115)</f>
        <v/>
      </c>
      <c r="C1115" s="5">
        <f>INDEX(플랫폼명범위,E1115)</f>
        <v/>
      </c>
      <c r="D1115" s="2">
        <f>MOD(INT((A1115-1)/4),8)+1</f>
        <v/>
      </c>
      <c r="E1115" s="2">
        <f>MOD(A1115-1,4)+1</f>
        <v/>
      </c>
      <c r="F1115" s="20">
        <f>축시작+INT((A1115-1)/32)</f>
        <v/>
      </c>
      <c r="G1115" s="20">
        <f>F1115+H1115</f>
        <v/>
      </c>
      <c r="H1115" s="5" t="n">
        <v>4</v>
      </c>
      <c r="I1115" s="2">
        <f>ROUND(INDEX(가맹점!$P$2:$P$9,D1115)*INDEX(가맹점!$J$2:$M$9,D1115,E1115),0)</f>
        <v/>
      </c>
      <c r="J1115" s="2">
        <f>ROUND(I1115*(1-할인율),0)</f>
        <v/>
      </c>
      <c r="K1115" s="2">
        <f>ROUNDDOWN(I1115*할인율,0)</f>
        <v/>
      </c>
      <c r="L1115" s="2">
        <f>ROUND(I1115*INDEX(미지급률범위,E1115),0)</f>
        <v/>
      </c>
      <c r="M1115" s="2">
        <f>ROUND(I1115*INDEX(과지급률범위,E1115),0)</f>
        <v/>
      </c>
      <c r="N1115" s="2">
        <f>MAX(0,L1115-M1115)</f>
        <v/>
      </c>
      <c r="O1115" s="2">
        <f>K1115-N1115</f>
        <v/>
      </c>
      <c r="P1115" s="2">
        <f>I1115-N1115</f>
        <v/>
      </c>
      <c r="Q1115" s="5">
        <f>IF(G1115&gt;기준일,1,0)</f>
        <v/>
      </c>
      <c r="R1115" s="5">
        <f>IF(G1115&lt;=기준일,1,0)</f>
        <v/>
      </c>
      <c r="S1115" s="2">
        <f>J1115*H1115</f>
        <v/>
      </c>
      <c r="T1115" s="5">
        <f>IF(AND(F1115&gt;=표본시작,F1115&lt;=표본종료),1,0)</f>
        <v/>
      </c>
      <c r="U1115" s="5">
        <f>IF(AND(G1115&gt;=조회시작,G1115&lt;=조회종료),1,0)</f>
        <v/>
      </c>
    </row>
    <row r="1116">
      <c r="A1116" s="2">
        <f>ROW()-1</f>
        <v/>
      </c>
      <c r="B1116" s="5">
        <f>INDEX(상호범위,D1116)</f>
        <v/>
      </c>
      <c r="C1116" s="5">
        <f>INDEX(플랫폼명범위,E1116)</f>
        <v/>
      </c>
      <c r="D1116" s="2">
        <f>MOD(INT((A1116-1)/4),8)+1</f>
        <v/>
      </c>
      <c r="E1116" s="2">
        <f>MOD(A1116-1,4)+1</f>
        <v/>
      </c>
      <c r="F1116" s="20">
        <f>축시작+INT((A1116-1)/32)</f>
        <v/>
      </c>
      <c r="G1116" s="20">
        <f>F1116+H1116</f>
        <v/>
      </c>
      <c r="H1116" s="5" t="n">
        <v>5</v>
      </c>
      <c r="I1116" s="2">
        <f>ROUND(INDEX(가맹점!$P$2:$P$9,D1116)*INDEX(가맹점!$J$2:$M$9,D1116,E1116),0)</f>
        <v/>
      </c>
      <c r="J1116" s="2">
        <f>ROUND(I1116*(1-할인율),0)</f>
        <v/>
      </c>
      <c r="K1116" s="2">
        <f>ROUNDDOWN(I1116*할인율,0)</f>
        <v/>
      </c>
      <c r="L1116" s="2">
        <f>ROUND(I1116*INDEX(미지급률범위,E1116),0)</f>
        <v/>
      </c>
      <c r="M1116" s="2">
        <f>ROUND(I1116*INDEX(과지급률범위,E1116),0)</f>
        <v/>
      </c>
      <c r="N1116" s="2">
        <f>MAX(0,L1116-M1116)</f>
        <v/>
      </c>
      <c r="O1116" s="2">
        <f>K1116-N1116</f>
        <v/>
      </c>
      <c r="P1116" s="2">
        <f>I1116-N1116</f>
        <v/>
      </c>
      <c r="Q1116" s="5">
        <f>IF(G1116&gt;기준일,1,0)</f>
        <v/>
      </c>
      <c r="R1116" s="5">
        <f>IF(G1116&lt;=기준일,1,0)</f>
        <v/>
      </c>
      <c r="S1116" s="2">
        <f>J1116*H1116</f>
        <v/>
      </c>
      <c r="T1116" s="5">
        <f>IF(AND(F1116&gt;=표본시작,F1116&lt;=표본종료),1,0)</f>
        <v/>
      </c>
      <c r="U1116" s="5">
        <f>IF(AND(G1116&gt;=조회시작,G1116&lt;=조회종료),1,0)</f>
        <v/>
      </c>
    </row>
    <row r="1117">
      <c r="A1117" s="2">
        <f>ROW()-1</f>
        <v/>
      </c>
      <c r="B1117" s="5">
        <f>INDEX(상호범위,D1117)</f>
        <v/>
      </c>
      <c r="C1117" s="5">
        <f>INDEX(플랫폼명범위,E1117)</f>
        <v/>
      </c>
      <c r="D1117" s="2">
        <f>MOD(INT((A1117-1)/4),8)+1</f>
        <v/>
      </c>
      <c r="E1117" s="2">
        <f>MOD(A1117-1,4)+1</f>
        <v/>
      </c>
      <c r="F1117" s="20">
        <f>축시작+INT((A1117-1)/32)</f>
        <v/>
      </c>
      <c r="G1117" s="20">
        <f>F1117+H1117</f>
        <v/>
      </c>
      <c r="H1117" s="5" t="n">
        <v>5</v>
      </c>
      <c r="I1117" s="2">
        <f>ROUND(INDEX(가맹점!$P$2:$P$9,D1117)*INDEX(가맹점!$J$2:$M$9,D1117,E1117),0)</f>
        <v/>
      </c>
      <c r="J1117" s="2">
        <f>ROUND(I1117*(1-할인율),0)</f>
        <v/>
      </c>
      <c r="K1117" s="2">
        <f>ROUNDDOWN(I1117*할인율,0)</f>
        <v/>
      </c>
      <c r="L1117" s="2">
        <f>ROUND(I1117*INDEX(미지급률범위,E1117),0)</f>
        <v/>
      </c>
      <c r="M1117" s="2">
        <f>ROUND(I1117*INDEX(과지급률범위,E1117),0)</f>
        <v/>
      </c>
      <c r="N1117" s="2">
        <f>MAX(0,L1117-M1117)</f>
        <v/>
      </c>
      <c r="O1117" s="2">
        <f>K1117-N1117</f>
        <v/>
      </c>
      <c r="P1117" s="2">
        <f>I1117-N1117</f>
        <v/>
      </c>
      <c r="Q1117" s="5">
        <f>IF(G1117&gt;기준일,1,0)</f>
        <v/>
      </c>
      <c r="R1117" s="5">
        <f>IF(G1117&lt;=기준일,1,0)</f>
        <v/>
      </c>
      <c r="S1117" s="2">
        <f>J1117*H1117</f>
        <v/>
      </c>
      <c r="T1117" s="5">
        <f>IF(AND(F1117&gt;=표본시작,F1117&lt;=표본종료),1,0)</f>
        <v/>
      </c>
      <c r="U1117" s="5">
        <f>IF(AND(G1117&gt;=조회시작,G1117&lt;=조회종료),1,0)</f>
        <v/>
      </c>
    </row>
    <row r="1118">
      <c r="A1118" s="2">
        <f>ROW()-1</f>
        <v/>
      </c>
      <c r="B1118" s="5">
        <f>INDEX(상호범위,D1118)</f>
        <v/>
      </c>
      <c r="C1118" s="5">
        <f>INDEX(플랫폼명범위,E1118)</f>
        <v/>
      </c>
      <c r="D1118" s="2">
        <f>MOD(INT((A1118-1)/4),8)+1</f>
        <v/>
      </c>
      <c r="E1118" s="2">
        <f>MOD(A1118-1,4)+1</f>
        <v/>
      </c>
      <c r="F1118" s="20">
        <f>축시작+INT((A1118-1)/32)</f>
        <v/>
      </c>
      <c r="G1118" s="20">
        <f>F1118+H1118</f>
        <v/>
      </c>
      <c r="H1118" s="5" t="n">
        <v>3</v>
      </c>
      <c r="I1118" s="2">
        <f>ROUND(INDEX(가맹점!$P$2:$P$9,D1118)*INDEX(가맹점!$J$2:$M$9,D1118,E1118),0)</f>
        <v/>
      </c>
      <c r="J1118" s="2">
        <f>ROUND(I1118*(1-할인율),0)</f>
        <v/>
      </c>
      <c r="K1118" s="2">
        <f>ROUNDDOWN(I1118*할인율,0)</f>
        <v/>
      </c>
      <c r="L1118" s="2">
        <f>ROUND(I1118*INDEX(미지급률범위,E1118),0)</f>
        <v/>
      </c>
      <c r="M1118" s="2">
        <f>ROUND(I1118*INDEX(과지급률범위,E1118),0)</f>
        <v/>
      </c>
      <c r="N1118" s="2">
        <f>MAX(0,L1118-M1118)</f>
        <v/>
      </c>
      <c r="O1118" s="2">
        <f>K1118-N1118</f>
        <v/>
      </c>
      <c r="P1118" s="2">
        <f>I1118-N1118</f>
        <v/>
      </c>
      <c r="Q1118" s="5">
        <f>IF(G1118&gt;기준일,1,0)</f>
        <v/>
      </c>
      <c r="R1118" s="5">
        <f>IF(G1118&lt;=기준일,1,0)</f>
        <v/>
      </c>
      <c r="S1118" s="2">
        <f>J1118*H1118</f>
        <v/>
      </c>
      <c r="T1118" s="5">
        <f>IF(AND(F1118&gt;=표본시작,F1118&lt;=표본종료),1,0)</f>
        <v/>
      </c>
      <c r="U1118" s="5">
        <f>IF(AND(G1118&gt;=조회시작,G1118&lt;=조회종료),1,0)</f>
        <v/>
      </c>
    </row>
    <row r="1119">
      <c r="A1119" s="2">
        <f>ROW()-1</f>
        <v/>
      </c>
      <c r="B1119" s="5">
        <f>INDEX(상호범위,D1119)</f>
        <v/>
      </c>
      <c r="C1119" s="5">
        <f>INDEX(플랫폼명범위,E1119)</f>
        <v/>
      </c>
      <c r="D1119" s="2">
        <f>MOD(INT((A1119-1)/4),8)+1</f>
        <v/>
      </c>
      <c r="E1119" s="2">
        <f>MOD(A1119-1,4)+1</f>
        <v/>
      </c>
      <c r="F1119" s="20">
        <f>축시작+INT((A1119-1)/32)</f>
        <v/>
      </c>
      <c r="G1119" s="20">
        <f>F1119+H1119</f>
        <v/>
      </c>
      <c r="H1119" s="5" t="n">
        <v>3</v>
      </c>
      <c r="I1119" s="2">
        <f>ROUND(INDEX(가맹점!$P$2:$P$9,D1119)*INDEX(가맹점!$J$2:$M$9,D1119,E1119),0)</f>
        <v/>
      </c>
      <c r="J1119" s="2">
        <f>ROUND(I1119*(1-할인율),0)</f>
        <v/>
      </c>
      <c r="K1119" s="2">
        <f>ROUNDDOWN(I1119*할인율,0)</f>
        <v/>
      </c>
      <c r="L1119" s="2">
        <f>ROUND(I1119*INDEX(미지급률범위,E1119),0)</f>
        <v/>
      </c>
      <c r="M1119" s="2">
        <f>ROUND(I1119*INDEX(과지급률범위,E1119),0)</f>
        <v/>
      </c>
      <c r="N1119" s="2">
        <f>MAX(0,L1119-M1119)</f>
        <v/>
      </c>
      <c r="O1119" s="2">
        <f>K1119-N1119</f>
        <v/>
      </c>
      <c r="P1119" s="2">
        <f>I1119-N1119</f>
        <v/>
      </c>
      <c r="Q1119" s="5">
        <f>IF(G1119&gt;기준일,1,0)</f>
        <v/>
      </c>
      <c r="R1119" s="5">
        <f>IF(G1119&lt;=기준일,1,0)</f>
        <v/>
      </c>
      <c r="S1119" s="2">
        <f>J1119*H1119</f>
        <v/>
      </c>
      <c r="T1119" s="5">
        <f>IF(AND(F1119&gt;=표본시작,F1119&lt;=표본종료),1,0)</f>
        <v/>
      </c>
      <c r="U1119" s="5">
        <f>IF(AND(G1119&gt;=조회시작,G1119&lt;=조회종료),1,0)</f>
        <v/>
      </c>
    </row>
    <row r="1120">
      <c r="A1120" s="2">
        <f>ROW()-1</f>
        <v/>
      </c>
      <c r="B1120" s="5">
        <f>INDEX(상호범위,D1120)</f>
        <v/>
      </c>
      <c r="C1120" s="5">
        <f>INDEX(플랫폼명범위,E1120)</f>
        <v/>
      </c>
      <c r="D1120" s="2">
        <f>MOD(INT((A1120-1)/4),8)+1</f>
        <v/>
      </c>
      <c r="E1120" s="2">
        <f>MOD(A1120-1,4)+1</f>
        <v/>
      </c>
      <c r="F1120" s="20">
        <f>축시작+INT((A1120-1)/32)</f>
        <v/>
      </c>
      <c r="G1120" s="20">
        <f>F1120+H1120</f>
        <v/>
      </c>
      <c r="H1120" s="5" t="n">
        <v>5</v>
      </c>
      <c r="I1120" s="2">
        <f>ROUND(INDEX(가맹점!$P$2:$P$9,D1120)*INDEX(가맹점!$J$2:$M$9,D1120,E1120),0)</f>
        <v/>
      </c>
      <c r="J1120" s="2">
        <f>ROUND(I1120*(1-할인율),0)</f>
        <v/>
      </c>
      <c r="K1120" s="2">
        <f>ROUNDDOWN(I1120*할인율,0)</f>
        <v/>
      </c>
      <c r="L1120" s="2">
        <f>ROUND(I1120*INDEX(미지급률범위,E1120),0)</f>
        <v/>
      </c>
      <c r="M1120" s="2">
        <f>ROUND(I1120*INDEX(과지급률범위,E1120),0)</f>
        <v/>
      </c>
      <c r="N1120" s="2">
        <f>MAX(0,L1120-M1120)</f>
        <v/>
      </c>
      <c r="O1120" s="2">
        <f>K1120-N1120</f>
        <v/>
      </c>
      <c r="P1120" s="2">
        <f>I1120-N1120</f>
        <v/>
      </c>
      <c r="Q1120" s="5">
        <f>IF(G1120&gt;기준일,1,0)</f>
        <v/>
      </c>
      <c r="R1120" s="5">
        <f>IF(G1120&lt;=기준일,1,0)</f>
        <v/>
      </c>
      <c r="S1120" s="2">
        <f>J1120*H1120</f>
        <v/>
      </c>
      <c r="T1120" s="5">
        <f>IF(AND(F1120&gt;=표본시작,F1120&lt;=표본종료),1,0)</f>
        <v/>
      </c>
      <c r="U1120" s="5">
        <f>IF(AND(G1120&gt;=조회시작,G1120&lt;=조회종료),1,0)</f>
        <v/>
      </c>
    </row>
    <row r="1121">
      <c r="A1121" s="2">
        <f>ROW()-1</f>
        <v/>
      </c>
      <c r="B1121" s="5">
        <f>INDEX(상호범위,D1121)</f>
        <v/>
      </c>
      <c r="C1121" s="5">
        <f>INDEX(플랫폼명범위,E1121)</f>
        <v/>
      </c>
      <c r="D1121" s="2">
        <f>MOD(INT((A1121-1)/4),8)+1</f>
        <v/>
      </c>
      <c r="E1121" s="2">
        <f>MOD(A1121-1,4)+1</f>
        <v/>
      </c>
      <c r="F1121" s="20">
        <f>축시작+INT((A1121-1)/32)</f>
        <v/>
      </c>
      <c r="G1121" s="20">
        <f>F1121+H1121</f>
        <v/>
      </c>
      <c r="H1121" s="5" t="n">
        <v>6</v>
      </c>
      <c r="I1121" s="2">
        <f>ROUND(INDEX(가맹점!$P$2:$P$9,D1121)*INDEX(가맹점!$J$2:$M$9,D1121,E1121),0)</f>
        <v/>
      </c>
      <c r="J1121" s="2">
        <f>ROUND(I1121*(1-할인율),0)</f>
        <v/>
      </c>
      <c r="K1121" s="2">
        <f>ROUNDDOWN(I1121*할인율,0)</f>
        <v/>
      </c>
      <c r="L1121" s="2">
        <f>ROUND(I1121*INDEX(미지급률범위,E1121),0)</f>
        <v/>
      </c>
      <c r="M1121" s="2">
        <f>ROUND(I1121*INDEX(과지급률범위,E1121),0)</f>
        <v/>
      </c>
      <c r="N1121" s="2">
        <f>MAX(0,L1121-M1121)</f>
        <v/>
      </c>
      <c r="O1121" s="2">
        <f>K1121-N1121</f>
        <v/>
      </c>
      <c r="P1121" s="2">
        <f>I1121-N1121</f>
        <v/>
      </c>
      <c r="Q1121" s="5">
        <f>IF(G1121&gt;기준일,1,0)</f>
        <v/>
      </c>
      <c r="R1121" s="5">
        <f>IF(G1121&lt;=기준일,1,0)</f>
        <v/>
      </c>
      <c r="S1121" s="2">
        <f>J1121*H1121</f>
        <v/>
      </c>
      <c r="T1121" s="5">
        <f>IF(AND(F1121&gt;=표본시작,F1121&lt;=표본종료),1,0)</f>
        <v/>
      </c>
      <c r="U1121" s="5">
        <f>IF(AND(G1121&gt;=조회시작,G1121&lt;=조회종료),1,0)</f>
        <v/>
      </c>
    </row>
    <row r="1122">
      <c r="A1122" s="2">
        <f>ROW()-1</f>
        <v/>
      </c>
      <c r="B1122" s="5">
        <f>INDEX(상호범위,D1122)</f>
        <v/>
      </c>
      <c r="C1122" s="5">
        <f>INDEX(플랫폼명범위,E1122)</f>
        <v/>
      </c>
      <c r="D1122" s="2">
        <f>MOD(INT((A1122-1)/4),8)+1</f>
        <v/>
      </c>
      <c r="E1122" s="2">
        <f>MOD(A1122-1,4)+1</f>
        <v/>
      </c>
      <c r="F1122" s="20">
        <f>축시작+INT((A1122-1)/32)</f>
        <v/>
      </c>
      <c r="G1122" s="20">
        <f>F1122+H1122</f>
        <v/>
      </c>
      <c r="H1122" s="5" t="n">
        <v>2</v>
      </c>
      <c r="I1122" s="2">
        <f>ROUND(INDEX(가맹점!$P$2:$P$9,D1122)*INDEX(가맹점!$J$2:$M$9,D1122,E1122),0)</f>
        <v/>
      </c>
      <c r="J1122" s="2">
        <f>ROUND(I1122*(1-할인율),0)</f>
        <v/>
      </c>
      <c r="K1122" s="2">
        <f>ROUNDDOWN(I1122*할인율,0)</f>
        <v/>
      </c>
      <c r="L1122" s="2">
        <f>ROUND(I1122*INDEX(미지급률범위,E1122),0)</f>
        <v/>
      </c>
      <c r="M1122" s="2">
        <f>ROUND(I1122*INDEX(과지급률범위,E1122),0)</f>
        <v/>
      </c>
      <c r="N1122" s="2">
        <f>MAX(0,L1122-M1122)</f>
        <v/>
      </c>
      <c r="O1122" s="2">
        <f>K1122-N1122</f>
        <v/>
      </c>
      <c r="P1122" s="2">
        <f>I1122-N1122</f>
        <v/>
      </c>
      <c r="Q1122" s="5">
        <f>IF(G1122&gt;기준일,1,0)</f>
        <v/>
      </c>
      <c r="R1122" s="5">
        <f>IF(G1122&lt;=기준일,1,0)</f>
        <v/>
      </c>
      <c r="S1122" s="2">
        <f>J1122*H1122</f>
        <v/>
      </c>
      <c r="T1122" s="5">
        <f>IF(AND(F1122&gt;=표본시작,F1122&lt;=표본종료),1,0)</f>
        <v/>
      </c>
      <c r="U1122" s="5">
        <f>IF(AND(G1122&gt;=조회시작,G1122&lt;=조회종료),1,0)</f>
        <v/>
      </c>
    </row>
    <row r="1123">
      <c r="A1123" s="2">
        <f>ROW()-1</f>
        <v/>
      </c>
      <c r="B1123" s="5">
        <f>INDEX(상호범위,D1123)</f>
        <v/>
      </c>
      <c r="C1123" s="5">
        <f>INDEX(플랫폼명범위,E1123)</f>
        <v/>
      </c>
      <c r="D1123" s="2">
        <f>MOD(INT((A1123-1)/4),8)+1</f>
        <v/>
      </c>
      <c r="E1123" s="2">
        <f>MOD(A1123-1,4)+1</f>
        <v/>
      </c>
      <c r="F1123" s="20">
        <f>축시작+INT((A1123-1)/32)</f>
        <v/>
      </c>
      <c r="G1123" s="20">
        <f>F1123+H1123</f>
        <v/>
      </c>
      <c r="H1123" s="5" t="n">
        <v>3</v>
      </c>
      <c r="I1123" s="2">
        <f>ROUND(INDEX(가맹점!$P$2:$P$9,D1123)*INDEX(가맹점!$J$2:$M$9,D1123,E1123),0)</f>
        <v/>
      </c>
      <c r="J1123" s="2">
        <f>ROUND(I1123*(1-할인율),0)</f>
        <v/>
      </c>
      <c r="K1123" s="2">
        <f>ROUNDDOWN(I1123*할인율,0)</f>
        <v/>
      </c>
      <c r="L1123" s="2">
        <f>ROUND(I1123*INDEX(미지급률범위,E1123),0)</f>
        <v/>
      </c>
      <c r="M1123" s="2">
        <f>ROUND(I1123*INDEX(과지급률범위,E1123),0)</f>
        <v/>
      </c>
      <c r="N1123" s="2">
        <f>MAX(0,L1123-M1123)</f>
        <v/>
      </c>
      <c r="O1123" s="2">
        <f>K1123-N1123</f>
        <v/>
      </c>
      <c r="P1123" s="2">
        <f>I1123-N1123</f>
        <v/>
      </c>
      <c r="Q1123" s="5">
        <f>IF(G1123&gt;기준일,1,0)</f>
        <v/>
      </c>
      <c r="R1123" s="5">
        <f>IF(G1123&lt;=기준일,1,0)</f>
        <v/>
      </c>
      <c r="S1123" s="2">
        <f>J1123*H1123</f>
        <v/>
      </c>
      <c r="T1123" s="5">
        <f>IF(AND(F1123&gt;=표본시작,F1123&lt;=표본종료),1,0)</f>
        <v/>
      </c>
      <c r="U1123" s="5">
        <f>IF(AND(G1123&gt;=조회시작,G1123&lt;=조회종료),1,0)</f>
        <v/>
      </c>
    </row>
    <row r="1124">
      <c r="A1124" s="2">
        <f>ROW()-1</f>
        <v/>
      </c>
      <c r="B1124" s="5">
        <f>INDEX(상호범위,D1124)</f>
        <v/>
      </c>
      <c r="C1124" s="5">
        <f>INDEX(플랫폼명범위,E1124)</f>
        <v/>
      </c>
      <c r="D1124" s="2">
        <f>MOD(INT((A1124-1)/4),8)+1</f>
        <v/>
      </c>
      <c r="E1124" s="2">
        <f>MOD(A1124-1,4)+1</f>
        <v/>
      </c>
      <c r="F1124" s="20">
        <f>축시작+INT((A1124-1)/32)</f>
        <v/>
      </c>
      <c r="G1124" s="20">
        <f>F1124+H1124</f>
        <v/>
      </c>
      <c r="H1124" s="5" t="n">
        <v>6</v>
      </c>
      <c r="I1124" s="2">
        <f>ROUND(INDEX(가맹점!$P$2:$P$9,D1124)*INDEX(가맹점!$J$2:$M$9,D1124,E1124),0)</f>
        <v/>
      </c>
      <c r="J1124" s="2">
        <f>ROUND(I1124*(1-할인율),0)</f>
        <v/>
      </c>
      <c r="K1124" s="2">
        <f>ROUNDDOWN(I1124*할인율,0)</f>
        <v/>
      </c>
      <c r="L1124" s="2">
        <f>ROUND(I1124*INDEX(미지급률범위,E1124),0)</f>
        <v/>
      </c>
      <c r="M1124" s="2">
        <f>ROUND(I1124*INDEX(과지급률범위,E1124),0)</f>
        <v/>
      </c>
      <c r="N1124" s="2">
        <f>MAX(0,L1124-M1124)</f>
        <v/>
      </c>
      <c r="O1124" s="2">
        <f>K1124-N1124</f>
        <v/>
      </c>
      <c r="P1124" s="2">
        <f>I1124-N1124</f>
        <v/>
      </c>
      <c r="Q1124" s="5">
        <f>IF(G1124&gt;기준일,1,0)</f>
        <v/>
      </c>
      <c r="R1124" s="5">
        <f>IF(G1124&lt;=기준일,1,0)</f>
        <v/>
      </c>
      <c r="S1124" s="2">
        <f>J1124*H1124</f>
        <v/>
      </c>
      <c r="T1124" s="5">
        <f>IF(AND(F1124&gt;=표본시작,F1124&lt;=표본종료),1,0)</f>
        <v/>
      </c>
      <c r="U1124" s="5">
        <f>IF(AND(G1124&gt;=조회시작,G1124&lt;=조회종료),1,0)</f>
        <v/>
      </c>
    </row>
    <row r="1125">
      <c r="A1125" s="2">
        <f>ROW()-1</f>
        <v/>
      </c>
      <c r="B1125" s="5">
        <f>INDEX(상호범위,D1125)</f>
        <v/>
      </c>
      <c r="C1125" s="5">
        <f>INDEX(플랫폼명범위,E1125)</f>
        <v/>
      </c>
      <c r="D1125" s="2">
        <f>MOD(INT((A1125-1)/4),8)+1</f>
        <v/>
      </c>
      <c r="E1125" s="2">
        <f>MOD(A1125-1,4)+1</f>
        <v/>
      </c>
      <c r="F1125" s="20">
        <f>축시작+INT((A1125-1)/32)</f>
        <v/>
      </c>
      <c r="G1125" s="20">
        <f>F1125+H1125</f>
        <v/>
      </c>
      <c r="H1125" s="5" t="n">
        <v>6</v>
      </c>
      <c r="I1125" s="2">
        <f>ROUND(INDEX(가맹점!$P$2:$P$9,D1125)*INDEX(가맹점!$J$2:$M$9,D1125,E1125),0)</f>
        <v/>
      </c>
      <c r="J1125" s="2">
        <f>ROUND(I1125*(1-할인율),0)</f>
        <v/>
      </c>
      <c r="K1125" s="2">
        <f>ROUNDDOWN(I1125*할인율,0)</f>
        <v/>
      </c>
      <c r="L1125" s="2">
        <f>ROUND(I1125*INDEX(미지급률범위,E1125),0)</f>
        <v/>
      </c>
      <c r="M1125" s="2">
        <f>ROUND(I1125*INDEX(과지급률범위,E1125),0)</f>
        <v/>
      </c>
      <c r="N1125" s="2">
        <f>MAX(0,L1125-M1125)</f>
        <v/>
      </c>
      <c r="O1125" s="2">
        <f>K1125-N1125</f>
        <v/>
      </c>
      <c r="P1125" s="2">
        <f>I1125-N1125</f>
        <v/>
      </c>
      <c r="Q1125" s="5">
        <f>IF(G1125&gt;기준일,1,0)</f>
        <v/>
      </c>
      <c r="R1125" s="5">
        <f>IF(G1125&lt;=기준일,1,0)</f>
        <v/>
      </c>
      <c r="S1125" s="2">
        <f>J1125*H1125</f>
        <v/>
      </c>
      <c r="T1125" s="5">
        <f>IF(AND(F1125&gt;=표본시작,F1125&lt;=표본종료),1,0)</f>
        <v/>
      </c>
      <c r="U1125" s="5">
        <f>IF(AND(G1125&gt;=조회시작,G1125&lt;=조회종료),1,0)</f>
        <v/>
      </c>
    </row>
    <row r="1126">
      <c r="A1126" s="2">
        <f>ROW()-1</f>
        <v/>
      </c>
      <c r="B1126" s="5">
        <f>INDEX(상호범위,D1126)</f>
        <v/>
      </c>
      <c r="C1126" s="5">
        <f>INDEX(플랫폼명범위,E1126)</f>
        <v/>
      </c>
      <c r="D1126" s="2">
        <f>MOD(INT((A1126-1)/4),8)+1</f>
        <v/>
      </c>
      <c r="E1126" s="2">
        <f>MOD(A1126-1,4)+1</f>
        <v/>
      </c>
      <c r="F1126" s="20">
        <f>축시작+INT((A1126-1)/32)</f>
        <v/>
      </c>
      <c r="G1126" s="20">
        <f>F1126+H1126</f>
        <v/>
      </c>
      <c r="H1126" s="5" t="n">
        <v>3</v>
      </c>
      <c r="I1126" s="2">
        <f>ROUND(INDEX(가맹점!$P$2:$P$9,D1126)*INDEX(가맹점!$J$2:$M$9,D1126,E1126),0)</f>
        <v/>
      </c>
      <c r="J1126" s="2">
        <f>ROUND(I1126*(1-할인율),0)</f>
        <v/>
      </c>
      <c r="K1126" s="2">
        <f>ROUNDDOWN(I1126*할인율,0)</f>
        <v/>
      </c>
      <c r="L1126" s="2">
        <f>ROUND(I1126*INDEX(미지급률범위,E1126),0)</f>
        <v/>
      </c>
      <c r="M1126" s="2">
        <f>ROUND(I1126*INDEX(과지급률범위,E1126),0)</f>
        <v/>
      </c>
      <c r="N1126" s="2">
        <f>MAX(0,L1126-M1126)</f>
        <v/>
      </c>
      <c r="O1126" s="2">
        <f>K1126-N1126</f>
        <v/>
      </c>
      <c r="P1126" s="2">
        <f>I1126-N1126</f>
        <v/>
      </c>
      <c r="Q1126" s="5">
        <f>IF(G1126&gt;기준일,1,0)</f>
        <v/>
      </c>
      <c r="R1126" s="5">
        <f>IF(G1126&lt;=기준일,1,0)</f>
        <v/>
      </c>
      <c r="S1126" s="2">
        <f>J1126*H1126</f>
        <v/>
      </c>
      <c r="T1126" s="5">
        <f>IF(AND(F1126&gt;=표본시작,F1126&lt;=표본종료),1,0)</f>
        <v/>
      </c>
      <c r="U1126" s="5">
        <f>IF(AND(G1126&gt;=조회시작,G1126&lt;=조회종료),1,0)</f>
        <v/>
      </c>
    </row>
    <row r="1127">
      <c r="A1127" s="2">
        <f>ROW()-1</f>
        <v/>
      </c>
      <c r="B1127" s="5">
        <f>INDEX(상호범위,D1127)</f>
        <v/>
      </c>
      <c r="C1127" s="5">
        <f>INDEX(플랫폼명범위,E1127)</f>
        <v/>
      </c>
      <c r="D1127" s="2">
        <f>MOD(INT((A1127-1)/4),8)+1</f>
        <v/>
      </c>
      <c r="E1127" s="2">
        <f>MOD(A1127-1,4)+1</f>
        <v/>
      </c>
      <c r="F1127" s="20">
        <f>축시작+INT((A1127-1)/32)</f>
        <v/>
      </c>
      <c r="G1127" s="20">
        <f>F1127+H1127</f>
        <v/>
      </c>
      <c r="H1127" s="5" t="n">
        <v>2</v>
      </c>
      <c r="I1127" s="2">
        <f>ROUND(INDEX(가맹점!$P$2:$P$9,D1127)*INDEX(가맹점!$J$2:$M$9,D1127,E1127),0)</f>
        <v/>
      </c>
      <c r="J1127" s="2">
        <f>ROUND(I1127*(1-할인율),0)</f>
        <v/>
      </c>
      <c r="K1127" s="2">
        <f>ROUNDDOWN(I1127*할인율,0)</f>
        <v/>
      </c>
      <c r="L1127" s="2">
        <f>ROUND(I1127*INDEX(미지급률범위,E1127),0)</f>
        <v/>
      </c>
      <c r="M1127" s="2">
        <f>ROUND(I1127*INDEX(과지급률범위,E1127),0)</f>
        <v/>
      </c>
      <c r="N1127" s="2">
        <f>MAX(0,L1127-M1127)</f>
        <v/>
      </c>
      <c r="O1127" s="2">
        <f>K1127-N1127</f>
        <v/>
      </c>
      <c r="P1127" s="2">
        <f>I1127-N1127</f>
        <v/>
      </c>
      <c r="Q1127" s="5">
        <f>IF(G1127&gt;기준일,1,0)</f>
        <v/>
      </c>
      <c r="R1127" s="5">
        <f>IF(G1127&lt;=기준일,1,0)</f>
        <v/>
      </c>
      <c r="S1127" s="2">
        <f>J1127*H1127</f>
        <v/>
      </c>
      <c r="T1127" s="5">
        <f>IF(AND(F1127&gt;=표본시작,F1127&lt;=표본종료),1,0)</f>
        <v/>
      </c>
      <c r="U1127" s="5">
        <f>IF(AND(G1127&gt;=조회시작,G1127&lt;=조회종료),1,0)</f>
        <v/>
      </c>
    </row>
    <row r="1128">
      <c r="A1128" s="2">
        <f>ROW()-1</f>
        <v/>
      </c>
      <c r="B1128" s="5">
        <f>INDEX(상호범위,D1128)</f>
        <v/>
      </c>
      <c r="C1128" s="5">
        <f>INDEX(플랫폼명범위,E1128)</f>
        <v/>
      </c>
      <c r="D1128" s="2">
        <f>MOD(INT((A1128-1)/4),8)+1</f>
        <v/>
      </c>
      <c r="E1128" s="2">
        <f>MOD(A1128-1,4)+1</f>
        <v/>
      </c>
      <c r="F1128" s="20">
        <f>축시작+INT((A1128-1)/32)</f>
        <v/>
      </c>
      <c r="G1128" s="20">
        <f>F1128+H1128</f>
        <v/>
      </c>
      <c r="H1128" s="5" t="n">
        <v>5</v>
      </c>
      <c r="I1128" s="2">
        <f>ROUND(INDEX(가맹점!$P$2:$P$9,D1128)*INDEX(가맹점!$J$2:$M$9,D1128,E1128),0)</f>
        <v/>
      </c>
      <c r="J1128" s="2">
        <f>ROUND(I1128*(1-할인율),0)</f>
        <v/>
      </c>
      <c r="K1128" s="2">
        <f>ROUNDDOWN(I1128*할인율,0)</f>
        <v/>
      </c>
      <c r="L1128" s="2">
        <f>ROUND(I1128*INDEX(미지급률범위,E1128),0)</f>
        <v/>
      </c>
      <c r="M1128" s="2">
        <f>ROUND(I1128*INDEX(과지급률범위,E1128),0)</f>
        <v/>
      </c>
      <c r="N1128" s="2">
        <f>MAX(0,L1128-M1128)</f>
        <v/>
      </c>
      <c r="O1128" s="2">
        <f>K1128-N1128</f>
        <v/>
      </c>
      <c r="P1128" s="2">
        <f>I1128-N1128</f>
        <v/>
      </c>
      <c r="Q1128" s="5">
        <f>IF(G1128&gt;기준일,1,0)</f>
        <v/>
      </c>
      <c r="R1128" s="5">
        <f>IF(G1128&lt;=기준일,1,0)</f>
        <v/>
      </c>
      <c r="S1128" s="2">
        <f>J1128*H1128</f>
        <v/>
      </c>
      <c r="T1128" s="5">
        <f>IF(AND(F1128&gt;=표본시작,F1128&lt;=표본종료),1,0)</f>
        <v/>
      </c>
      <c r="U1128" s="5">
        <f>IF(AND(G1128&gt;=조회시작,G1128&lt;=조회종료),1,0)</f>
        <v/>
      </c>
    </row>
    <row r="1129">
      <c r="A1129" s="2">
        <f>ROW()-1</f>
        <v/>
      </c>
      <c r="B1129" s="5">
        <f>INDEX(상호범위,D1129)</f>
        <v/>
      </c>
      <c r="C1129" s="5">
        <f>INDEX(플랫폼명범위,E1129)</f>
        <v/>
      </c>
      <c r="D1129" s="2">
        <f>MOD(INT((A1129-1)/4),8)+1</f>
        <v/>
      </c>
      <c r="E1129" s="2">
        <f>MOD(A1129-1,4)+1</f>
        <v/>
      </c>
      <c r="F1129" s="20">
        <f>축시작+INT((A1129-1)/32)</f>
        <v/>
      </c>
      <c r="G1129" s="20">
        <f>F1129+H1129</f>
        <v/>
      </c>
      <c r="H1129" s="5" t="n">
        <v>6</v>
      </c>
      <c r="I1129" s="2">
        <f>ROUND(INDEX(가맹점!$P$2:$P$9,D1129)*INDEX(가맹점!$J$2:$M$9,D1129,E1129),0)</f>
        <v/>
      </c>
      <c r="J1129" s="2">
        <f>ROUND(I1129*(1-할인율),0)</f>
        <v/>
      </c>
      <c r="K1129" s="2">
        <f>ROUNDDOWN(I1129*할인율,0)</f>
        <v/>
      </c>
      <c r="L1129" s="2">
        <f>ROUND(I1129*INDEX(미지급률범위,E1129),0)</f>
        <v/>
      </c>
      <c r="M1129" s="2">
        <f>ROUND(I1129*INDEX(과지급률범위,E1129),0)</f>
        <v/>
      </c>
      <c r="N1129" s="2">
        <f>MAX(0,L1129-M1129)</f>
        <v/>
      </c>
      <c r="O1129" s="2">
        <f>K1129-N1129</f>
        <v/>
      </c>
      <c r="P1129" s="2">
        <f>I1129-N1129</f>
        <v/>
      </c>
      <c r="Q1129" s="5">
        <f>IF(G1129&gt;기준일,1,0)</f>
        <v/>
      </c>
      <c r="R1129" s="5">
        <f>IF(G1129&lt;=기준일,1,0)</f>
        <v/>
      </c>
      <c r="S1129" s="2">
        <f>J1129*H1129</f>
        <v/>
      </c>
      <c r="T1129" s="5">
        <f>IF(AND(F1129&gt;=표본시작,F1129&lt;=표본종료),1,0)</f>
        <v/>
      </c>
      <c r="U1129" s="5">
        <f>IF(AND(G1129&gt;=조회시작,G1129&lt;=조회종료),1,0)</f>
        <v/>
      </c>
    </row>
    <row r="1130">
      <c r="A1130" s="2">
        <f>ROW()-1</f>
        <v/>
      </c>
      <c r="B1130" s="5">
        <f>INDEX(상호범위,D1130)</f>
        <v/>
      </c>
      <c r="C1130" s="5">
        <f>INDEX(플랫폼명범위,E1130)</f>
        <v/>
      </c>
      <c r="D1130" s="2">
        <f>MOD(INT((A1130-1)/4),8)+1</f>
        <v/>
      </c>
      <c r="E1130" s="2">
        <f>MOD(A1130-1,4)+1</f>
        <v/>
      </c>
      <c r="F1130" s="20">
        <f>축시작+INT((A1130-1)/32)</f>
        <v/>
      </c>
      <c r="G1130" s="20">
        <f>F1130+H1130</f>
        <v/>
      </c>
      <c r="H1130" s="5" t="n">
        <v>2</v>
      </c>
      <c r="I1130" s="2">
        <f>ROUND(INDEX(가맹점!$P$2:$P$9,D1130)*INDEX(가맹점!$J$2:$M$9,D1130,E1130),0)</f>
        <v/>
      </c>
      <c r="J1130" s="2">
        <f>ROUND(I1130*(1-할인율),0)</f>
        <v/>
      </c>
      <c r="K1130" s="2">
        <f>ROUNDDOWN(I1130*할인율,0)</f>
        <v/>
      </c>
      <c r="L1130" s="2">
        <f>ROUND(I1130*INDEX(미지급률범위,E1130),0)</f>
        <v/>
      </c>
      <c r="M1130" s="2">
        <f>ROUND(I1130*INDEX(과지급률범위,E1130),0)</f>
        <v/>
      </c>
      <c r="N1130" s="2">
        <f>MAX(0,L1130-M1130)</f>
        <v/>
      </c>
      <c r="O1130" s="2">
        <f>K1130-N1130</f>
        <v/>
      </c>
      <c r="P1130" s="2">
        <f>I1130-N1130</f>
        <v/>
      </c>
      <c r="Q1130" s="5">
        <f>IF(G1130&gt;기준일,1,0)</f>
        <v/>
      </c>
      <c r="R1130" s="5">
        <f>IF(G1130&lt;=기준일,1,0)</f>
        <v/>
      </c>
      <c r="S1130" s="2">
        <f>J1130*H1130</f>
        <v/>
      </c>
      <c r="T1130" s="5">
        <f>IF(AND(F1130&gt;=표본시작,F1130&lt;=표본종료),1,0)</f>
        <v/>
      </c>
      <c r="U1130" s="5">
        <f>IF(AND(G1130&gt;=조회시작,G1130&lt;=조회종료),1,0)</f>
        <v/>
      </c>
    </row>
    <row r="1131">
      <c r="A1131" s="2">
        <f>ROW()-1</f>
        <v/>
      </c>
      <c r="B1131" s="5">
        <f>INDEX(상호범위,D1131)</f>
        <v/>
      </c>
      <c r="C1131" s="5">
        <f>INDEX(플랫폼명범위,E1131)</f>
        <v/>
      </c>
      <c r="D1131" s="2">
        <f>MOD(INT((A1131-1)/4),8)+1</f>
        <v/>
      </c>
      <c r="E1131" s="2">
        <f>MOD(A1131-1,4)+1</f>
        <v/>
      </c>
      <c r="F1131" s="20">
        <f>축시작+INT((A1131-1)/32)</f>
        <v/>
      </c>
      <c r="G1131" s="20">
        <f>F1131+H1131</f>
        <v/>
      </c>
      <c r="H1131" s="5" t="n">
        <v>2</v>
      </c>
      <c r="I1131" s="2">
        <f>ROUND(INDEX(가맹점!$P$2:$P$9,D1131)*INDEX(가맹점!$J$2:$M$9,D1131,E1131),0)</f>
        <v/>
      </c>
      <c r="J1131" s="2">
        <f>ROUND(I1131*(1-할인율),0)</f>
        <v/>
      </c>
      <c r="K1131" s="2">
        <f>ROUNDDOWN(I1131*할인율,0)</f>
        <v/>
      </c>
      <c r="L1131" s="2">
        <f>ROUND(I1131*INDEX(미지급률범위,E1131),0)</f>
        <v/>
      </c>
      <c r="M1131" s="2">
        <f>ROUND(I1131*INDEX(과지급률범위,E1131),0)</f>
        <v/>
      </c>
      <c r="N1131" s="2">
        <f>MAX(0,L1131-M1131)</f>
        <v/>
      </c>
      <c r="O1131" s="2">
        <f>K1131-N1131</f>
        <v/>
      </c>
      <c r="P1131" s="2">
        <f>I1131-N1131</f>
        <v/>
      </c>
      <c r="Q1131" s="5">
        <f>IF(G1131&gt;기준일,1,0)</f>
        <v/>
      </c>
      <c r="R1131" s="5">
        <f>IF(G1131&lt;=기준일,1,0)</f>
        <v/>
      </c>
      <c r="S1131" s="2">
        <f>J1131*H1131</f>
        <v/>
      </c>
      <c r="T1131" s="5">
        <f>IF(AND(F1131&gt;=표본시작,F1131&lt;=표본종료),1,0)</f>
        <v/>
      </c>
      <c r="U1131" s="5">
        <f>IF(AND(G1131&gt;=조회시작,G1131&lt;=조회종료),1,0)</f>
        <v/>
      </c>
    </row>
    <row r="1132">
      <c r="A1132" s="2">
        <f>ROW()-1</f>
        <v/>
      </c>
      <c r="B1132" s="5">
        <f>INDEX(상호범위,D1132)</f>
        <v/>
      </c>
      <c r="C1132" s="5">
        <f>INDEX(플랫폼명범위,E1132)</f>
        <v/>
      </c>
      <c r="D1132" s="2">
        <f>MOD(INT((A1132-1)/4),8)+1</f>
        <v/>
      </c>
      <c r="E1132" s="2">
        <f>MOD(A1132-1,4)+1</f>
        <v/>
      </c>
      <c r="F1132" s="20">
        <f>축시작+INT((A1132-1)/32)</f>
        <v/>
      </c>
      <c r="G1132" s="20">
        <f>F1132+H1132</f>
        <v/>
      </c>
      <c r="H1132" s="5" t="n">
        <v>5</v>
      </c>
      <c r="I1132" s="2">
        <f>ROUND(INDEX(가맹점!$P$2:$P$9,D1132)*INDEX(가맹점!$J$2:$M$9,D1132,E1132),0)</f>
        <v/>
      </c>
      <c r="J1132" s="2">
        <f>ROUND(I1132*(1-할인율),0)</f>
        <v/>
      </c>
      <c r="K1132" s="2">
        <f>ROUNDDOWN(I1132*할인율,0)</f>
        <v/>
      </c>
      <c r="L1132" s="2">
        <f>ROUND(I1132*INDEX(미지급률범위,E1132),0)</f>
        <v/>
      </c>
      <c r="M1132" s="2">
        <f>ROUND(I1132*INDEX(과지급률범위,E1132),0)</f>
        <v/>
      </c>
      <c r="N1132" s="2">
        <f>MAX(0,L1132-M1132)</f>
        <v/>
      </c>
      <c r="O1132" s="2">
        <f>K1132-N1132</f>
        <v/>
      </c>
      <c r="P1132" s="2">
        <f>I1132-N1132</f>
        <v/>
      </c>
      <c r="Q1132" s="5">
        <f>IF(G1132&gt;기준일,1,0)</f>
        <v/>
      </c>
      <c r="R1132" s="5">
        <f>IF(G1132&lt;=기준일,1,0)</f>
        <v/>
      </c>
      <c r="S1132" s="2">
        <f>J1132*H1132</f>
        <v/>
      </c>
      <c r="T1132" s="5">
        <f>IF(AND(F1132&gt;=표본시작,F1132&lt;=표본종료),1,0)</f>
        <v/>
      </c>
      <c r="U1132" s="5">
        <f>IF(AND(G1132&gt;=조회시작,G1132&lt;=조회종료),1,0)</f>
        <v/>
      </c>
    </row>
    <row r="1133">
      <c r="A1133" s="2">
        <f>ROW()-1</f>
        <v/>
      </c>
      <c r="B1133" s="5">
        <f>INDEX(상호범위,D1133)</f>
        <v/>
      </c>
      <c r="C1133" s="5">
        <f>INDEX(플랫폼명범위,E1133)</f>
        <v/>
      </c>
      <c r="D1133" s="2">
        <f>MOD(INT((A1133-1)/4),8)+1</f>
        <v/>
      </c>
      <c r="E1133" s="2">
        <f>MOD(A1133-1,4)+1</f>
        <v/>
      </c>
      <c r="F1133" s="20">
        <f>축시작+INT((A1133-1)/32)</f>
        <v/>
      </c>
      <c r="G1133" s="20">
        <f>F1133+H1133</f>
        <v/>
      </c>
      <c r="H1133" s="5" t="n">
        <v>7</v>
      </c>
      <c r="I1133" s="2">
        <f>ROUND(INDEX(가맹점!$P$2:$P$9,D1133)*INDEX(가맹점!$J$2:$M$9,D1133,E1133),0)</f>
        <v/>
      </c>
      <c r="J1133" s="2">
        <f>ROUND(I1133*(1-할인율),0)</f>
        <v/>
      </c>
      <c r="K1133" s="2">
        <f>ROUNDDOWN(I1133*할인율,0)</f>
        <v/>
      </c>
      <c r="L1133" s="2">
        <f>ROUND(I1133*INDEX(미지급률범위,E1133),0)</f>
        <v/>
      </c>
      <c r="M1133" s="2">
        <f>ROUND(I1133*INDEX(과지급률범위,E1133),0)</f>
        <v/>
      </c>
      <c r="N1133" s="2">
        <f>MAX(0,L1133-M1133)</f>
        <v/>
      </c>
      <c r="O1133" s="2">
        <f>K1133-N1133</f>
        <v/>
      </c>
      <c r="P1133" s="2">
        <f>I1133-N1133</f>
        <v/>
      </c>
      <c r="Q1133" s="5">
        <f>IF(G1133&gt;기준일,1,0)</f>
        <v/>
      </c>
      <c r="R1133" s="5">
        <f>IF(G1133&lt;=기준일,1,0)</f>
        <v/>
      </c>
      <c r="S1133" s="2">
        <f>J1133*H1133</f>
        <v/>
      </c>
      <c r="T1133" s="5">
        <f>IF(AND(F1133&gt;=표본시작,F1133&lt;=표본종료),1,0)</f>
        <v/>
      </c>
      <c r="U1133" s="5">
        <f>IF(AND(G1133&gt;=조회시작,G1133&lt;=조회종료),1,0)</f>
        <v/>
      </c>
    </row>
    <row r="1134">
      <c r="A1134" s="2">
        <f>ROW()-1</f>
        <v/>
      </c>
      <c r="B1134" s="5">
        <f>INDEX(상호범위,D1134)</f>
        <v/>
      </c>
      <c r="C1134" s="5">
        <f>INDEX(플랫폼명범위,E1134)</f>
        <v/>
      </c>
      <c r="D1134" s="2">
        <f>MOD(INT((A1134-1)/4),8)+1</f>
        <v/>
      </c>
      <c r="E1134" s="2">
        <f>MOD(A1134-1,4)+1</f>
        <v/>
      </c>
      <c r="F1134" s="20">
        <f>축시작+INT((A1134-1)/32)</f>
        <v/>
      </c>
      <c r="G1134" s="20">
        <f>F1134+H1134</f>
        <v/>
      </c>
      <c r="H1134" s="5" t="n">
        <v>2</v>
      </c>
      <c r="I1134" s="2">
        <f>ROUND(INDEX(가맹점!$P$2:$P$9,D1134)*INDEX(가맹점!$J$2:$M$9,D1134,E1134),0)</f>
        <v/>
      </c>
      <c r="J1134" s="2">
        <f>ROUND(I1134*(1-할인율),0)</f>
        <v/>
      </c>
      <c r="K1134" s="2">
        <f>ROUNDDOWN(I1134*할인율,0)</f>
        <v/>
      </c>
      <c r="L1134" s="2">
        <f>ROUND(I1134*INDEX(미지급률범위,E1134),0)</f>
        <v/>
      </c>
      <c r="M1134" s="2">
        <f>ROUND(I1134*INDEX(과지급률범위,E1134),0)</f>
        <v/>
      </c>
      <c r="N1134" s="2">
        <f>MAX(0,L1134-M1134)</f>
        <v/>
      </c>
      <c r="O1134" s="2">
        <f>K1134-N1134</f>
        <v/>
      </c>
      <c r="P1134" s="2">
        <f>I1134-N1134</f>
        <v/>
      </c>
      <c r="Q1134" s="5">
        <f>IF(G1134&gt;기준일,1,0)</f>
        <v/>
      </c>
      <c r="R1134" s="5">
        <f>IF(G1134&lt;=기준일,1,0)</f>
        <v/>
      </c>
      <c r="S1134" s="2">
        <f>J1134*H1134</f>
        <v/>
      </c>
      <c r="T1134" s="5">
        <f>IF(AND(F1134&gt;=표본시작,F1134&lt;=표본종료),1,0)</f>
        <v/>
      </c>
      <c r="U1134" s="5">
        <f>IF(AND(G1134&gt;=조회시작,G1134&lt;=조회종료),1,0)</f>
        <v/>
      </c>
    </row>
    <row r="1135">
      <c r="A1135" s="2">
        <f>ROW()-1</f>
        <v/>
      </c>
      <c r="B1135" s="5">
        <f>INDEX(상호범위,D1135)</f>
        <v/>
      </c>
      <c r="C1135" s="5">
        <f>INDEX(플랫폼명범위,E1135)</f>
        <v/>
      </c>
      <c r="D1135" s="2">
        <f>MOD(INT((A1135-1)/4),8)+1</f>
        <v/>
      </c>
      <c r="E1135" s="2">
        <f>MOD(A1135-1,4)+1</f>
        <v/>
      </c>
      <c r="F1135" s="20">
        <f>축시작+INT((A1135-1)/32)</f>
        <v/>
      </c>
      <c r="G1135" s="20">
        <f>F1135+H1135</f>
        <v/>
      </c>
      <c r="H1135" s="5" t="n">
        <v>4</v>
      </c>
      <c r="I1135" s="2">
        <f>ROUND(INDEX(가맹점!$P$2:$P$9,D1135)*INDEX(가맹점!$J$2:$M$9,D1135,E1135),0)</f>
        <v/>
      </c>
      <c r="J1135" s="2">
        <f>ROUND(I1135*(1-할인율),0)</f>
        <v/>
      </c>
      <c r="K1135" s="2">
        <f>ROUNDDOWN(I1135*할인율,0)</f>
        <v/>
      </c>
      <c r="L1135" s="2">
        <f>ROUND(I1135*INDEX(미지급률범위,E1135),0)</f>
        <v/>
      </c>
      <c r="M1135" s="2">
        <f>ROUND(I1135*INDEX(과지급률범위,E1135),0)</f>
        <v/>
      </c>
      <c r="N1135" s="2">
        <f>MAX(0,L1135-M1135)</f>
        <v/>
      </c>
      <c r="O1135" s="2">
        <f>K1135-N1135</f>
        <v/>
      </c>
      <c r="P1135" s="2">
        <f>I1135-N1135</f>
        <v/>
      </c>
      <c r="Q1135" s="5">
        <f>IF(G1135&gt;기준일,1,0)</f>
        <v/>
      </c>
      <c r="R1135" s="5">
        <f>IF(G1135&lt;=기준일,1,0)</f>
        <v/>
      </c>
      <c r="S1135" s="2">
        <f>J1135*H1135</f>
        <v/>
      </c>
      <c r="T1135" s="5">
        <f>IF(AND(F1135&gt;=표본시작,F1135&lt;=표본종료),1,0)</f>
        <v/>
      </c>
      <c r="U1135" s="5">
        <f>IF(AND(G1135&gt;=조회시작,G1135&lt;=조회종료),1,0)</f>
        <v/>
      </c>
    </row>
    <row r="1136">
      <c r="A1136" s="2">
        <f>ROW()-1</f>
        <v/>
      </c>
      <c r="B1136" s="5">
        <f>INDEX(상호범위,D1136)</f>
        <v/>
      </c>
      <c r="C1136" s="5">
        <f>INDEX(플랫폼명범위,E1136)</f>
        <v/>
      </c>
      <c r="D1136" s="2">
        <f>MOD(INT((A1136-1)/4),8)+1</f>
        <v/>
      </c>
      <c r="E1136" s="2">
        <f>MOD(A1136-1,4)+1</f>
        <v/>
      </c>
      <c r="F1136" s="20">
        <f>축시작+INT((A1136-1)/32)</f>
        <v/>
      </c>
      <c r="G1136" s="20">
        <f>F1136+H1136</f>
        <v/>
      </c>
      <c r="H1136" s="5" t="n">
        <v>6</v>
      </c>
      <c r="I1136" s="2">
        <f>ROUND(INDEX(가맹점!$P$2:$P$9,D1136)*INDEX(가맹점!$J$2:$M$9,D1136,E1136),0)</f>
        <v/>
      </c>
      <c r="J1136" s="2">
        <f>ROUND(I1136*(1-할인율),0)</f>
        <v/>
      </c>
      <c r="K1136" s="2">
        <f>ROUNDDOWN(I1136*할인율,0)</f>
        <v/>
      </c>
      <c r="L1136" s="2">
        <f>ROUND(I1136*INDEX(미지급률범위,E1136),0)</f>
        <v/>
      </c>
      <c r="M1136" s="2">
        <f>ROUND(I1136*INDEX(과지급률범위,E1136),0)</f>
        <v/>
      </c>
      <c r="N1136" s="2">
        <f>MAX(0,L1136-M1136)</f>
        <v/>
      </c>
      <c r="O1136" s="2">
        <f>K1136-N1136</f>
        <v/>
      </c>
      <c r="P1136" s="2">
        <f>I1136-N1136</f>
        <v/>
      </c>
      <c r="Q1136" s="5">
        <f>IF(G1136&gt;기준일,1,0)</f>
        <v/>
      </c>
      <c r="R1136" s="5">
        <f>IF(G1136&lt;=기준일,1,0)</f>
        <v/>
      </c>
      <c r="S1136" s="2">
        <f>J1136*H1136</f>
        <v/>
      </c>
      <c r="T1136" s="5">
        <f>IF(AND(F1136&gt;=표본시작,F1136&lt;=표본종료),1,0)</f>
        <v/>
      </c>
      <c r="U1136" s="5">
        <f>IF(AND(G1136&gt;=조회시작,G1136&lt;=조회종료),1,0)</f>
        <v/>
      </c>
    </row>
    <row r="1137">
      <c r="A1137" s="2">
        <f>ROW()-1</f>
        <v/>
      </c>
      <c r="B1137" s="5">
        <f>INDEX(상호범위,D1137)</f>
        <v/>
      </c>
      <c r="C1137" s="5">
        <f>INDEX(플랫폼명범위,E1137)</f>
        <v/>
      </c>
      <c r="D1137" s="2">
        <f>MOD(INT((A1137-1)/4),8)+1</f>
        <v/>
      </c>
      <c r="E1137" s="2">
        <f>MOD(A1137-1,4)+1</f>
        <v/>
      </c>
      <c r="F1137" s="20">
        <f>축시작+INT((A1137-1)/32)</f>
        <v/>
      </c>
      <c r="G1137" s="20">
        <f>F1137+H1137</f>
        <v/>
      </c>
      <c r="H1137" s="5" t="n">
        <v>6</v>
      </c>
      <c r="I1137" s="2">
        <f>ROUND(INDEX(가맹점!$P$2:$P$9,D1137)*INDEX(가맹점!$J$2:$M$9,D1137,E1137),0)</f>
        <v/>
      </c>
      <c r="J1137" s="2">
        <f>ROUND(I1137*(1-할인율),0)</f>
        <v/>
      </c>
      <c r="K1137" s="2">
        <f>ROUNDDOWN(I1137*할인율,0)</f>
        <v/>
      </c>
      <c r="L1137" s="2">
        <f>ROUND(I1137*INDEX(미지급률범위,E1137),0)</f>
        <v/>
      </c>
      <c r="M1137" s="2">
        <f>ROUND(I1137*INDEX(과지급률범위,E1137),0)</f>
        <v/>
      </c>
      <c r="N1137" s="2">
        <f>MAX(0,L1137-M1137)</f>
        <v/>
      </c>
      <c r="O1137" s="2">
        <f>K1137-N1137</f>
        <v/>
      </c>
      <c r="P1137" s="2">
        <f>I1137-N1137</f>
        <v/>
      </c>
      <c r="Q1137" s="5">
        <f>IF(G1137&gt;기준일,1,0)</f>
        <v/>
      </c>
      <c r="R1137" s="5">
        <f>IF(G1137&lt;=기준일,1,0)</f>
        <v/>
      </c>
      <c r="S1137" s="2">
        <f>J1137*H1137</f>
        <v/>
      </c>
      <c r="T1137" s="5">
        <f>IF(AND(F1137&gt;=표본시작,F1137&lt;=표본종료),1,0)</f>
        <v/>
      </c>
      <c r="U1137" s="5">
        <f>IF(AND(G1137&gt;=조회시작,G1137&lt;=조회종료),1,0)</f>
        <v/>
      </c>
    </row>
    <row r="1138">
      <c r="A1138" s="2">
        <f>ROW()-1</f>
        <v/>
      </c>
      <c r="B1138" s="5">
        <f>INDEX(상호범위,D1138)</f>
        <v/>
      </c>
      <c r="C1138" s="5">
        <f>INDEX(플랫폼명범위,E1138)</f>
        <v/>
      </c>
      <c r="D1138" s="2">
        <f>MOD(INT((A1138-1)/4),8)+1</f>
        <v/>
      </c>
      <c r="E1138" s="2">
        <f>MOD(A1138-1,4)+1</f>
        <v/>
      </c>
      <c r="F1138" s="20">
        <f>축시작+INT((A1138-1)/32)</f>
        <v/>
      </c>
      <c r="G1138" s="20">
        <f>F1138+H1138</f>
        <v/>
      </c>
      <c r="H1138" s="5" t="n">
        <v>3</v>
      </c>
      <c r="I1138" s="2">
        <f>ROUND(INDEX(가맹점!$P$2:$P$9,D1138)*INDEX(가맹점!$J$2:$M$9,D1138,E1138),0)</f>
        <v/>
      </c>
      <c r="J1138" s="2">
        <f>ROUND(I1138*(1-할인율),0)</f>
        <v/>
      </c>
      <c r="K1138" s="2">
        <f>ROUNDDOWN(I1138*할인율,0)</f>
        <v/>
      </c>
      <c r="L1138" s="2">
        <f>ROUND(I1138*INDEX(미지급률범위,E1138),0)</f>
        <v/>
      </c>
      <c r="M1138" s="2">
        <f>ROUND(I1138*INDEX(과지급률범위,E1138),0)</f>
        <v/>
      </c>
      <c r="N1138" s="2">
        <f>MAX(0,L1138-M1138)</f>
        <v/>
      </c>
      <c r="O1138" s="2">
        <f>K1138-N1138</f>
        <v/>
      </c>
      <c r="P1138" s="2">
        <f>I1138-N1138</f>
        <v/>
      </c>
      <c r="Q1138" s="5">
        <f>IF(G1138&gt;기준일,1,0)</f>
        <v/>
      </c>
      <c r="R1138" s="5">
        <f>IF(G1138&lt;=기준일,1,0)</f>
        <v/>
      </c>
      <c r="S1138" s="2">
        <f>J1138*H1138</f>
        <v/>
      </c>
      <c r="T1138" s="5">
        <f>IF(AND(F1138&gt;=표본시작,F1138&lt;=표본종료),1,0)</f>
        <v/>
      </c>
      <c r="U1138" s="5">
        <f>IF(AND(G1138&gt;=조회시작,G1138&lt;=조회종료),1,0)</f>
        <v/>
      </c>
    </row>
    <row r="1139">
      <c r="A1139" s="2">
        <f>ROW()-1</f>
        <v/>
      </c>
      <c r="B1139" s="5">
        <f>INDEX(상호범위,D1139)</f>
        <v/>
      </c>
      <c r="C1139" s="5">
        <f>INDEX(플랫폼명범위,E1139)</f>
        <v/>
      </c>
      <c r="D1139" s="2">
        <f>MOD(INT((A1139-1)/4),8)+1</f>
        <v/>
      </c>
      <c r="E1139" s="2">
        <f>MOD(A1139-1,4)+1</f>
        <v/>
      </c>
      <c r="F1139" s="20">
        <f>축시작+INT((A1139-1)/32)</f>
        <v/>
      </c>
      <c r="G1139" s="20">
        <f>F1139+H1139</f>
        <v/>
      </c>
      <c r="H1139" s="5" t="n">
        <v>3</v>
      </c>
      <c r="I1139" s="2">
        <f>ROUND(INDEX(가맹점!$P$2:$P$9,D1139)*INDEX(가맹점!$J$2:$M$9,D1139,E1139),0)</f>
        <v/>
      </c>
      <c r="J1139" s="2">
        <f>ROUND(I1139*(1-할인율),0)</f>
        <v/>
      </c>
      <c r="K1139" s="2">
        <f>ROUNDDOWN(I1139*할인율,0)</f>
        <v/>
      </c>
      <c r="L1139" s="2">
        <f>ROUND(I1139*INDEX(미지급률범위,E1139),0)</f>
        <v/>
      </c>
      <c r="M1139" s="2">
        <f>ROUND(I1139*INDEX(과지급률범위,E1139),0)</f>
        <v/>
      </c>
      <c r="N1139" s="2">
        <f>MAX(0,L1139-M1139)</f>
        <v/>
      </c>
      <c r="O1139" s="2">
        <f>K1139-N1139</f>
        <v/>
      </c>
      <c r="P1139" s="2">
        <f>I1139-N1139</f>
        <v/>
      </c>
      <c r="Q1139" s="5">
        <f>IF(G1139&gt;기준일,1,0)</f>
        <v/>
      </c>
      <c r="R1139" s="5">
        <f>IF(G1139&lt;=기준일,1,0)</f>
        <v/>
      </c>
      <c r="S1139" s="2">
        <f>J1139*H1139</f>
        <v/>
      </c>
      <c r="T1139" s="5">
        <f>IF(AND(F1139&gt;=표본시작,F1139&lt;=표본종료),1,0)</f>
        <v/>
      </c>
      <c r="U1139" s="5">
        <f>IF(AND(G1139&gt;=조회시작,G1139&lt;=조회종료),1,0)</f>
        <v/>
      </c>
    </row>
    <row r="1140">
      <c r="A1140" s="2">
        <f>ROW()-1</f>
        <v/>
      </c>
      <c r="B1140" s="5">
        <f>INDEX(상호범위,D1140)</f>
        <v/>
      </c>
      <c r="C1140" s="5">
        <f>INDEX(플랫폼명범위,E1140)</f>
        <v/>
      </c>
      <c r="D1140" s="2">
        <f>MOD(INT((A1140-1)/4),8)+1</f>
        <v/>
      </c>
      <c r="E1140" s="2">
        <f>MOD(A1140-1,4)+1</f>
        <v/>
      </c>
      <c r="F1140" s="20">
        <f>축시작+INT((A1140-1)/32)</f>
        <v/>
      </c>
      <c r="G1140" s="20">
        <f>F1140+H1140</f>
        <v/>
      </c>
      <c r="H1140" s="5" t="n">
        <v>5</v>
      </c>
      <c r="I1140" s="2">
        <f>ROUND(INDEX(가맹점!$P$2:$P$9,D1140)*INDEX(가맹점!$J$2:$M$9,D1140,E1140),0)</f>
        <v/>
      </c>
      <c r="J1140" s="2">
        <f>ROUND(I1140*(1-할인율),0)</f>
        <v/>
      </c>
      <c r="K1140" s="2">
        <f>ROUNDDOWN(I1140*할인율,0)</f>
        <v/>
      </c>
      <c r="L1140" s="2">
        <f>ROUND(I1140*INDEX(미지급률범위,E1140),0)</f>
        <v/>
      </c>
      <c r="M1140" s="2">
        <f>ROUND(I1140*INDEX(과지급률범위,E1140),0)</f>
        <v/>
      </c>
      <c r="N1140" s="2">
        <f>MAX(0,L1140-M1140)</f>
        <v/>
      </c>
      <c r="O1140" s="2">
        <f>K1140-N1140</f>
        <v/>
      </c>
      <c r="P1140" s="2">
        <f>I1140-N1140</f>
        <v/>
      </c>
      <c r="Q1140" s="5">
        <f>IF(G1140&gt;기준일,1,0)</f>
        <v/>
      </c>
      <c r="R1140" s="5">
        <f>IF(G1140&lt;=기준일,1,0)</f>
        <v/>
      </c>
      <c r="S1140" s="2">
        <f>J1140*H1140</f>
        <v/>
      </c>
      <c r="T1140" s="5">
        <f>IF(AND(F1140&gt;=표본시작,F1140&lt;=표본종료),1,0)</f>
        <v/>
      </c>
      <c r="U1140" s="5">
        <f>IF(AND(G1140&gt;=조회시작,G1140&lt;=조회종료),1,0)</f>
        <v/>
      </c>
    </row>
    <row r="1141">
      <c r="A1141" s="2">
        <f>ROW()-1</f>
        <v/>
      </c>
      <c r="B1141" s="5">
        <f>INDEX(상호범위,D1141)</f>
        <v/>
      </c>
      <c r="C1141" s="5">
        <f>INDEX(플랫폼명범위,E1141)</f>
        <v/>
      </c>
      <c r="D1141" s="2">
        <f>MOD(INT((A1141-1)/4),8)+1</f>
        <v/>
      </c>
      <c r="E1141" s="2">
        <f>MOD(A1141-1,4)+1</f>
        <v/>
      </c>
      <c r="F1141" s="20">
        <f>축시작+INT((A1141-1)/32)</f>
        <v/>
      </c>
      <c r="G1141" s="20">
        <f>F1141+H1141</f>
        <v/>
      </c>
      <c r="H1141" s="5" t="n">
        <v>7</v>
      </c>
      <c r="I1141" s="2">
        <f>ROUND(INDEX(가맹점!$P$2:$P$9,D1141)*INDEX(가맹점!$J$2:$M$9,D1141,E1141),0)</f>
        <v/>
      </c>
      <c r="J1141" s="2">
        <f>ROUND(I1141*(1-할인율),0)</f>
        <v/>
      </c>
      <c r="K1141" s="2">
        <f>ROUNDDOWN(I1141*할인율,0)</f>
        <v/>
      </c>
      <c r="L1141" s="2">
        <f>ROUND(I1141*INDEX(미지급률범위,E1141),0)</f>
        <v/>
      </c>
      <c r="M1141" s="2">
        <f>ROUND(I1141*INDEX(과지급률범위,E1141),0)</f>
        <v/>
      </c>
      <c r="N1141" s="2">
        <f>MAX(0,L1141-M1141)</f>
        <v/>
      </c>
      <c r="O1141" s="2">
        <f>K1141-N1141</f>
        <v/>
      </c>
      <c r="P1141" s="2">
        <f>I1141-N1141</f>
        <v/>
      </c>
      <c r="Q1141" s="5">
        <f>IF(G1141&gt;기준일,1,0)</f>
        <v/>
      </c>
      <c r="R1141" s="5">
        <f>IF(G1141&lt;=기준일,1,0)</f>
        <v/>
      </c>
      <c r="S1141" s="2">
        <f>J1141*H1141</f>
        <v/>
      </c>
      <c r="T1141" s="5">
        <f>IF(AND(F1141&gt;=표본시작,F1141&lt;=표본종료),1,0)</f>
        <v/>
      </c>
      <c r="U1141" s="5">
        <f>IF(AND(G1141&gt;=조회시작,G1141&lt;=조회종료),1,0)</f>
        <v/>
      </c>
    </row>
    <row r="1142">
      <c r="A1142" s="2">
        <f>ROW()-1</f>
        <v/>
      </c>
      <c r="B1142" s="5">
        <f>INDEX(상호범위,D1142)</f>
        <v/>
      </c>
      <c r="C1142" s="5">
        <f>INDEX(플랫폼명범위,E1142)</f>
        <v/>
      </c>
      <c r="D1142" s="2">
        <f>MOD(INT((A1142-1)/4),8)+1</f>
        <v/>
      </c>
      <c r="E1142" s="2">
        <f>MOD(A1142-1,4)+1</f>
        <v/>
      </c>
      <c r="F1142" s="20">
        <f>축시작+INT((A1142-1)/32)</f>
        <v/>
      </c>
      <c r="G1142" s="20">
        <f>F1142+H1142</f>
        <v/>
      </c>
      <c r="H1142" s="5" t="n">
        <v>3</v>
      </c>
      <c r="I1142" s="2">
        <f>ROUND(INDEX(가맹점!$P$2:$P$9,D1142)*INDEX(가맹점!$J$2:$M$9,D1142,E1142),0)</f>
        <v/>
      </c>
      <c r="J1142" s="2">
        <f>ROUND(I1142*(1-할인율),0)</f>
        <v/>
      </c>
      <c r="K1142" s="2">
        <f>ROUNDDOWN(I1142*할인율,0)</f>
        <v/>
      </c>
      <c r="L1142" s="2">
        <f>ROUND(I1142*INDEX(미지급률범위,E1142),0)</f>
        <v/>
      </c>
      <c r="M1142" s="2">
        <f>ROUND(I1142*INDEX(과지급률범위,E1142),0)</f>
        <v/>
      </c>
      <c r="N1142" s="2">
        <f>MAX(0,L1142-M1142)</f>
        <v/>
      </c>
      <c r="O1142" s="2">
        <f>K1142-N1142</f>
        <v/>
      </c>
      <c r="P1142" s="2">
        <f>I1142-N1142</f>
        <v/>
      </c>
      <c r="Q1142" s="5">
        <f>IF(G1142&gt;기준일,1,0)</f>
        <v/>
      </c>
      <c r="R1142" s="5">
        <f>IF(G1142&lt;=기준일,1,0)</f>
        <v/>
      </c>
      <c r="S1142" s="2">
        <f>J1142*H1142</f>
        <v/>
      </c>
      <c r="T1142" s="5">
        <f>IF(AND(F1142&gt;=표본시작,F1142&lt;=표본종료),1,0)</f>
        <v/>
      </c>
      <c r="U1142" s="5">
        <f>IF(AND(G1142&gt;=조회시작,G1142&lt;=조회종료),1,0)</f>
        <v/>
      </c>
    </row>
    <row r="1143">
      <c r="A1143" s="2">
        <f>ROW()-1</f>
        <v/>
      </c>
      <c r="B1143" s="5">
        <f>INDEX(상호범위,D1143)</f>
        <v/>
      </c>
      <c r="C1143" s="5">
        <f>INDEX(플랫폼명범위,E1143)</f>
        <v/>
      </c>
      <c r="D1143" s="2">
        <f>MOD(INT((A1143-1)/4),8)+1</f>
        <v/>
      </c>
      <c r="E1143" s="2">
        <f>MOD(A1143-1,4)+1</f>
        <v/>
      </c>
      <c r="F1143" s="20">
        <f>축시작+INT((A1143-1)/32)</f>
        <v/>
      </c>
      <c r="G1143" s="20">
        <f>F1143+H1143</f>
        <v/>
      </c>
      <c r="H1143" s="5" t="n">
        <v>3</v>
      </c>
      <c r="I1143" s="2">
        <f>ROUND(INDEX(가맹점!$P$2:$P$9,D1143)*INDEX(가맹점!$J$2:$M$9,D1143,E1143),0)</f>
        <v/>
      </c>
      <c r="J1143" s="2">
        <f>ROUND(I1143*(1-할인율),0)</f>
        <v/>
      </c>
      <c r="K1143" s="2">
        <f>ROUNDDOWN(I1143*할인율,0)</f>
        <v/>
      </c>
      <c r="L1143" s="2">
        <f>ROUND(I1143*INDEX(미지급률범위,E1143),0)</f>
        <v/>
      </c>
      <c r="M1143" s="2">
        <f>ROUND(I1143*INDEX(과지급률범위,E1143),0)</f>
        <v/>
      </c>
      <c r="N1143" s="2">
        <f>MAX(0,L1143-M1143)</f>
        <v/>
      </c>
      <c r="O1143" s="2">
        <f>K1143-N1143</f>
        <v/>
      </c>
      <c r="P1143" s="2">
        <f>I1143-N1143</f>
        <v/>
      </c>
      <c r="Q1143" s="5">
        <f>IF(G1143&gt;기준일,1,0)</f>
        <v/>
      </c>
      <c r="R1143" s="5">
        <f>IF(G1143&lt;=기준일,1,0)</f>
        <v/>
      </c>
      <c r="S1143" s="2">
        <f>J1143*H1143</f>
        <v/>
      </c>
      <c r="T1143" s="5">
        <f>IF(AND(F1143&gt;=표본시작,F1143&lt;=표본종료),1,0)</f>
        <v/>
      </c>
      <c r="U1143" s="5">
        <f>IF(AND(G1143&gt;=조회시작,G1143&lt;=조회종료),1,0)</f>
        <v/>
      </c>
    </row>
    <row r="1144">
      <c r="A1144" s="2">
        <f>ROW()-1</f>
        <v/>
      </c>
      <c r="B1144" s="5">
        <f>INDEX(상호범위,D1144)</f>
        <v/>
      </c>
      <c r="C1144" s="5">
        <f>INDEX(플랫폼명범위,E1144)</f>
        <v/>
      </c>
      <c r="D1144" s="2">
        <f>MOD(INT((A1144-1)/4),8)+1</f>
        <v/>
      </c>
      <c r="E1144" s="2">
        <f>MOD(A1144-1,4)+1</f>
        <v/>
      </c>
      <c r="F1144" s="20">
        <f>축시작+INT((A1144-1)/32)</f>
        <v/>
      </c>
      <c r="G1144" s="20">
        <f>F1144+H1144</f>
        <v/>
      </c>
      <c r="H1144" s="5" t="n">
        <v>5</v>
      </c>
      <c r="I1144" s="2">
        <f>ROUND(INDEX(가맹점!$P$2:$P$9,D1144)*INDEX(가맹점!$J$2:$M$9,D1144,E1144),0)</f>
        <v/>
      </c>
      <c r="J1144" s="2">
        <f>ROUND(I1144*(1-할인율),0)</f>
        <v/>
      </c>
      <c r="K1144" s="2">
        <f>ROUNDDOWN(I1144*할인율,0)</f>
        <v/>
      </c>
      <c r="L1144" s="2">
        <f>ROUND(I1144*INDEX(미지급률범위,E1144),0)</f>
        <v/>
      </c>
      <c r="M1144" s="2">
        <f>ROUND(I1144*INDEX(과지급률범위,E1144),0)</f>
        <v/>
      </c>
      <c r="N1144" s="2">
        <f>MAX(0,L1144-M1144)</f>
        <v/>
      </c>
      <c r="O1144" s="2">
        <f>K1144-N1144</f>
        <v/>
      </c>
      <c r="P1144" s="2">
        <f>I1144-N1144</f>
        <v/>
      </c>
      <c r="Q1144" s="5">
        <f>IF(G1144&gt;기준일,1,0)</f>
        <v/>
      </c>
      <c r="R1144" s="5">
        <f>IF(G1144&lt;=기준일,1,0)</f>
        <v/>
      </c>
      <c r="S1144" s="2">
        <f>J1144*H1144</f>
        <v/>
      </c>
      <c r="T1144" s="5">
        <f>IF(AND(F1144&gt;=표본시작,F1144&lt;=표본종료),1,0)</f>
        <v/>
      </c>
      <c r="U1144" s="5">
        <f>IF(AND(G1144&gt;=조회시작,G1144&lt;=조회종료),1,0)</f>
        <v/>
      </c>
    </row>
    <row r="1145">
      <c r="A1145" s="2">
        <f>ROW()-1</f>
        <v/>
      </c>
      <c r="B1145" s="5">
        <f>INDEX(상호범위,D1145)</f>
        <v/>
      </c>
      <c r="C1145" s="5">
        <f>INDEX(플랫폼명범위,E1145)</f>
        <v/>
      </c>
      <c r="D1145" s="2">
        <f>MOD(INT((A1145-1)/4),8)+1</f>
        <v/>
      </c>
      <c r="E1145" s="2">
        <f>MOD(A1145-1,4)+1</f>
        <v/>
      </c>
      <c r="F1145" s="20">
        <f>축시작+INT((A1145-1)/32)</f>
        <v/>
      </c>
      <c r="G1145" s="20">
        <f>F1145+H1145</f>
        <v/>
      </c>
      <c r="H1145" s="5" t="n">
        <v>6</v>
      </c>
      <c r="I1145" s="2">
        <f>ROUND(INDEX(가맹점!$P$2:$P$9,D1145)*INDEX(가맹점!$J$2:$M$9,D1145,E1145),0)</f>
        <v/>
      </c>
      <c r="J1145" s="2">
        <f>ROUND(I1145*(1-할인율),0)</f>
        <v/>
      </c>
      <c r="K1145" s="2">
        <f>ROUNDDOWN(I1145*할인율,0)</f>
        <v/>
      </c>
      <c r="L1145" s="2">
        <f>ROUND(I1145*INDEX(미지급률범위,E1145),0)</f>
        <v/>
      </c>
      <c r="M1145" s="2">
        <f>ROUND(I1145*INDEX(과지급률범위,E1145),0)</f>
        <v/>
      </c>
      <c r="N1145" s="2">
        <f>MAX(0,L1145-M1145)</f>
        <v/>
      </c>
      <c r="O1145" s="2">
        <f>K1145-N1145</f>
        <v/>
      </c>
      <c r="P1145" s="2">
        <f>I1145-N1145</f>
        <v/>
      </c>
      <c r="Q1145" s="5">
        <f>IF(G1145&gt;기준일,1,0)</f>
        <v/>
      </c>
      <c r="R1145" s="5">
        <f>IF(G1145&lt;=기준일,1,0)</f>
        <v/>
      </c>
      <c r="S1145" s="2">
        <f>J1145*H1145</f>
        <v/>
      </c>
      <c r="T1145" s="5">
        <f>IF(AND(F1145&gt;=표본시작,F1145&lt;=표본종료),1,0)</f>
        <v/>
      </c>
      <c r="U1145" s="5">
        <f>IF(AND(G1145&gt;=조회시작,G1145&lt;=조회종료),1,0)</f>
        <v/>
      </c>
    </row>
    <row r="1146">
      <c r="A1146" s="2">
        <f>ROW()-1</f>
        <v/>
      </c>
      <c r="B1146" s="5">
        <f>INDEX(상호범위,D1146)</f>
        <v/>
      </c>
      <c r="C1146" s="5">
        <f>INDEX(플랫폼명범위,E1146)</f>
        <v/>
      </c>
      <c r="D1146" s="2">
        <f>MOD(INT((A1146-1)/4),8)+1</f>
        <v/>
      </c>
      <c r="E1146" s="2">
        <f>MOD(A1146-1,4)+1</f>
        <v/>
      </c>
      <c r="F1146" s="20">
        <f>축시작+INT((A1146-1)/32)</f>
        <v/>
      </c>
      <c r="G1146" s="20">
        <f>F1146+H1146</f>
        <v/>
      </c>
      <c r="H1146" s="5" t="n">
        <v>2</v>
      </c>
      <c r="I1146" s="2">
        <f>ROUND(INDEX(가맹점!$P$2:$P$9,D1146)*INDEX(가맹점!$J$2:$M$9,D1146,E1146),0)</f>
        <v/>
      </c>
      <c r="J1146" s="2">
        <f>ROUND(I1146*(1-할인율),0)</f>
        <v/>
      </c>
      <c r="K1146" s="2">
        <f>ROUNDDOWN(I1146*할인율,0)</f>
        <v/>
      </c>
      <c r="L1146" s="2">
        <f>ROUND(I1146*INDEX(미지급률범위,E1146),0)</f>
        <v/>
      </c>
      <c r="M1146" s="2">
        <f>ROUND(I1146*INDEX(과지급률범위,E1146),0)</f>
        <v/>
      </c>
      <c r="N1146" s="2">
        <f>MAX(0,L1146-M1146)</f>
        <v/>
      </c>
      <c r="O1146" s="2">
        <f>K1146-N1146</f>
        <v/>
      </c>
      <c r="P1146" s="2">
        <f>I1146-N1146</f>
        <v/>
      </c>
      <c r="Q1146" s="5">
        <f>IF(G1146&gt;기준일,1,0)</f>
        <v/>
      </c>
      <c r="R1146" s="5">
        <f>IF(G1146&lt;=기준일,1,0)</f>
        <v/>
      </c>
      <c r="S1146" s="2">
        <f>J1146*H1146</f>
        <v/>
      </c>
      <c r="T1146" s="5">
        <f>IF(AND(F1146&gt;=표본시작,F1146&lt;=표본종료),1,0)</f>
        <v/>
      </c>
      <c r="U1146" s="5">
        <f>IF(AND(G1146&gt;=조회시작,G1146&lt;=조회종료),1,0)</f>
        <v/>
      </c>
    </row>
    <row r="1147">
      <c r="A1147" s="2">
        <f>ROW()-1</f>
        <v/>
      </c>
      <c r="B1147" s="5">
        <f>INDEX(상호범위,D1147)</f>
        <v/>
      </c>
      <c r="C1147" s="5">
        <f>INDEX(플랫폼명범위,E1147)</f>
        <v/>
      </c>
      <c r="D1147" s="2">
        <f>MOD(INT((A1147-1)/4),8)+1</f>
        <v/>
      </c>
      <c r="E1147" s="2">
        <f>MOD(A1147-1,4)+1</f>
        <v/>
      </c>
      <c r="F1147" s="20">
        <f>축시작+INT((A1147-1)/32)</f>
        <v/>
      </c>
      <c r="G1147" s="20">
        <f>F1147+H1147</f>
        <v/>
      </c>
      <c r="H1147" s="5" t="n">
        <v>4</v>
      </c>
      <c r="I1147" s="2">
        <f>ROUND(INDEX(가맹점!$P$2:$P$9,D1147)*INDEX(가맹점!$J$2:$M$9,D1147,E1147),0)</f>
        <v/>
      </c>
      <c r="J1147" s="2">
        <f>ROUND(I1147*(1-할인율),0)</f>
        <v/>
      </c>
      <c r="K1147" s="2">
        <f>ROUNDDOWN(I1147*할인율,0)</f>
        <v/>
      </c>
      <c r="L1147" s="2">
        <f>ROUND(I1147*INDEX(미지급률범위,E1147),0)</f>
        <v/>
      </c>
      <c r="M1147" s="2">
        <f>ROUND(I1147*INDEX(과지급률범위,E1147),0)</f>
        <v/>
      </c>
      <c r="N1147" s="2">
        <f>MAX(0,L1147-M1147)</f>
        <v/>
      </c>
      <c r="O1147" s="2">
        <f>K1147-N1147</f>
        <v/>
      </c>
      <c r="P1147" s="2">
        <f>I1147-N1147</f>
        <v/>
      </c>
      <c r="Q1147" s="5">
        <f>IF(G1147&gt;기준일,1,0)</f>
        <v/>
      </c>
      <c r="R1147" s="5">
        <f>IF(G1147&lt;=기준일,1,0)</f>
        <v/>
      </c>
      <c r="S1147" s="2">
        <f>J1147*H1147</f>
        <v/>
      </c>
      <c r="T1147" s="5">
        <f>IF(AND(F1147&gt;=표본시작,F1147&lt;=표본종료),1,0)</f>
        <v/>
      </c>
      <c r="U1147" s="5">
        <f>IF(AND(G1147&gt;=조회시작,G1147&lt;=조회종료),1,0)</f>
        <v/>
      </c>
    </row>
    <row r="1148">
      <c r="A1148" s="2">
        <f>ROW()-1</f>
        <v/>
      </c>
      <c r="B1148" s="5">
        <f>INDEX(상호범위,D1148)</f>
        <v/>
      </c>
      <c r="C1148" s="5">
        <f>INDEX(플랫폼명범위,E1148)</f>
        <v/>
      </c>
      <c r="D1148" s="2">
        <f>MOD(INT((A1148-1)/4),8)+1</f>
        <v/>
      </c>
      <c r="E1148" s="2">
        <f>MOD(A1148-1,4)+1</f>
        <v/>
      </c>
      <c r="F1148" s="20">
        <f>축시작+INT((A1148-1)/32)</f>
        <v/>
      </c>
      <c r="G1148" s="20">
        <f>F1148+H1148</f>
        <v/>
      </c>
      <c r="H1148" s="5" t="n">
        <v>6</v>
      </c>
      <c r="I1148" s="2">
        <f>ROUND(INDEX(가맹점!$P$2:$P$9,D1148)*INDEX(가맹점!$J$2:$M$9,D1148,E1148),0)</f>
        <v/>
      </c>
      <c r="J1148" s="2">
        <f>ROUND(I1148*(1-할인율),0)</f>
        <v/>
      </c>
      <c r="K1148" s="2">
        <f>ROUNDDOWN(I1148*할인율,0)</f>
        <v/>
      </c>
      <c r="L1148" s="2">
        <f>ROUND(I1148*INDEX(미지급률범위,E1148),0)</f>
        <v/>
      </c>
      <c r="M1148" s="2">
        <f>ROUND(I1148*INDEX(과지급률범위,E1148),0)</f>
        <v/>
      </c>
      <c r="N1148" s="2">
        <f>MAX(0,L1148-M1148)</f>
        <v/>
      </c>
      <c r="O1148" s="2">
        <f>K1148-N1148</f>
        <v/>
      </c>
      <c r="P1148" s="2">
        <f>I1148-N1148</f>
        <v/>
      </c>
      <c r="Q1148" s="5">
        <f>IF(G1148&gt;기준일,1,0)</f>
        <v/>
      </c>
      <c r="R1148" s="5">
        <f>IF(G1148&lt;=기준일,1,0)</f>
        <v/>
      </c>
      <c r="S1148" s="2">
        <f>J1148*H1148</f>
        <v/>
      </c>
      <c r="T1148" s="5">
        <f>IF(AND(F1148&gt;=표본시작,F1148&lt;=표본종료),1,0)</f>
        <v/>
      </c>
      <c r="U1148" s="5">
        <f>IF(AND(G1148&gt;=조회시작,G1148&lt;=조회종료),1,0)</f>
        <v/>
      </c>
    </row>
    <row r="1149">
      <c r="A1149" s="2">
        <f>ROW()-1</f>
        <v/>
      </c>
      <c r="B1149" s="5">
        <f>INDEX(상호범위,D1149)</f>
        <v/>
      </c>
      <c r="C1149" s="5">
        <f>INDEX(플랫폼명범위,E1149)</f>
        <v/>
      </c>
      <c r="D1149" s="2">
        <f>MOD(INT((A1149-1)/4),8)+1</f>
        <v/>
      </c>
      <c r="E1149" s="2">
        <f>MOD(A1149-1,4)+1</f>
        <v/>
      </c>
      <c r="F1149" s="20">
        <f>축시작+INT((A1149-1)/32)</f>
        <v/>
      </c>
      <c r="G1149" s="20">
        <f>F1149+H1149</f>
        <v/>
      </c>
      <c r="H1149" s="5" t="n">
        <v>9</v>
      </c>
      <c r="I1149" s="2">
        <f>ROUND(INDEX(가맹점!$P$2:$P$9,D1149)*INDEX(가맹점!$J$2:$M$9,D1149,E1149),0)</f>
        <v/>
      </c>
      <c r="J1149" s="2">
        <f>ROUND(I1149*(1-할인율),0)</f>
        <v/>
      </c>
      <c r="K1149" s="2">
        <f>ROUNDDOWN(I1149*할인율,0)</f>
        <v/>
      </c>
      <c r="L1149" s="2">
        <f>ROUND(I1149*INDEX(미지급률범위,E1149),0)</f>
        <v/>
      </c>
      <c r="M1149" s="2">
        <f>ROUND(I1149*INDEX(과지급률범위,E1149),0)</f>
        <v/>
      </c>
      <c r="N1149" s="2">
        <f>MAX(0,L1149-M1149)</f>
        <v/>
      </c>
      <c r="O1149" s="2">
        <f>K1149-N1149</f>
        <v/>
      </c>
      <c r="P1149" s="2">
        <f>I1149-N1149</f>
        <v/>
      </c>
      <c r="Q1149" s="5">
        <f>IF(G1149&gt;기준일,1,0)</f>
        <v/>
      </c>
      <c r="R1149" s="5">
        <f>IF(G1149&lt;=기준일,1,0)</f>
        <v/>
      </c>
      <c r="S1149" s="2">
        <f>J1149*H1149</f>
        <v/>
      </c>
      <c r="T1149" s="5">
        <f>IF(AND(F1149&gt;=표본시작,F1149&lt;=표본종료),1,0)</f>
        <v/>
      </c>
      <c r="U1149" s="5">
        <f>IF(AND(G1149&gt;=조회시작,G1149&lt;=조회종료),1,0)</f>
        <v/>
      </c>
    </row>
    <row r="1150">
      <c r="A1150" s="2">
        <f>ROW()-1</f>
        <v/>
      </c>
      <c r="B1150" s="5">
        <f>INDEX(상호범위,D1150)</f>
        <v/>
      </c>
      <c r="C1150" s="5">
        <f>INDEX(플랫폼명범위,E1150)</f>
        <v/>
      </c>
      <c r="D1150" s="2">
        <f>MOD(INT((A1150-1)/4),8)+1</f>
        <v/>
      </c>
      <c r="E1150" s="2">
        <f>MOD(A1150-1,4)+1</f>
        <v/>
      </c>
      <c r="F1150" s="20">
        <f>축시작+INT((A1150-1)/32)</f>
        <v/>
      </c>
      <c r="G1150" s="20">
        <f>F1150+H1150</f>
        <v/>
      </c>
      <c r="H1150" s="5" t="n">
        <v>3</v>
      </c>
      <c r="I1150" s="2">
        <f>ROUND(INDEX(가맹점!$P$2:$P$9,D1150)*INDEX(가맹점!$J$2:$M$9,D1150,E1150),0)</f>
        <v/>
      </c>
      <c r="J1150" s="2">
        <f>ROUND(I1150*(1-할인율),0)</f>
        <v/>
      </c>
      <c r="K1150" s="2">
        <f>ROUNDDOWN(I1150*할인율,0)</f>
        <v/>
      </c>
      <c r="L1150" s="2">
        <f>ROUND(I1150*INDEX(미지급률범위,E1150),0)</f>
        <v/>
      </c>
      <c r="M1150" s="2">
        <f>ROUND(I1150*INDEX(과지급률범위,E1150),0)</f>
        <v/>
      </c>
      <c r="N1150" s="2">
        <f>MAX(0,L1150-M1150)</f>
        <v/>
      </c>
      <c r="O1150" s="2">
        <f>K1150-N1150</f>
        <v/>
      </c>
      <c r="P1150" s="2">
        <f>I1150-N1150</f>
        <v/>
      </c>
      <c r="Q1150" s="5">
        <f>IF(G1150&gt;기준일,1,0)</f>
        <v/>
      </c>
      <c r="R1150" s="5">
        <f>IF(G1150&lt;=기준일,1,0)</f>
        <v/>
      </c>
      <c r="S1150" s="2">
        <f>J1150*H1150</f>
        <v/>
      </c>
      <c r="T1150" s="5">
        <f>IF(AND(F1150&gt;=표본시작,F1150&lt;=표본종료),1,0)</f>
        <v/>
      </c>
      <c r="U1150" s="5">
        <f>IF(AND(G1150&gt;=조회시작,G1150&lt;=조회종료),1,0)</f>
        <v/>
      </c>
    </row>
    <row r="1151">
      <c r="A1151" s="2">
        <f>ROW()-1</f>
        <v/>
      </c>
      <c r="B1151" s="5">
        <f>INDEX(상호범위,D1151)</f>
        <v/>
      </c>
      <c r="C1151" s="5">
        <f>INDEX(플랫폼명범위,E1151)</f>
        <v/>
      </c>
      <c r="D1151" s="2">
        <f>MOD(INT((A1151-1)/4),8)+1</f>
        <v/>
      </c>
      <c r="E1151" s="2">
        <f>MOD(A1151-1,4)+1</f>
        <v/>
      </c>
      <c r="F1151" s="20">
        <f>축시작+INT((A1151-1)/32)</f>
        <v/>
      </c>
      <c r="G1151" s="20">
        <f>F1151+H1151</f>
        <v/>
      </c>
      <c r="H1151" s="5" t="n">
        <v>3</v>
      </c>
      <c r="I1151" s="2">
        <f>ROUND(INDEX(가맹점!$P$2:$P$9,D1151)*INDEX(가맹점!$J$2:$M$9,D1151,E1151),0)</f>
        <v/>
      </c>
      <c r="J1151" s="2">
        <f>ROUND(I1151*(1-할인율),0)</f>
        <v/>
      </c>
      <c r="K1151" s="2">
        <f>ROUNDDOWN(I1151*할인율,0)</f>
        <v/>
      </c>
      <c r="L1151" s="2">
        <f>ROUND(I1151*INDEX(미지급률범위,E1151),0)</f>
        <v/>
      </c>
      <c r="M1151" s="2">
        <f>ROUND(I1151*INDEX(과지급률범위,E1151),0)</f>
        <v/>
      </c>
      <c r="N1151" s="2">
        <f>MAX(0,L1151-M1151)</f>
        <v/>
      </c>
      <c r="O1151" s="2">
        <f>K1151-N1151</f>
        <v/>
      </c>
      <c r="P1151" s="2">
        <f>I1151-N1151</f>
        <v/>
      </c>
      <c r="Q1151" s="5">
        <f>IF(G1151&gt;기준일,1,0)</f>
        <v/>
      </c>
      <c r="R1151" s="5">
        <f>IF(G1151&lt;=기준일,1,0)</f>
        <v/>
      </c>
      <c r="S1151" s="2">
        <f>J1151*H1151</f>
        <v/>
      </c>
      <c r="T1151" s="5">
        <f>IF(AND(F1151&gt;=표본시작,F1151&lt;=표본종료),1,0)</f>
        <v/>
      </c>
      <c r="U1151" s="5">
        <f>IF(AND(G1151&gt;=조회시작,G1151&lt;=조회종료),1,0)</f>
        <v/>
      </c>
    </row>
    <row r="1152">
      <c r="A1152" s="2">
        <f>ROW()-1</f>
        <v/>
      </c>
      <c r="B1152" s="5">
        <f>INDEX(상호범위,D1152)</f>
        <v/>
      </c>
      <c r="C1152" s="5">
        <f>INDEX(플랫폼명범위,E1152)</f>
        <v/>
      </c>
      <c r="D1152" s="2">
        <f>MOD(INT((A1152-1)/4),8)+1</f>
        <v/>
      </c>
      <c r="E1152" s="2">
        <f>MOD(A1152-1,4)+1</f>
        <v/>
      </c>
      <c r="F1152" s="20">
        <f>축시작+INT((A1152-1)/32)</f>
        <v/>
      </c>
      <c r="G1152" s="20">
        <f>F1152+H1152</f>
        <v/>
      </c>
      <c r="H1152" s="5" t="n">
        <v>6</v>
      </c>
      <c r="I1152" s="2">
        <f>ROUND(INDEX(가맹점!$P$2:$P$9,D1152)*INDEX(가맹점!$J$2:$M$9,D1152,E1152),0)</f>
        <v/>
      </c>
      <c r="J1152" s="2">
        <f>ROUND(I1152*(1-할인율),0)</f>
        <v/>
      </c>
      <c r="K1152" s="2">
        <f>ROUNDDOWN(I1152*할인율,0)</f>
        <v/>
      </c>
      <c r="L1152" s="2">
        <f>ROUND(I1152*INDEX(미지급률범위,E1152),0)</f>
        <v/>
      </c>
      <c r="M1152" s="2">
        <f>ROUND(I1152*INDEX(과지급률범위,E1152),0)</f>
        <v/>
      </c>
      <c r="N1152" s="2">
        <f>MAX(0,L1152-M1152)</f>
        <v/>
      </c>
      <c r="O1152" s="2">
        <f>K1152-N1152</f>
        <v/>
      </c>
      <c r="P1152" s="2">
        <f>I1152-N1152</f>
        <v/>
      </c>
      <c r="Q1152" s="5">
        <f>IF(G1152&gt;기준일,1,0)</f>
        <v/>
      </c>
      <c r="R1152" s="5">
        <f>IF(G1152&lt;=기준일,1,0)</f>
        <v/>
      </c>
      <c r="S1152" s="2">
        <f>J1152*H1152</f>
        <v/>
      </c>
      <c r="T1152" s="5">
        <f>IF(AND(F1152&gt;=표본시작,F1152&lt;=표본종료),1,0)</f>
        <v/>
      </c>
      <c r="U1152" s="5">
        <f>IF(AND(G1152&gt;=조회시작,G1152&lt;=조회종료),1,0)</f>
        <v/>
      </c>
    </row>
    <row r="1153">
      <c r="A1153" s="2">
        <f>ROW()-1</f>
        <v/>
      </c>
      <c r="B1153" s="5">
        <f>INDEX(상호범위,D1153)</f>
        <v/>
      </c>
      <c r="C1153" s="5">
        <f>INDEX(플랫폼명범위,E1153)</f>
        <v/>
      </c>
      <c r="D1153" s="2">
        <f>MOD(INT((A1153-1)/4),8)+1</f>
        <v/>
      </c>
      <c r="E1153" s="2">
        <f>MOD(A1153-1,4)+1</f>
        <v/>
      </c>
      <c r="F1153" s="20">
        <f>축시작+INT((A1153-1)/32)</f>
        <v/>
      </c>
      <c r="G1153" s="20">
        <f>F1153+H1153</f>
        <v/>
      </c>
      <c r="H1153" s="5" t="n">
        <v>6</v>
      </c>
      <c r="I1153" s="2">
        <f>ROUND(INDEX(가맹점!$P$2:$P$9,D1153)*INDEX(가맹점!$J$2:$M$9,D1153,E1153),0)</f>
        <v/>
      </c>
      <c r="J1153" s="2">
        <f>ROUND(I1153*(1-할인율),0)</f>
        <v/>
      </c>
      <c r="K1153" s="2">
        <f>ROUNDDOWN(I1153*할인율,0)</f>
        <v/>
      </c>
      <c r="L1153" s="2">
        <f>ROUND(I1153*INDEX(미지급률범위,E1153),0)</f>
        <v/>
      </c>
      <c r="M1153" s="2">
        <f>ROUND(I1153*INDEX(과지급률범위,E1153),0)</f>
        <v/>
      </c>
      <c r="N1153" s="2">
        <f>MAX(0,L1153-M1153)</f>
        <v/>
      </c>
      <c r="O1153" s="2">
        <f>K1153-N1153</f>
        <v/>
      </c>
      <c r="P1153" s="2">
        <f>I1153-N1153</f>
        <v/>
      </c>
      <c r="Q1153" s="5">
        <f>IF(G1153&gt;기준일,1,0)</f>
        <v/>
      </c>
      <c r="R1153" s="5">
        <f>IF(G1153&lt;=기준일,1,0)</f>
        <v/>
      </c>
      <c r="S1153" s="2">
        <f>J1153*H1153</f>
        <v/>
      </c>
      <c r="T1153" s="5">
        <f>IF(AND(F1153&gt;=표본시작,F1153&lt;=표본종료),1,0)</f>
        <v/>
      </c>
      <c r="U1153" s="5">
        <f>IF(AND(G1153&gt;=조회시작,G1153&lt;=조회종료),1,0)</f>
        <v/>
      </c>
    </row>
    <row r="1154">
      <c r="A1154" s="2">
        <f>ROW()-1</f>
        <v/>
      </c>
      <c r="B1154" s="5">
        <f>INDEX(상호범위,D1154)</f>
        <v/>
      </c>
      <c r="C1154" s="5">
        <f>INDEX(플랫폼명범위,E1154)</f>
        <v/>
      </c>
      <c r="D1154" s="2">
        <f>MOD(INT((A1154-1)/4),8)+1</f>
        <v/>
      </c>
      <c r="E1154" s="2">
        <f>MOD(A1154-1,4)+1</f>
        <v/>
      </c>
      <c r="F1154" s="20">
        <f>축시작+INT((A1154-1)/32)</f>
        <v/>
      </c>
      <c r="G1154" s="20">
        <f>F1154+H1154</f>
        <v/>
      </c>
      <c r="H1154" s="5" t="n">
        <v>2</v>
      </c>
      <c r="I1154" s="2">
        <f>ROUND(INDEX(가맹점!$P$2:$P$9,D1154)*INDEX(가맹점!$J$2:$M$9,D1154,E1154),0)</f>
        <v/>
      </c>
      <c r="J1154" s="2">
        <f>ROUND(I1154*(1-할인율),0)</f>
        <v/>
      </c>
      <c r="K1154" s="2">
        <f>ROUNDDOWN(I1154*할인율,0)</f>
        <v/>
      </c>
      <c r="L1154" s="2">
        <f>ROUND(I1154*INDEX(미지급률범위,E1154),0)</f>
        <v/>
      </c>
      <c r="M1154" s="2">
        <f>ROUND(I1154*INDEX(과지급률범위,E1154),0)</f>
        <v/>
      </c>
      <c r="N1154" s="2">
        <f>MAX(0,L1154-M1154)</f>
        <v/>
      </c>
      <c r="O1154" s="2">
        <f>K1154-N1154</f>
        <v/>
      </c>
      <c r="P1154" s="2">
        <f>I1154-N1154</f>
        <v/>
      </c>
      <c r="Q1154" s="5">
        <f>IF(G1154&gt;기준일,1,0)</f>
        <v/>
      </c>
      <c r="R1154" s="5">
        <f>IF(G1154&lt;=기준일,1,0)</f>
        <v/>
      </c>
      <c r="S1154" s="2">
        <f>J1154*H1154</f>
        <v/>
      </c>
      <c r="T1154" s="5">
        <f>IF(AND(F1154&gt;=표본시작,F1154&lt;=표본종료),1,0)</f>
        <v/>
      </c>
      <c r="U1154" s="5">
        <f>IF(AND(G1154&gt;=조회시작,G1154&lt;=조회종료),1,0)</f>
        <v/>
      </c>
    </row>
    <row r="1155">
      <c r="A1155" s="2">
        <f>ROW()-1</f>
        <v/>
      </c>
      <c r="B1155" s="5">
        <f>INDEX(상호범위,D1155)</f>
        <v/>
      </c>
      <c r="C1155" s="5">
        <f>INDEX(플랫폼명범위,E1155)</f>
        <v/>
      </c>
      <c r="D1155" s="2">
        <f>MOD(INT((A1155-1)/4),8)+1</f>
        <v/>
      </c>
      <c r="E1155" s="2">
        <f>MOD(A1155-1,4)+1</f>
        <v/>
      </c>
      <c r="F1155" s="20">
        <f>축시작+INT((A1155-1)/32)</f>
        <v/>
      </c>
      <c r="G1155" s="20">
        <f>F1155+H1155</f>
        <v/>
      </c>
      <c r="H1155" s="5" t="n">
        <v>3</v>
      </c>
      <c r="I1155" s="2">
        <f>ROUND(INDEX(가맹점!$P$2:$P$9,D1155)*INDEX(가맹점!$J$2:$M$9,D1155,E1155),0)</f>
        <v/>
      </c>
      <c r="J1155" s="2">
        <f>ROUND(I1155*(1-할인율),0)</f>
        <v/>
      </c>
      <c r="K1155" s="2">
        <f>ROUNDDOWN(I1155*할인율,0)</f>
        <v/>
      </c>
      <c r="L1155" s="2">
        <f>ROUND(I1155*INDEX(미지급률범위,E1155),0)</f>
        <v/>
      </c>
      <c r="M1155" s="2">
        <f>ROUND(I1155*INDEX(과지급률범위,E1155),0)</f>
        <v/>
      </c>
      <c r="N1155" s="2">
        <f>MAX(0,L1155-M1155)</f>
        <v/>
      </c>
      <c r="O1155" s="2">
        <f>K1155-N1155</f>
        <v/>
      </c>
      <c r="P1155" s="2">
        <f>I1155-N1155</f>
        <v/>
      </c>
      <c r="Q1155" s="5">
        <f>IF(G1155&gt;기준일,1,0)</f>
        <v/>
      </c>
      <c r="R1155" s="5">
        <f>IF(G1155&lt;=기준일,1,0)</f>
        <v/>
      </c>
      <c r="S1155" s="2">
        <f>J1155*H1155</f>
        <v/>
      </c>
      <c r="T1155" s="5">
        <f>IF(AND(F1155&gt;=표본시작,F1155&lt;=표본종료),1,0)</f>
        <v/>
      </c>
      <c r="U1155" s="5">
        <f>IF(AND(G1155&gt;=조회시작,G1155&lt;=조회종료),1,0)</f>
        <v/>
      </c>
    </row>
    <row r="1156">
      <c r="A1156" s="2">
        <f>ROW()-1</f>
        <v/>
      </c>
      <c r="B1156" s="5">
        <f>INDEX(상호범위,D1156)</f>
        <v/>
      </c>
      <c r="C1156" s="5">
        <f>INDEX(플랫폼명범위,E1156)</f>
        <v/>
      </c>
      <c r="D1156" s="2">
        <f>MOD(INT((A1156-1)/4),8)+1</f>
        <v/>
      </c>
      <c r="E1156" s="2">
        <f>MOD(A1156-1,4)+1</f>
        <v/>
      </c>
      <c r="F1156" s="20">
        <f>축시작+INT((A1156-1)/32)</f>
        <v/>
      </c>
      <c r="G1156" s="20">
        <f>F1156+H1156</f>
        <v/>
      </c>
      <c r="H1156" s="5" t="n">
        <v>5</v>
      </c>
      <c r="I1156" s="2">
        <f>ROUND(INDEX(가맹점!$P$2:$P$9,D1156)*INDEX(가맹점!$J$2:$M$9,D1156,E1156),0)</f>
        <v/>
      </c>
      <c r="J1156" s="2">
        <f>ROUND(I1156*(1-할인율),0)</f>
        <v/>
      </c>
      <c r="K1156" s="2">
        <f>ROUNDDOWN(I1156*할인율,0)</f>
        <v/>
      </c>
      <c r="L1156" s="2">
        <f>ROUND(I1156*INDEX(미지급률범위,E1156),0)</f>
        <v/>
      </c>
      <c r="M1156" s="2">
        <f>ROUND(I1156*INDEX(과지급률범위,E1156),0)</f>
        <v/>
      </c>
      <c r="N1156" s="2">
        <f>MAX(0,L1156-M1156)</f>
        <v/>
      </c>
      <c r="O1156" s="2">
        <f>K1156-N1156</f>
        <v/>
      </c>
      <c r="P1156" s="2">
        <f>I1156-N1156</f>
        <v/>
      </c>
      <c r="Q1156" s="5">
        <f>IF(G1156&gt;기준일,1,0)</f>
        <v/>
      </c>
      <c r="R1156" s="5">
        <f>IF(G1156&lt;=기준일,1,0)</f>
        <v/>
      </c>
      <c r="S1156" s="2">
        <f>J1156*H1156</f>
        <v/>
      </c>
      <c r="T1156" s="5">
        <f>IF(AND(F1156&gt;=표본시작,F1156&lt;=표본종료),1,0)</f>
        <v/>
      </c>
      <c r="U1156" s="5">
        <f>IF(AND(G1156&gt;=조회시작,G1156&lt;=조회종료),1,0)</f>
        <v/>
      </c>
    </row>
    <row r="1157">
      <c r="A1157" s="2">
        <f>ROW()-1</f>
        <v/>
      </c>
      <c r="B1157" s="5">
        <f>INDEX(상호범위,D1157)</f>
        <v/>
      </c>
      <c r="C1157" s="5">
        <f>INDEX(플랫폼명범위,E1157)</f>
        <v/>
      </c>
      <c r="D1157" s="2">
        <f>MOD(INT((A1157-1)/4),8)+1</f>
        <v/>
      </c>
      <c r="E1157" s="2">
        <f>MOD(A1157-1,4)+1</f>
        <v/>
      </c>
      <c r="F1157" s="20">
        <f>축시작+INT((A1157-1)/32)</f>
        <v/>
      </c>
      <c r="G1157" s="20">
        <f>F1157+H1157</f>
        <v/>
      </c>
      <c r="H1157" s="5" t="n">
        <v>6</v>
      </c>
      <c r="I1157" s="2">
        <f>ROUND(INDEX(가맹점!$P$2:$P$9,D1157)*INDEX(가맹점!$J$2:$M$9,D1157,E1157),0)</f>
        <v/>
      </c>
      <c r="J1157" s="2">
        <f>ROUND(I1157*(1-할인율),0)</f>
        <v/>
      </c>
      <c r="K1157" s="2">
        <f>ROUNDDOWN(I1157*할인율,0)</f>
        <v/>
      </c>
      <c r="L1157" s="2">
        <f>ROUND(I1157*INDEX(미지급률범위,E1157),0)</f>
        <v/>
      </c>
      <c r="M1157" s="2">
        <f>ROUND(I1157*INDEX(과지급률범위,E1157),0)</f>
        <v/>
      </c>
      <c r="N1157" s="2">
        <f>MAX(0,L1157-M1157)</f>
        <v/>
      </c>
      <c r="O1157" s="2">
        <f>K1157-N1157</f>
        <v/>
      </c>
      <c r="P1157" s="2">
        <f>I1157-N1157</f>
        <v/>
      </c>
      <c r="Q1157" s="5">
        <f>IF(G1157&gt;기준일,1,0)</f>
        <v/>
      </c>
      <c r="R1157" s="5">
        <f>IF(G1157&lt;=기준일,1,0)</f>
        <v/>
      </c>
      <c r="S1157" s="2">
        <f>J1157*H1157</f>
        <v/>
      </c>
      <c r="T1157" s="5">
        <f>IF(AND(F1157&gt;=표본시작,F1157&lt;=표본종료),1,0)</f>
        <v/>
      </c>
      <c r="U1157" s="5">
        <f>IF(AND(G1157&gt;=조회시작,G1157&lt;=조회종료),1,0)</f>
        <v/>
      </c>
    </row>
    <row r="1158">
      <c r="A1158" s="2">
        <f>ROW()-1</f>
        <v/>
      </c>
      <c r="B1158" s="5">
        <f>INDEX(상호범위,D1158)</f>
        <v/>
      </c>
      <c r="C1158" s="5">
        <f>INDEX(플랫폼명범위,E1158)</f>
        <v/>
      </c>
      <c r="D1158" s="2">
        <f>MOD(INT((A1158-1)/4),8)+1</f>
        <v/>
      </c>
      <c r="E1158" s="2">
        <f>MOD(A1158-1,4)+1</f>
        <v/>
      </c>
      <c r="F1158" s="20">
        <f>축시작+INT((A1158-1)/32)</f>
        <v/>
      </c>
      <c r="G1158" s="20">
        <f>F1158+H1158</f>
        <v/>
      </c>
      <c r="H1158" s="5" t="n">
        <v>3</v>
      </c>
      <c r="I1158" s="2">
        <f>ROUND(INDEX(가맹점!$P$2:$P$9,D1158)*INDEX(가맹점!$J$2:$M$9,D1158,E1158),0)</f>
        <v/>
      </c>
      <c r="J1158" s="2">
        <f>ROUND(I1158*(1-할인율),0)</f>
        <v/>
      </c>
      <c r="K1158" s="2">
        <f>ROUNDDOWN(I1158*할인율,0)</f>
        <v/>
      </c>
      <c r="L1158" s="2">
        <f>ROUND(I1158*INDEX(미지급률범위,E1158),0)</f>
        <v/>
      </c>
      <c r="M1158" s="2">
        <f>ROUND(I1158*INDEX(과지급률범위,E1158),0)</f>
        <v/>
      </c>
      <c r="N1158" s="2">
        <f>MAX(0,L1158-M1158)</f>
        <v/>
      </c>
      <c r="O1158" s="2">
        <f>K1158-N1158</f>
        <v/>
      </c>
      <c r="P1158" s="2">
        <f>I1158-N1158</f>
        <v/>
      </c>
      <c r="Q1158" s="5">
        <f>IF(G1158&gt;기준일,1,0)</f>
        <v/>
      </c>
      <c r="R1158" s="5">
        <f>IF(G1158&lt;=기준일,1,0)</f>
        <v/>
      </c>
      <c r="S1158" s="2">
        <f>J1158*H1158</f>
        <v/>
      </c>
      <c r="T1158" s="5">
        <f>IF(AND(F1158&gt;=표본시작,F1158&lt;=표본종료),1,0)</f>
        <v/>
      </c>
      <c r="U1158" s="5">
        <f>IF(AND(G1158&gt;=조회시작,G1158&lt;=조회종료),1,0)</f>
        <v/>
      </c>
    </row>
    <row r="1159">
      <c r="A1159" s="2">
        <f>ROW()-1</f>
        <v/>
      </c>
      <c r="B1159" s="5">
        <f>INDEX(상호범위,D1159)</f>
        <v/>
      </c>
      <c r="C1159" s="5">
        <f>INDEX(플랫폼명범위,E1159)</f>
        <v/>
      </c>
      <c r="D1159" s="2">
        <f>MOD(INT((A1159-1)/4),8)+1</f>
        <v/>
      </c>
      <c r="E1159" s="2">
        <f>MOD(A1159-1,4)+1</f>
        <v/>
      </c>
      <c r="F1159" s="20">
        <f>축시작+INT((A1159-1)/32)</f>
        <v/>
      </c>
      <c r="G1159" s="20">
        <f>F1159+H1159</f>
        <v/>
      </c>
      <c r="H1159" s="5" t="n">
        <v>2</v>
      </c>
      <c r="I1159" s="2">
        <f>ROUND(INDEX(가맹점!$P$2:$P$9,D1159)*INDEX(가맹점!$J$2:$M$9,D1159,E1159),0)</f>
        <v/>
      </c>
      <c r="J1159" s="2">
        <f>ROUND(I1159*(1-할인율),0)</f>
        <v/>
      </c>
      <c r="K1159" s="2">
        <f>ROUNDDOWN(I1159*할인율,0)</f>
        <v/>
      </c>
      <c r="L1159" s="2">
        <f>ROUND(I1159*INDEX(미지급률범위,E1159),0)</f>
        <v/>
      </c>
      <c r="M1159" s="2">
        <f>ROUND(I1159*INDEX(과지급률범위,E1159),0)</f>
        <v/>
      </c>
      <c r="N1159" s="2">
        <f>MAX(0,L1159-M1159)</f>
        <v/>
      </c>
      <c r="O1159" s="2">
        <f>K1159-N1159</f>
        <v/>
      </c>
      <c r="P1159" s="2">
        <f>I1159-N1159</f>
        <v/>
      </c>
      <c r="Q1159" s="5">
        <f>IF(G1159&gt;기준일,1,0)</f>
        <v/>
      </c>
      <c r="R1159" s="5">
        <f>IF(G1159&lt;=기준일,1,0)</f>
        <v/>
      </c>
      <c r="S1159" s="2">
        <f>J1159*H1159</f>
        <v/>
      </c>
      <c r="T1159" s="5">
        <f>IF(AND(F1159&gt;=표본시작,F1159&lt;=표본종료),1,0)</f>
        <v/>
      </c>
      <c r="U1159" s="5">
        <f>IF(AND(G1159&gt;=조회시작,G1159&lt;=조회종료),1,0)</f>
        <v/>
      </c>
    </row>
    <row r="1160">
      <c r="A1160" s="2">
        <f>ROW()-1</f>
        <v/>
      </c>
      <c r="B1160" s="5">
        <f>INDEX(상호범위,D1160)</f>
        <v/>
      </c>
      <c r="C1160" s="5">
        <f>INDEX(플랫폼명범위,E1160)</f>
        <v/>
      </c>
      <c r="D1160" s="2">
        <f>MOD(INT((A1160-1)/4),8)+1</f>
        <v/>
      </c>
      <c r="E1160" s="2">
        <f>MOD(A1160-1,4)+1</f>
        <v/>
      </c>
      <c r="F1160" s="20">
        <f>축시작+INT((A1160-1)/32)</f>
        <v/>
      </c>
      <c r="G1160" s="20">
        <f>F1160+H1160</f>
        <v/>
      </c>
      <c r="H1160" s="5" t="n">
        <v>5</v>
      </c>
      <c r="I1160" s="2">
        <f>ROUND(INDEX(가맹점!$P$2:$P$9,D1160)*INDEX(가맹점!$J$2:$M$9,D1160,E1160),0)</f>
        <v/>
      </c>
      <c r="J1160" s="2">
        <f>ROUND(I1160*(1-할인율),0)</f>
        <v/>
      </c>
      <c r="K1160" s="2">
        <f>ROUNDDOWN(I1160*할인율,0)</f>
        <v/>
      </c>
      <c r="L1160" s="2">
        <f>ROUND(I1160*INDEX(미지급률범위,E1160),0)</f>
        <v/>
      </c>
      <c r="M1160" s="2">
        <f>ROUND(I1160*INDEX(과지급률범위,E1160),0)</f>
        <v/>
      </c>
      <c r="N1160" s="2">
        <f>MAX(0,L1160-M1160)</f>
        <v/>
      </c>
      <c r="O1160" s="2">
        <f>K1160-N1160</f>
        <v/>
      </c>
      <c r="P1160" s="2">
        <f>I1160-N1160</f>
        <v/>
      </c>
      <c r="Q1160" s="5">
        <f>IF(G1160&gt;기준일,1,0)</f>
        <v/>
      </c>
      <c r="R1160" s="5">
        <f>IF(G1160&lt;=기준일,1,0)</f>
        <v/>
      </c>
      <c r="S1160" s="2">
        <f>J1160*H1160</f>
        <v/>
      </c>
      <c r="T1160" s="5">
        <f>IF(AND(F1160&gt;=표본시작,F1160&lt;=표본종료),1,0)</f>
        <v/>
      </c>
      <c r="U1160" s="5">
        <f>IF(AND(G1160&gt;=조회시작,G1160&lt;=조회종료),1,0)</f>
        <v/>
      </c>
    </row>
    <row r="1161">
      <c r="A1161" s="2">
        <f>ROW()-1</f>
        <v/>
      </c>
      <c r="B1161" s="5">
        <f>INDEX(상호범위,D1161)</f>
        <v/>
      </c>
      <c r="C1161" s="5">
        <f>INDEX(플랫폼명범위,E1161)</f>
        <v/>
      </c>
      <c r="D1161" s="2">
        <f>MOD(INT((A1161-1)/4),8)+1</f>
        <v/>
      </c>
      <c r="E1161" s="2">
        <f>MOD(A1161-1,4)+1</f>
        <v/>
      </c>
      <c r="F1161" s="20">
        <f>축시작+INT((A1161-1)/32)</f>
        <v/>
      </c>
      <c r="G1161" s="20">
        <f>F1161+H1161</f>
        <v/>
      </c>
      <c r="H1161" s="5" t="n">
        <v>6</v>
      </c>
      <c r="I1161" s="2">
        <f>ROUND(INDEX(가맹점!$P$2:$P$9,D1161)*INDEX(가맹점!$J$2:$M$9,D1161,E1161),0)</f>
        <v/>
      </c>
      <c r="J1161" s="2">
        <f>ROUND(I1161*(1-할인율),0)</f>
        <v/>
      </c>
      <c r="K1161" s="2">
        <f>ROUNDDOWN(I1161*할인율,0)</f>
        <v/>
      </c>
      <c r="L1161" s="2">
        <f>ROUND(I1161*INDEX(미지급률범위,E1161),0)</f>
        <v/>
      </c>
      <c r="M1161" s="2">
        <f>ROUND(I1161*INDEX(과지급률범위,E1161),0)</f>
        <v/>
      </c>
      <c r="N1161" s="2">
        <f>MAX(0,L1161-M1161)</f>
        <v/>
      </c>
      <c r="O1161" s="2">
        <f>K1161-N1161</f>
        <v/>
      </c>
      <c r="P1161" s="2">
        <f>I1161-N1161</f>
        <v/>
      </c>
      <c r="Q1161" s="5">
        <f>IF(G1161&gt;기준일,1,0)</f>
        <v/>
      </c>
      <c r="R1161" s="5">
        <f>IF(G1161&lt;=기준일,1,0)</f>
        <v/>
      </c>
      <c r="S1161" s="2">
        <f>J1161*H1161</f>
        <v/>
      </c>
      <c r="T1161" s="5">
        <f>IF(AND(F1161&gt;=표본시작,F1161&lt;=표본종료),1,0)</f>
        <v/>
      </c>
      <c r="U1161" s="5">
        <f>IF(AND(G1161&gt;=조회시작,G1161&lt;=조회종료),1,0)</f>
        <v/>
      </c>
    </row>
    <row r="1162">
      <c r="A1162" s="2">
        <f>ROW()-1</f>
        <v/>
      </c>
      <c r="B1162" s="5">
        <f>INDEX(상호범위,D1162)</f>
        <v/>
      </c>
      <c r="C1162" s="5">
        <f>INDEX(플랫폼명범위,E1162)</f>
        <v/>
      </c>
      <c r="D1162" s="2">
        <f>MOD(INT((A1162-1)/4),8)+1</f>
        <v/>
      </c>
      <c r="E1162" s="2">
        <f>MOD(A1162-1,4)+1</f>
        <v/>
      </c>
      <c r="F1162" s="20">
        <f>축시작+INT((A1162-1)/32)</f>
        <v/>
      </c>
      <c r="G1162" s="20">
        <f>F1162+H1162</f>
        <v/>
      </c>
      <c r="H1162" s="5" t="n">
        <v>2</v>
      </c>
      <c r="I1162" s="2">
        <f>ROUND(INDEX(가맹점!$P$2:$P$9,D1162)*INDEX(가맹점!$J$2:$M$9,D1162,E1162),0)</f>
        <v/>
      </c>
      <c r="J1162" s="2">
        <f>ROUND(I1162*(1-할인율),0)</f>
        <v/>
      </c>
      <c r="K1162" s="2">
        <f>ROUNDDOWN(I1162*할인율,0)</f>
        <v/>
      </c>
      <c r="L1162" s="2">
        <f>ROUND(I1162*INDEX(미지급률범위,E1162),0)</f>
        <v/>
      </c>
      <c r="M1162" s="2">
        <f>ROUND(I1162*INDEX(과지급률범위,E1162),0)</f>
        <v/>
      </c>
      <c r="N1162" s="2">
        <f>MAX(0,L1162-M1162)</f>
        <v/>
      </c>
      <c r="O1162" s="2">
        <f>K1162-N1162</f>
        <v/>
      </c>
      <c r="P1162" s="2">
        <f>I1162-N1162</f>
        <v/>
      </c>
      <c r="Q1162" s="5">
        <f>IF(G1162&gt;기준일,1,0)</f>
        <v/>
      </c>
      <c r="R1162" s="5">
        <f>IF(G1162&lt;=기준일,1,0)</f>
        <v/>
      </c>
      <c r="S1162" s="2">
        <f>J1162*H1162</f>
        <v/>
      </c>
      <c r="T1162" s="5">
        <f>IF(AND(F1162&gt;=표본시작,F1162&lt;=표본종료),1,0)</f>
        <v/>
      </c>
      <c r="U1162" s="5">
        <f>IF(AND(G1162&gt;=조회시작,G1162&lt;=조회종료),1,0)</f>
        <v/>
      </c>
    </row>
    <row r="1163">
      <c r="A1163" s="2">
        <f>ROW()-1</f>
        <v/>
      </c>
      <c r="B1163" s="5">
        <f>INDEX(상호범위,D1163)</f>
        <v/>
      </c>
      <c r="C1163" s="5">
        <f>INDEX(플랫폼명범위,E1163)</f>
        <v/>
      </c>
      <c r="D1163" s="2">
        <f>MOD(INT((A1163-1)/4),8)+1</f>
        <v/>
      </c>
      <c r="E1163" s="2">
        <f>MOD(A1163-1,4)+1</f>
        <v/>
      </c>
      <c r="F1163" s="20">
        <f>축시작+INT((A1163-1)/32)</f>
        <v/>
      </c>
      <c r="G1163" s="20">
        <f>F1163+H1163</f>
        <v/>
      </c>
      <c r="H1163" s="5" t="n">
        <v>2</v>
      </c>
      <c r="I1163" s="2">
        <f>ROUND(INDEX(가맹점!$P$2:$P$9,D1163)*INDEX(가맹점!$J$2:$M$9,D1163,E1163),0)</f>
        <v/>
      </c>
      <c r="J1163" s="2">
        <f>ROUND(I1163*(1-할인율),0)</f>
        <v/>
      </c>
      <c r="K1163" s="2">
        <f>ROUNDDOWN(I1163*할인율,0)</f>
        <v/>
      </c>
      <c r="L1163" s="2">
        <f>ROUND(I1163*INDEX(미지급률범위,E1163),0)</f>
        <v/>
      </c>
      <c r="M1163" s="2">
        <f>ROUND(I1163*INDEX(과지급률범위,E1163),0)</f>
        <v/>
      </c>
      <c r="N1163" s="2">
        <f>MAX(0,L1163-M1163)</f>
        <v/>
      </c>
      <c r="O1163" s="2">
        <f>K1163-N1163</f>
        <v/>
      </c>
      <c r="P1163" s="2">
        <f>I1163-N1163</f>
        <v/>
      </c>
      <c r="Q1163" s="5">
        <f>IF(G1163&gt;기준일,1,0)</f>
        <v/>
      </c>
      <c r="R1163" s="5">
        <f>IF(G1163&lt;=기준일,1,0)</f>
        <v/>
      </c>
      <c r="S1163" s="2">
        <f>J1163*H1163</f>
        <v/>
      </c>
      <c r="T1163" s="5">
        <f>IF(AND(F1163&gt;=표본시작,F1163&lt;=표본종료),1,0)</f>
        <v/>
      </c>
      <c r="U1163" s="5">
        <f>IF(AND(G1163&gt;=조회시작,G1163&lt;=조회종료),1,0)</f>
        <v/>
      </c>
    </row>
    <row r="1164">
      <c r="A1164" s="2">
        <f>ROW()-1</f>
        <v/>
      </c>
      <c r="B1164" s="5">
        <f>INDEX(상호범위,D1164)</f>
        <v/>
      </c>
      <c r="C1164" s="5">
        <f>INDEX(플랫폼명범위,E1164)</f>
        <v/>
      </c>
      <c r="D1164" s="2">
        <f>MOD(INT((A1164-1)/4),8)+1</f>
        <v/>
      </c>
      <c r="E1164" s="2">
        <f>MOD(A1164-1,4)+1</f>
        <v/>
      </c>
      <c r="F1164" s="20">
        <f>축시작+INT((A1164-1)/32)</f>
        <v/>
      </c>
      <c r="G1164" s="20">
        <f>F1164+H1164</f>
        <v/>
      </c>
      <c r="H1164" s="5" t="n">
        <v>5</v>
      </c>
      <c r="I1164" s="2">
        <f>ROUND(INDEX(가맹점!$P$2:$P$9,D1164)*INDEX(가맹점!$J$2:$M$9,D1164,E1164),0)</f>
        <v/>
      </c>
      <c r="J1164" s="2">
        <f>ROUND(I1164*(1-할인율),0)</f>
        <v/>
      </c>
      <c r="K1164" s="2">
        <f>ROUNDDOWN(I1164*할인율,0)</f>
        <v/>
      </c>
      <c r="L1164" s="2">
        <f>ROUND(I1164*INDEX(미지급률범위,E1164),0)</f>
        <v/>
      </c>
      <c r="M1164" s="2">
        <f>ROUND(I1164*INDEX(과지급률범위,E1164),0)</f>
        <v/>
      </c>
      <c r="N1164" s="2">
        <f>MAX(0,L1164-M1164)</f>
        <v/>
      </c>
      <c r="O1164" s="2">
        <f>K1164-N1164</f>
        <v/>
      </c>
      <c r="P1164" s="2">
        <f>I1164-N1164</f>
        <v/>
      </c>
      <c r="Q1164" s="5">
        <f>IF(G1164&gt;기준일,1,0)</f>
        <v/>
      </c>
      <c r="R1164" s="5">
        <f>IF(G1164&lt;=기준일,1,0)</f>
        <v/>
      </c>
      <c r="S1164" s="2">
        <f>J1164*H1164</f>
        <v/>
      </c>
      <c r="T1164" s="5">
        <f>IF(AND(F1164&gt;=표본시작,F1164&lt;=표본종료),1,0)</f>
        <v/>
      </c>
      <c r="U1164" s="5">
        <f>IF(AND(G1164&gt;=조회시작,G1164&lt;=조회종료),1,0)</f>
        <v/>
      </c>
    </row>
    <row r="1165">
      <c r="A1165" s="2">
        <f>ROW()-1</f>
        <v/>
      </c>
      <c r="B1165" s="5">
        <f>INDEX(상호범위,D1165)</f>
        <v/>
      </c>
      <c r="C1165" s="5">
        <f>INDEX(플랫폼명범위,E1165)</f>
        <v/>
      </c>
      <c r="D1165" s="2">
        <f>MOD(INT((A1165-1)/4),8)+1</f>
        <v/>
      </c>
      <c r="E1165" s="2">
        <f>MOD(A1165-1,4)+1</f>
        <v/>
      </c>
      <c r="F1165" s="20">
        <f>축시작+INT((A1165-1)/32)</f>
        <v/>
      </c>
      <c r="G1165" s="20">
        <f>F1165+H1165</f>
        <v/>
      </c>
      <c r="H1165" s="5" t="n">
        <v>7</v>
      </c>
      <c r="I1165" s="2">
        <f>ROUND(INDEX(가맹점!$P$2:$P$9,D1165)*INDEX(가맹점!$J$2:$M$9,D1165,E1165),0)</f>
        <v/>
      </c>
      <c r="J1165" s="2">
        <f>ROUND(I1165*(1-할인율),0)</f>
        <v/>
      </c>
      <c r="K1165" s="2">
        <f>ROUNDDOWN(I1165*할인율,0)</f>
        <v/>
      </c>
      <c r="L1165" s="2">
        <f>ROUND(I1165*INDEX(미지급률범위,E1165),0)</f>
        <v/>
      </c>
      <c r="M1165" s="2">
        <f>ROUND(I1165*INDEX(과지급률범위,E1165),0)</f>
        <v/>
      </c>
      <c r="N1165" s="2">
        <f>MAX(0,L1165-M1165)</f>
        <v/>
      </c>
      <c r="O1165" s="2">
        <f>K1165-N1165</f>
        <v/>
      </c>
      <c r="P1165" s="2">
        <f>I1165-N1165</f>
        <v/>
      </c>
      <c r="Q1165" s="5">
        <f>IF(G1165&gt;기준일,1,0)</f>
        <v/>
      </c>
      <c r="R1165" s="5">
        <f>IF(G1165&lt;=기준일,1,0)</f>
        <v/>
      </c>
      <c r="S1165" s="2">
        <f>J1165*H1165</f>
        <v/>
      </c>
      <c r="T1165" s="5">
        <f>IF(AND(F1165&gt;=표본시작,F1165&lt;=표본종료),1,0)</f>
        <v/>
      </c>
      <c r="U1165" s="5">
        <f>IF(AND(G1165&gt;=조회시작,G1165&lt;=조회종료),1,0)</f>
        <v/>
      </c>
    </row>
    <row r="1166">
      <c r="A1166" s="2">
        <f>ROW()-1</f>
        <v/>
      </c>
      <c r="B1166" s="5">
        <f>INDEX(상호범위,D1166)</f>
        <v/>
      </c>
      <c r="C1166" s="5">
        <f>INDEX(플랫폼명범위,E1166)</f>
        <v/>
      </c>
      <c r="D1166" s="2">
        <f>MOD(INT((A1166-1)/4),8)+1</f>
        <v/>
      </c>
      <c r="E1166" s="2">
        <f>MOD(A1166-1,4)+1</f>
        <v/>
      </c>
      <c r="F1166" s="20">
        <f>축시작+INT((A1166-1)/32)</f>
        <v/>
      </c>
      <c r="G1166" s="20">
        <f>F1166+H1166</f>
        <v/>
      </c>
      <c r="H1166" s="5" t="n">
        <v>2</v>
      </c>
      <c r="I1166" s="2">
        <f>ROUND(INDEX(가맹점!$P$2:$P$9,D1166)*INDEX(가맹점!$J$2:$M$9,D1166,E1166),0)</f>
        <v/>
      </c>
      <c r="J1166" s="2">
        <f>ROUND(I1166*(1-할인율),0)</f>
        <v/>
      </c>
      <c r="K1166" s="2">
        <f>ROUNDDOWN(I1166*할인율,0)</f>
        <v/>
      </c>
      <c r="L1166" s="2">
        <f>ROUND(I1166*INDEX(미지급률범위,E1166),0)</f>
        <v/>
      </c>
      <c r="M1166" s="2">
        <f>ROUND(I1166*INDEX(과지급률범위,E1166),0)</f>
        <v/>
      </c>
      <c r="N1166" s="2">
        <f>MAX(0,L1166-M1166)</f>
        <v/>
      </c>
      <c r="O1166" s="2">
        <f>K1166-N1166</f>
        <v/>
      </c>
      <c r="P1166" s="2">
        <f>I1166-N1166</f>
        <v/>
      </c>
      <c r="Q1166" s="5">
        <f>IF(G1166&gt;기준일,1,0)</f>
        <v/>
      </c>
      <c r="R1166" s="5">
        <f>IF(G1166&lt;=기준일,1,0)</f>
        <v/>
      </c>
      <c r="S1166" s="2">
        <f>J1166*H1166</f>
        <v/>
      </c>
      <c r="T1166" s="5">
        <f>IF(AND(F1166&gt;=표본시작,F1166&lt;=표본종료),1,0)</f>
        <v/>
      </c>
      <c r="U1166" s="5">
        <f>IF(AND(G1166&gt;=조회시작,G1166&lt;=조회종료),1,0)</f>
        <v/>
      </c>
    </row>
    <row r="1167">
      <c r="A1167" s="2">
        <f>ROW()-1</f>
        <v/>
      </c>
      <c r="B1167" s="5">
        <f>INDEX(상호범위,D1167)</f>
        <v/>
      </c>
      <c r="C1167" s="5">
        <f>INDEX(플랫폼명범위,E1167)</f>
        <v/>
      </c>
      <c r="D1167" s="2">
        <f>MOD(INT((A1167-1)/4),8)+1</f>
        <v/>
      </c>
      <c r="E1167" s="2">
        <f>MOD(A1167-1,4)+1</f>
        <v/>
      </c>
      <c r="F1167" s="20">
        <f>축시작+INT((A1167-1)/32)</f>
        <v/>
      </c>
      <c r="G1167" s="20">
        <f>F1167+H1167</f>
        <v/>
      </c>
      <c r="H1167" s="5" t="n">
        <v>4</v>
      </c>
      <c r="I1167" s="2">
        <f>ROUND(INDEX(가맹점!$P$2:$P$9,D1167)*INDEX(가맹점!$J$2:$M$9,D1167,E1167),0)</f>
        <v/>
      </c>
      <c r="J1167" s="2">
        <f>ROUND(I1167*(1-할인율),0)</f>
        <v/>
      </c>
      <c r="K1167" s="2">
        <f>ROUNDDOWN(I1167*할인율,0)</f>
        <v/>
      </c>
      <c r="L1167" s="2">
        <f>ROUND(I1167*INDEX(미지급률범위,E1167),0)</f>
        <v/>
      </c>
      <c r="M1167" s="2">
        <f>ROUND(I1167*INDEX(과지급률범위,E1167),0)</f>
        <v/>
      </c>
      <c r="N1167" s="2">
        <f>MAX(0,L1167-M1167)</f>
        <v/>
      </c>
      <c r="O1167" s="2">
        <f>K1167-N1167</f>
        <v/>
      </c>
      <c r="P1167" s="2">
        <f>I1167-N1167</f>
        <v/>
      </c>
      <c r="Q1167" s="5">
        <f>IF(G1167&gt;기준일,1,0)</f>
        <v/>
      </c>
      <c r="R1167" s="5">
        <f>IF(G1167&lt;=기준일,1,0)</f>
        <v/>
      </c>
      <c r="S1167" s="2">
        <f>J1167*H1167</f>
        <v/>
      </c>
      <c r="T1167" s="5">
        <f>IF(AND(F1167&gt;=표본시작,F1167&lt;=표본종료),1,0)</f>
        <v/>
      </c>
      <c r="U1167" s="5">
        <f>IF(AND(G1167&gt;=조회시작,G1167&lt;=조회종료),1,0)</f>
        <v/>
      </c>
    </row>
    <row r="1168">
      <c r="A1168" s="2">
        <f>ROW()-1</f>
        <v/>
      </c>
      <c r="B1168" s="5">
        <f>INDEX(상호범위,D1168)</f>
        <v/>
      </c>
      <c r="C1168" s="5">
        <f>INDEX(플랫폼명범위,E1168)</f>
        <v/>
      </c>
      <c r="D1168" s="2">
        <f>MOD(INT((A1168-1)/4),8)+1</f>
        <v/>
      </c>
      <c r="E1168" s="2">
        <f>MOD(A1168-1,4)+1</f>
        <v/>
      </c>
      <c r="F1168" s="20">
        <f>축시작+INT((A1168-1)/32)</f>
        <v/>
      </c>
      <c r="G1168" s="20">
        <f>F1168+H1168</f>
        <v/>
      </c>
      <c r="H1168" s="5" t="n">
        <v>5</v>
      </c>
      <c r="I1168" s="2">
        <f>ROUND(INDEX(가맹점!$P$2:$P$9,D1168)*INDEX(가맹점!$J$2:$M$9,D1168,E1168),0)</f>
        <v/>
      </c>
      <c r="J1168" s="2">
        <f>ROUND(I1168*(1-할인율),0)</f>
        <v/>
      </c>
      <c r="K1168" s="2">
        <f>ROUNDDOWN(I1168*할인율,0)</f>
        <v/>
      </c>
      <c r="L1168" s="2">
        <f>ROUND(I1168*INDEX(미지급률범위,E1168),0)</f>
        <v/>
      </c>
      <c r="M1168" s="2">
        <f>ROUND(I1168*INDEX(과지급률범위,E1168),0)</f>
        <v/>
      </c>
      <c r="N1168" s="2">
        <f>MAX(0,L1168-M1168)</f>
        <v/>
      </c>
      <c r="O1168" s="2">
        <f>K1168-N1168</f>
        <v/>
      </c>
      <c r="P1168" s="2">
        <f>I1168-N1168</f>
        <v/>
      </c>
      <c r="Q1168" s="5">
        <f>IF(G1168&gt;기준일,1,0)</f>
        <v/>
      </c>
      <c r="R1168" s="5">
        <f>IF(G1168&lt;=기준일,1,0)</f>
        <v/>
      </c>
      <c r="S1168" s="2">
        <f>J1168*H1168</f>
        <v/>
      </c>
      <c r="T1168" s="5">
        <f>IF(AND(F1168&gt;=표본시작,F1168&lt;=표본종료),1,0)</f>
        <v/>
      </c>
      <c r="U1168" s="5">
        <f>IF(AND(G1168&gt;=조회시작,G1168&lt;=조회종료),1,0)</f>
        <v/>
      </c>
    </row>
    <row r="1169">
      <c r="A1169" s="2">
        <f>ROW()-1</f>
        <v/>
      </c>
      <c r="B1169" s="5">
        <f>INDEX(상호범위,D1169)</f>
        <v/>
      </c>
      <c r="C1169" s="5">
        <f>INDEX(플랫폼명범위,E1169)</f>
        <v/>
      </c>
      <c r="D1169" s="2">
        <f>MOD(INT((A1169-1)/4),8)+1</f>
        <v/>
      </c>
      <c r="E1169" s="2">
        <f>MOD(A1169-1,4)+1</f>
        <v/>
      </c>
      <c r="F1169" s="20">
        <f>축시작+INT((A1169-1)/32)</f>
        <v/>
      </c>
      <c r="G1169" s="20">
        <f>F1169+H1169</f>
        <v/>
      </c>
      <c r="H1169" s="5" t="n">
        <v>6</v>
      </c>
      <c r="I1169" s="2">
        <f>ROUND(INDEX(가맹점!$P$2:$P$9,D1169)*INDEX(가맹점!$J$2:$M$9,D1169,E1169),0)</f>
        <v/>
      </c>
      <c r="J1169" s="2">
        <f>ROUND(I1169*(1-할인율),0)</f>
        <v/>
      </c>
      <c r="K1169" s="2">
        <f>ROUNDDOWN(I1169*할인율,0)</f>
        <v/>
      </c>
      <c r="L1169" s="2">
        <f>ROUND(I1169*INDEX(미지급률범위,E1169),0)</f>
        <v/>
      </c>
      <c r="M1169" s="2">
        <f>ROUND(I1169*INDEX(과지급률범위,E1169),0)</f>
        <v/>
      </c>
      <c r="N1169" s="2">
        <f>MAX(0,L1169-M1169)</f>
        <v/>
      </c>
      <c r="O1169" s="2">
        <f>K1169-N1169</f>
        <v/>
      </c>
      <c r="P1169" s="2">
        <f>I1169-N1169</f>
        <v/>
      </c>
      <c r="Q1169" s="5">
        <f>IF(G1169&gt;기준일,1,0)</f>
        <v/>
      </c>
      <c r="R1169" s="5">
        <f>IF(G1169&lt;=기준일,1,0)</f>
        <v/>
      </c>
      <c r="S1169" s="2">
        <f>J1169*H1169</f>
        <v/>
      </c>
      <c r="T1169" s="5">
        <f>IF(AND(F1169&gt;=표본시작,F1169&lt;=표본종료),1,0)</f>
        <v/>
      </c>
      <c r="U1169" s="5">
        <f>IF(AND(G1169&gt;=조회시작,G1169&lt;=조회종료),1,0)</f>
        <v/>
      </c>
    </row>
    <row r="1170">
      <c r="A1170" s="2">
        <f>ROW()-1</f>
        <v/>
      </c>
      <c r="B1170" s="5">
        <f>INDEX(상호범위,D1170)</f>
        <v/>
      </c>
      <c r="C1170" s="5">
        <f>INDEX(플랫폼명범위,E1170)</f>
        <v/>
      </c>
      <c r="D1170" s="2">
        <f>MOD(INT((A1170-1)/4),8)+1</f>
        <v/>
      </c>
      <c r="E1170" s="2">
        <f>MOD(A1170-1,4)+1</f>
        <v/>
      </c>
      <c r="F1170" s="20">
        <f>축시작+INT((A1170-1)/32)</f>
        <v/>
      </c>
      <c r="G1170" s="20">
        <f>F1170+H1170</f>
        <v/>
      </c>
      <c r="H1170" s="5" t="n">
        <v>3</v>
      </c>
      <c r="I1170" s="2">
        <f>ROUND(INDEX(가맹점!$P$2:$P$9,D1170)*INDEX(가맹점!$J$2:$M$9,D1170,E1170),0)</f>
        <v/>
      </c>
      <c r="J1170" s="2">
        <f>ROUND(I1170*(1-할인율),0)</f>
        <v/>
      </c>
      <c r="K1170" s="2">
        <f>ROUNDDOWN(I1170*할인율,0)</f>
        <v/>
      </c>
      <c r="L1170" s="2">
        <f>ROUND(I1170*INDEX(미지급률범위,E1170),0)</f>
        <v/>
      </c>
      <c r="M1170" s="2">
        <f>ROUND(I1170*INDEX(과지급률범위,E1170),0)</f>
        <v/>
      </c>
      <c r="N1170" s="2">
        <f>MAX(0,L1170-M1170)</f>
        <v/>
      </c>
      <c r="O1170" s="2">
        <f>K1170-N1170</f>
        <v/>
      </c>
      <c r="P1170" s="2">
        <f>I1170-N1170</f>
        <v/>
      </c>
      <c r="Q1170" s="5">
        <f>IF(G1170&gt;기준일,1,0)</f>
        <v/>
      </c>
      <c r="R1170" s="5">
        <f>IF(G1170&lt;=기준일,1,0)</f>
        <v/>
      </c>
      <c r="S1170" s="2">
        <f>J1170*H1170</f>
        <v/>
      </c>
      <c r="T1170" s="5">
        <f>IF(AND(F1170&gt;=표본시작,F1170&lt;=표본종료),1,0)</f>
        <v/>
      </c>
      <c r="U1170" s="5">
        <f>IF(AND(G1170&gt;=조회시작,G1170&lt;=조회종료),1,0)</f>
        <v/>
      </c>
    </row>
    <row r="1171">
      <c r="A1171" s="2">
        <f>ROW()-1</f>
        <v/>
      </c>
      <c r="B1171" s="5">
        <f>INDEX(상호범위,D1171)</f>
        <v/>
      </c>
      <c r="C1171" s="5">
        <f>INDEX(플랫폼명범위,E1171)</f>
        <v/>
      </c>
      <c r="D1171" s="2">
        <f>MOD(INT((A1171-1)/4),8)+1</f>
        <v/>
      </c>
      <c r="E1171" s="2">
        <f>MOD(A1171-1,4)+1</f>
        <v/>
      </c>
      <c r="F1171" s="20">
        <f>축시작+INT((A1171-1)/32)</f>
        <v/>
      </c>
      <c r="G1171" s="20">
        <f>F1171+H1171</f>
        <v/>
      </c>
      <c r="H1171" s="5" t="n">
        <v>3</v>
      </c>
      <c r="I1171" s="2">
        <f>ROUND(INDEX(가맹점!$P$2:$P$9,D1171)*INDEX(가맹점!$J$2:$M$9,D1171,E1171),0)</f>
        <v/>
      </c>
      <c r="J1171" s="2">
        <f>ROUND(I1171*(1-할인율),0)</f>
        <v/>
      </c>
      <c r="K1171" s="2">
        <f>ROUNDDOWN(I1171*할인율,0)</f>
        <v/>
      </c>
      <c r="L1171" s="2">
        <f>ROUND(I1171*INDEX(미지급률범위,E1171),0)</f>
        <v/>
      </c>
      <c r="M1171" s="2">
        <f>ROUND(I1171*INDEX(과지급률범위,E1171),0)</f>
        <v/>
      </c>
      <c r="N1171" s="2">
        <f>MAX(0,L1171-M1171)</f>
        <v/>
      </c>
      <c r="O1171" s="2">
        <f>K1171-N1171</f>
        <v/>
      </c>
      <c r="P1171" s="2">
        <f>I1171-N1171</f>
        <v/>
      </c>
      <c r="Q1171" s="5">
        <f>IF(G1171&gt;기준일,1,0)</f>
        <v/>
      </c>
      <c r="R1171" s="5">
        <f>IF(G1171&lt;=기준일,1,0)</f>
        <v/>
      </c>
      <c r="S1171" s="2">
        <f>J1171*H1171</f>
        <v/>
      </c>
      <c r="T1171" s="5">
        <f>IF(AND(F1171&gt;=표본시작,F1171&lt;=표본종료),1,0)</f>
        <v/>
      </c>
      <c r="U1171" s="5">
        <f>IF(AND(G1171&gt;=조회시작,G1171&lt;=조회종료),1,0)</f>
        <v/>
      </c>
    </row>
    <row r="1172">
      <c r="A1172" s="2">
        <f>ROW()-1</f>
        <v/>
      </c>
      <c r="B1172" s="5">
        <f>INDEX(상호범위,D1172)</f>
        <v/>
      </c>
      <c r="C1172" s="5">
        <f>INDEX(플랫폼명범위,E1172)</f>
        <v/>
      </c>
      <c r="D1172" s="2">
        <f>MOD(INT((A1172-1)/4),8)+1</f>
        <v/>
      </c>
      <c r="E1172" s="2">
        <f>MOD(A1172-1,4)+1</f>
        <v/>
      </c>
      <c r="F1172" s="20">
        <f>축시작+INT((A1172-1)/32)</f>
        <v/>
      </c>
      <c r="G1172" s="20">
        <f>F1172+H1172</f>
        <v/>
      </c>
      <c r="H1172" s="5" t="n">
        <v>5</v>
      </c>
      <c r="I1172" s="2">
        <f>ROUND(INDEX(가맹점!$P$2:$P$9,D1172)*INDEX(가맹점!$J$2:$M$9,D1172,E1172),0)</f>
        <v/>
      </c>
      <c r="J1172" s="2">
        <f>ROUND(I1172*(1-할인율),0)</f>
        <v/>
      </c>
      <c r="K1172" s="2">
        <f>ROUNDDOWN(I1172*할인율,0)</f>
        <v/>
      </c>
      <c r="L1172" s="2">
        <f>ROUND(I1172*INDEX(미지급률범위,E1172),0)</f>
        <v/>
      </c>
      <c r="M1172" s="2">
        <f>ROUND(I1172*INDEX(과지급률범위,E1172),0)</f>
        <v/>
      </c>
      <c r="N1172" s="2">
        <f>MAX(0,L1172-M1172)</f>
        <v/>
      </c>
      <c r="O1172" s="2">
        <f>K1172-N1172</f>
        <v/>
      </c>
      <c r="P1172" s="2">
        <f>I1172-N1172</f>
        <v/>
      </c>
      <c r="Q1172" s="5">
        <f>IF(G1172&gt;기준일,1,0)</f>
        <v/>
      </c>
      <c r="R1172" s="5">
        <f>IF(G1172&lt;=기준일,1,0)</f>
        <v/>
      </c>
      <c r="S1172" s="2">
        <f>J1172*H1172</f>
        <v/>
      </c>
      <c r="T1172" s="5">
        <f>IF(AND(F1172&gt;=표본시작,F1172&lt;=표본종료),1,0)</f>
        <v/>
      </c>
      <c r="U1172" s="5">
        <f>IF(AND(G1172&gt;=조회시작,G1172&lt;=조회종료),1,0)</f>
        <v/>
      </c>
    </row>
    <row r="1173">
      <c r="A1173" s="2">
        <f>ROW()-1</f>
        <v/>
      </c>
      <c r="B1173" s="5">
        <f>INDEX(상호범위,D1173)</f>
        <v/>
      </c>
      <c r="C1173" s="5">
        <f>INDEX(플랫폼명범위,E1173)</f>
        <v/>
      </c>
      <c r="D1173" s="2">
        <f>MOD(INT((A1173-1)/4),8)+1</f>
        <v/>
      </c>
      <c r="E1173" s="2">
        <f>MOD(A1173-1,4)+1</f>
        <v/>
      </c>
      <c r="F1173" s="20">
        <f>축시작+INT((A1173-1)/32)</f>
        <v/>
      </c>
      <c r="G1173" s="20">
        <f>F1173+H1173</f>
        <v/>
      </c>
      <c r="H1173" s="5" t="n">
        <v>7</v>
      </c>
      <c r="I1173" s="2">
        <f>ROUND(INDEX(가맹점!$P$2:$P$9,D1173)*INDEX(가맹점!$J$2:$M$9,D1173,E1173),0)</f>
        <v/>
      </c>
      <c r="J1173" s="2">
        <f>ROUND(I1173*(1-할인율),0)</f>
        <v/>
      </c>
      <c r="K1173" s="2">
        <f>ROUNDDOWN(I1173*할인율,0)</f>
        <v/>
      </c>
      <c r="L1173" s="2">
        <f>ROUND(I1173*INDEX(미지급률범위,E1173),0)</f>
        <v/>
      </c>
      <c r="M1173" s="2">
        <f>ROUND(I1173*INDEX(과지급률범위,E1173),0)</f>
        <v/>
      </c>
      <c r="N1173" s="2">
        <f>MAX(0,L1173-M1173)</f>
        <v/>
      </c>
      <c r="O1173" s="2">
        <f>K1173-N1173</f>
        <v/>
      </c>
      <c r="P1173" s="2">
        <f>I1173-N1173</f>
        <v/>
      </c>
      <c r="Q1173" s="5">
        <f>IF(G1173&gt;기준일,1,0)</f>
        <v/>
      </c>
      <c r="R1173" s="5">
        <f>IF(G1173&lt;=기준일,1,0)</f>
        <v/>
      </c>
      <c r="S1173" s="2">
        <f>J1173*H1173</f>
        <v/>
      </c>
      <c r="T1173" s="5">
        <f>IF(AND(F1173&gt;=표본시작,F1173&lt;=표본종료),1,0)</f>
        <v/>
      </c>
      <c r="U1173" s="5">
        <f>IF(AND(G1173&gt;=조회시작,G1173&lt;=조회종료),1,0)</f>
        <v/>
      </c>
    </row>
    <row r="1174">
      <c r="A1174" s="2">
        <f>ROW()-1</f>
        <v/>
      </c>
      <c r="B1174" s="5">
        <f>INDEX(상호범위,D1174)</f>
        <v/>
      </c>
      <c r="C1174" s="5">
        <f>INDEX(플랫폼명범위,E1174)</f>
        <v/>
      </c>
      <c r="D1174" s="2">
        <f>MOD(INT((A1174-1)/4),8)+1</f>
        <v/>
      </c>
      <c r="E1174" s="2">
        <f>MOD(A1174-1,4)+1</f>
        <v/>
      </c>
      <c r="F1174" s="20">
        <f>축시작+INT((A1174-1)/32)</f>
        <v/>
      </c>
      <c r="G1174" s="20">
        <f>F1174+H1174</f>
        <v/>
      </c>
      <c r="H1174" s="5" t="n">
        <v>3</v>
      </c>
      <c r="I1174" s="2">
        <f>ROUND(INDEX(가맹점!$P$2:$P$9,D1174)*INDEX(가맹점!$J$2:$M$9,D1174,E1174),0)</f>
        <v/>
      </c>
      <c r="J1174" s="2">
        <f>ROUND(I1174*(1-할인율),0)</f>
        <v/>
      </c>
      <c r="K1174" s="2">
        <f>ROUNDDOWN(I1174*할인율,0)</f>
        <v/>
      </c>
      <c r="L1174" s="2">
        <f>ROUND(I1174*INDEX(미지급률범위,E1174),0)</f>
        <v/>
      </c>
      <c r="M1174" s="2">
        <f>ROUND(I1174*INDEX(과지급률범위,E1174),0)</f>
        <v/>
      </c>
      <c r="N1174" s="2">
        <f>MAX(0,L1174-M1174)</f>
        <v/>
      </c>
      <c r="O1174" s="2">
        <f>K1174-N1174</f>
        <v/>
      </c>
      <c r="P1174" s="2">
        <f>I1174-N1174</f>
        <v/>
      </c>
      <c r="Q1174" s="5">
        <f>IF(G1174&gt;기준일,1,0)</f>
        <v/>
      </c>
      <c r="R1174" s="5">
        <f>IF(G1174&lt;=기준일,1,0)</f>
        <v/>
      </c>
      <c r="S1174" s="2">
        <f>J1174*H1174</f>
        <v/>
      </c>
      <c r="T1174" s="5">
        <f>IF(AND(F1174&gt;=표본시작,F1174&lt;=표본종료),1,0)</f>
        <v/>
      </c>
      <c r="U1174" s="5">
        <f>IF(AND(G1174&gt;=조회시작,G1174&lt;=조회종료),1,0)</f>
        <v/>
      </c>
    </row>
    <row r="1175">
      <c r="A1175" s="2">
        <f>ROW()-1</f>
        <v/>
      </c>
      <c r="B1175" s="5">
        <f>INDEX(상호범위,D1175)</f>
        <v/>
      </c>
      <c r="C1175" s="5">
        <f>INDEX(플랫폼명범위,E1175)</f>
        <v/>
      </c>
      <c r="D1175" s="2">
        <f>MOD(INT((A1175-1)/4),8)+1</f>
        <v/>
      </c>
      <c r="E1175" s="2">
        <f>MOD(A1175-1,4)+1</f>
        <v/>
      </c>
      <c r="F1175" s="20">
        <f>축시작+INT((A1175-1)/32)</f>
        <v/>
      </c>
      <c r="G1175" s="20">
        <f>F1175+H1175</f>
        <v/>
      </c>
      <c r="H1175" s="5" t="n">
        <v>3</v>
      </c>
      <c r="I1175" s="2">
        <f>ROUND(INDEX(가맹점!$P$2:$P$9,D1175)*INDEX(가맹점!$J$2:$M$9,D1175,E1175),0)</f>
        <v/>
      </c>
      <c r="J1175" s="2">
        <f>ROUND(I1175*(1-할인율),0)</f>
        <v/>
      </c>
      <c r="K1175" s="2">
        <f>ROUNDDOWN(I1175*할인율,0)</f>
        <v/>
      </c>
      <c r="L1175" s="2">
        <f>ROUND(I1175*INDEX(미지급률범위,E1175),0)</f>
        <v/>
      </c>
      <c r="M1175" s="2">
        <f>ROUND(I1175*INDEX(과지급률범위,E1175),0)</f>
        <v/>
      </c>
      <c r="N1175" s="2">
        <f>MAX(0,L1175-M1175)</f>
        <v/>
      </c>
      <c r="O1175" s="2">
        <f>K1175-N1175</f>
        <v/>
      </c>
      <c r="P1175" s="2">
        <f>I1175-N1175</f>
        <v/>
      </c>
      <c r="Q1175" s="5">
        <f>IF(G1175&gt;기준일,1,0)</f>
        <v/>
      </c>
      <c r="R1175" s="5">
        <f>IF(G1175&lt;=기준일,1,0)</f>
        <v/>
      </c>
      <c r="S1175" s="2">
        <f>J1175*H1175</f>
        <v/>
      </c>
      <c r="T1175" s="5">
        <f>IF(AND(F1175&gt;=표본시작,F1175&lt;=표본종료),1,0)</f>
        <v/>
      </c>
      <c r="U1175" s="5">
        <f>IF(AND(G1175&gt;=조회시작,G1175&lt;=조회종료),1,0)</f>
        <v/>
      </c>
    </row>
    <row r="1176">
      <c r="A1176" s="2">
        <f>ROW()-1</f>
        <v/>
      </c>
      <c r="B1176" s="5">
        <f>INDEX(상호범위,D1176)</f>
        <v/>
      </c>
      <c r="C1176" s="5">
        <f>INDEX(플랫폼명범위,E1176)</f>
        <v/>
      </c>
      <c r="D1176" s="2">
        <f>MOD(INT((A1176-1)/4),8)+1</f>
        <v/>
      </c>
      <c r="E1176" s="2">
        <f>MOD(A1176-1,4)+1</f>
        <v/>
      </c>
      <c r="F1176" s="20">
        <f>축시작+INT((A1176-1)/32)</f>
        <v/>
      </c>
      <c r="G1176" s="20">
        <f>F1176+H1176</f>
        <v/>
      </c>
      <c r="H1176" s="5" t="n">
        <v>4</v>
      </c>
      <c r="I1176" s="2">
        <f>ROUND(INDEX(가맹점!$P$2:$P$9,D1176)*INDEX(가맹점!$J$2:$M$9,D1176,E1176),0)</f>
        <v/>
      </c>
      <c r="J1176" s="2">
        <f>ROUND(I1176*(1-할인율),0)</f>
        <v/>
      </c>
      <c r="K1176" s="2">
        <f>ROUNDDOWN(I1176*할인율,0)</f>
        <v/>
      </c>
      <c r="L1176" s="2">
        <f>ROUND(I1176*INDEX(미지급률범위,E1176),0)</f>
        <v/>
      </c>
      <c r="M1176" s="2">
        <f>ROUND(I1176*INDEX(과지급률범위,E1176),0)</f>
        <v/>
      </c>
      <c r="N1176" s="2">
        <f>MAX(0,L1176-M1176)</f>
        <v/>
      </c>
      <c r="O1176" s="2">
        <f>K1176-N1176</f>
        <v/>
      </c>
      <c r="P1176" s="2">
        <f>I1176-N1176</f>
        <v/>
      </c>
      <c r="Q1176" s="5">
        <f>IF(G1176&gt;기준일,1,0)</f>
        <v/>
      </c>
      <c r="R1176" s="5">
        <f>IF(G1176&lt;=기준일,1,0)</f>
        <v/>
      </c>
      <c r="S1176" s="2">
        <f>J1176*H1176</f>
        <v/>
      </c>
      <c r="T1176" s="5">
        <f>IF(AND(F1176&gt;=표본시작,F1176&lt;=표본종료),1,0)</f>
        <v/>
      </c>
      <c r="U1176" s="5">
        <f>IF(AND(G1176&gt;=조회시작,G1176&lt;=조회종료),1,0)</f>
        <v/>
      </c>
    </row>
    <row r="1177">
      <c r="A1177" s="2">
        <f>ROW()-1</f>
        <v/>
      </c>
      <c r="B1177" s="5">
        <f>INDEX(상호범위,D1177)</f>
        <v/>
      </c>
      <c r="C1177" s="5">
        <f>INDEX(플랫폼명범위,E1177)</f>
        <v/>
      </c>
      <c r="D1177" s="2">
        <f>MOD(INT((A1177-1)/4),8)+1</f>
        <v/>
      </c>
      <c r="E1177" s="2">
        <f>MOD(A1177-1,4)+1</f>
        <v/>
      </c>
      <c r="F1177" s="20">
        <f>축시작+INT((A1177-1)/32)</f>
        <v/>
      </c>
      <c r="G1177" s="20">
        <f>F1177+H1177</f>
        <v/>
      </c>
      <c r="H1177" s="5" t="n">
        <v>6</v>
      </c>
      <c r="I1177" s="2">
        <f>ROUND(INDEX(가맹점!$P$2:$P$9,D1177)*INDEX(가맹점!$J$2:$M$9,D1177,E1177),0)</f>
        <v/>
      </c>
      <c r="J1177" s="2">
        <f>ROUND(I1177*(1-할인율),0)</f>
        <v/>
      </c>
      <c r="K1177" s="2">
        <f>ROUNDDOWN(I1177*할인율,0)</f>
        <v/>
      </c>
      <c r="L1177" s="2">
        <f>ROUND(I1177*INDEX(미지급률범위,E1177),0)</f>
        <v/>
      </c>
      <c r="M1177" s="2">
        <f>ROUND(I1177*INDEX(과지급률범위,E1177),0)</f>
        <v/>
      </c>
      <c r="N1177" s="2">
        <f>MAX(0,L1177-M1177)</f>
        <v/>
      </c>
      <c r="O1177" s="2">
        <f>K1177-N1177</f>
        <v/>
      </c>
      <c r="P1177" s="2">
        <f>I1177-N1177</f>
        <v/>
      </c>
      <c r="Q1177" s="5">
        <f>IF(G1177&gt;기준일,1,0)</f>
        <v/>
      </c>
      <c r="R1177" s="5">
        <f>IF(G1177&lt;=기준일,1,0)</f>
        <v/>
      </c>
      <c r="S1177" s="2">
        <f>J1177*H1177</f>
        <v/>
      </c>
      <c r="T1177" s="5">
        <f>IF(AND(F1177&gt;=표본시작,F1177&lt;=표본종료),1,0)</f>
        <v/>
      </c>
      <c r="U1177" s="5">
        <f>IF(AND(G1177&gt;=조회시작,G1177&lt;=조회종료),1,0)</f>
        <v/>
      </c>
    </row>
    <row r="1178">
      <c r="A1178" s="2">
        <f>ROW()-1</f>
        <v/>
      </c>
      <c r="B1178" s="5">
        <f>INDEX(상호범위,D1178)</f>
        <v/>
      </c>
      <c r="C1178" s="5">
        <f>INDEX(플랫폼명범위,E1178)</f>
        <v/>
      </c>
      <c r="D1178" s="2">
        <f>MOD(INT((A1178-1)/4),8)+1</f>
        <v/>
      </c>
      <c r="E1178" s="2">
        <f>MOD(A1178-1,4)+1</f>
        <v/>
      </c>
      <c r="F1178" s="20">
        <f>축시작+INT((A1178-1)/32)</f>
        <v/>
      </c>
      <c r="G1178" s="20">
        <f>F1178+H1178</f>
        <v/>
      </c>
      <c r="H1178" s="5" t="n">
        <v>2</v>
      </c>
      <c r="I1178" s="2">
        <f>ROUND(INDEX(가맹점!$P$2:$P$9,D1178)*INDEX(가맹점!$J$2:$M$9,D1178,E1178),0)</f>
        <v/>
      </c>
      <c r="J1178" s="2">
        <f>ROUND(I1178*(1-할인율),0)</f>
        <v/>
      </c>
      <c r="K1178" s="2">
        <f>ROUNDDOWN(I1178*할인율,0)</f>
        <v/>
      </c>
      <c r="L1178" s="2">
        <f>ROUND(I1178*INDEX(미지급률범위,E1178),0)</f>
        <v/>
      </c>
      <c r="M1178" s="2">
        <f>ROUND(I1178*INDEX(과지급률범위,E1178),0)</f>
        <v/>
      </c>
      <c r="N1178" s="2">
        <f>MAX(0,L1178-M1178)</f>
        <v/>
      </c>
      <c r="O1178" s="2">
        <f>K1178-N1178</f>
        <v/>
      </c>
      <c r="P1178" s="2">
        <f>I1178-N1178</f>
        <v/>
      </c>
      <c r="Q1178" s="5">
        <f>IF(G1178&gt;기준일,1,0)</f>
        <v/>
      </c>
      <c r="R1178" s="5">
        <f>IF(G1178&lt;=기준일,1,0)</f>
        <v/>
      </c>
      <c r="S1178" s="2">
        <f>J1178*H1178</f>
        <v/>
      </c>
      <c r="T1178" s="5">
        <f>IF(AND(F1178&gt;=표본시작,F1178&lt;=표본종료),1,0)</f>
        <v/>
      </c>
      <c r="U1178" s="5">
        <f>IF(AND(G1178&gt;=조회시작,G1178&lt;=조회종료),1,0)</f>
        <v/>
      </c>
    </row>
    <row r="1179">
      <c r="A1179" s="2">
        <f>ROW()-1</f>
        <v/>
      </c>
      <c r="B1179" s="5">
        <f>INDEX(상호범위,D1179)</f>
        <v/>
      </c>
      <c r="C1179" s="5">
        <f>INDEX(플랫폼명범위,E1179)</f>
        <v/>
      </c>
      <c r="D1179" s="2">
        <f>MOD(INT((A1179-1)/4),8)+1</f>
        <v/>
      </c>
      <c r="E1179" s="2">
        <f>MOD(A1179-1,4)+1</f>
        <v/>
      </c>
      <c r="F1179" s="20">
        <f>축시작+INT((A1179-1)/32)</f>
        <v/>
      </c>
      <c r="G1179" s="20">
        <f>F1179+H1179</f>
        <v/>
      </c>
      <c r="H1179" s="5" t="n">
        <v>5</v>
      </c>
      <c r="I1179" s="2">
        <f>ROUND(INDEX(가맹점!$P$2:$P$9,D1179)*INDEX(가맹점!$J$2:$M$9,D1179,E1179),0)</f>
        <v/>
      </c>
      <c r="J1179" s="2">
        <f>ROUND(I1179*(1-할인율),0)</f>
        <v/>
      </c>
      <c r="K1179" s="2">
        <f>ROUNDDOWN(I1179*할인율,0)</f>
        <v/>
      </c>
      <c r="L1179" s="2">
        <f>ROUND(I1179*INDEX(미지급률범위,E1179),0)</f>
        <v/>
      </c>
      <c r="M1179" s="2">
        <f>ROUND(I1179*INDEX(과지급률범위,E1179),0)</f>
        <v/>
      </c>
      <c r="N1179" s="2">
        <f>MAX(0,L1179-M1179)</f>
        <v/>
      </c>
      <c r="O1179" s="2">
        <f>K1179-N1179</f>
        <v/>
      </c>
      <c r="P1179" s="2">
        <f>I1179-N1179</f>
        <v/>
      </c>
      <c r="Q1179" s="5">
        <f>IF(G1179&gt;기준일,1,0)</f>
        <v/>
      </c>
      <c r="R1179" s="5">
        <f>IF(G1179&lt;=기준일,1,0)</f>
        <v/>
      </c>
      <c r="S1179" s="2">
        <f>J1179*H1179</f>
        <v/>
      </c>
      <c r="T1179" s="5">
        <f>IF(AND(F1179&gt;=표본시작,F1179&lt;=표본종료),1,0)</f>
        <v/>
      </c>
      <c r="U1179" s="5">
        <f>IF(AND(G1179&gt;=조회시작,G1179&lt;=조회종료),1,0)</f>
        <v/>
      </c>
    </row>
    <row r="1180">
      <c r="A1180" s="2">
        <f>ROW()-1</f>
        <v/>
      </c>
      <c r="B1180" s="5">
        <f>INDEX(상호범위,D1180)</f>
        <v/>
      </c>
      <c r="C1180" s="5">
        <f>INDEX(플랫폼명범위,E1180)</f>
        <v/>
      </c>
      <c r="D1180" s="2">
        <f>MOD(INT((A1180-1)/4),8)+1</f>
        <v/>
      </c>
      <c r="E1180" s="2">
        <f>MOD(A1180-1,4)+1</f>
        <v/>
      </c>
      <c r="F1180" s="20">
        <f>축시작+INT((A1180-1)/32)</f>
        <v/>
      </c>
      <c r="G1180" s="20">
        <f>F1180+H1180</f>
        <v/>
      </c>
      <c r="H1180" s="5" t="n">
        <v>6</v>
      </c>
      <c r="I1180" s="2">
        <f>ROUND(INDEX(가맹점!$P$2:$P$9,D1180)*INDEX(가맹점!$J$2:$M$9,D1180,E1180),0)</f>
        <v/>
      </c>
      <c r="J1180" s="2">
        <f>ROUND(I1180*(1-할인율),0)</f>
        <v/>
      </c>
      <c r="K1180" s="2">
        <f>ROUNDDOWN(I1180*할인율,0)</f>
        <v/>
      </c>
      <c r="L1180" s="2">
        <f>ROUND(I1180*INDEX(미지급률범위,E1180),0)</f>
        <v/>
      </c>
      <c r="M1180" s="2">
        <f>ROUND(I1180*INDEX(과지급률범위,E1180),0)</f>
        <v/>
      </c>
      <c r="N1180" s="2">
        <f>MAX(0,L1180-M1180)</f>
        <v/>
      </c>
      <c r="O1180" s="2">
        <f>K1180-N1180</f>
        <v/>
      </c>
      <c r="P1180" s="2">
        <f>I1180-N1180</f>
        <v/>
      </c>
      <c r="Q1180" s="5">
        <f>IF(G1180&gt;기준일,1,0)</f>
        <v/>
      </c>
      <c r="R1180" s="5">
        <f>IF(G1180&lt;=기준일,1,0)</f>
        <v/>
      </c>
      <c r="S1180" s="2">
        <f>J1180*H1180</f>
        <v/>
      </c>
      <c r="T1180" s="5">
        <f>IF(AND(F1180&gt;=표본시작,F1180&lt;=표본종료),1,0)</f>
        <v/>
      </c>
      <c r="U1180" s="5">
        <f>IF(AND(G1180&gt;=조회시작,G1180&lt;=조회종료),1,0)</f>
        <v/>
      </c>
    </row>
    <row r="1181">
      <c r="A1181" s="2">
        <f>ROW()-1</f>
        <v/>
      </c>
      <c r="B1181" s="5">
        <f>INDEX(상호범위,D1181)</f>
        <v/>
      </c>
      <c r="C1181" s="5">
        <f>INDEX(플랫폼명범위,E1181)</f>
        <v/>
      </c>
      <c r="D1181" s="2">
        <f>MOD(INT((A1181-1)/4),8)+1</f>
        <v/>
      </c>
      <c r="E1181" s="2">
        <f>MOD(A1181-1,4)+1</f>
        <v/>
      </c>
      <c r="F1181" s="20">
        <f>축시작+INT((A1181-1)/32)</f>
        <v/>
      </c>
      <c r="G1181" s="20">
        <f>F1181+H1181</f>
        <v/>
      </c>
      <c r="H1181" s="5" t="n">
        <v>8</v>
      </c>
      <c r="I1181" s="2">
        <f>ROUND(INDEX(가맹점!$P$2:$P$9,D1181)*INDEX(가맹점!$J$2:$M$9,D1181,E1181),0)</f>
        <v/>
      </c>
      <c r="J1181" s="2">
        <f>ROUND(I1181*(1-할인율),0)</f>
        <v/>
      </c>
      <c r="K1181" s="2">
        <f>ROUNDDOWN(I1181*할인율,0)</f>
        <v/>
      </c>
      <c r="L1181" s="2">
        <f>ROUND(I1181*INDEX(미지급률범위,E1181),0)</f>
        <v/>
      </c>
      <c r="M1181" s="2">
        <f>ROUND(I1181*INDEX(과지급률범위,E1181),0)</f>
        <v/>
      </c>
      <c r="N1181" s="2">
        <f>MAX(0,L1181-M1181)</f>
        <v/>
      </c>
      <c r="O1181" s="2">
        <f>K1181-N1181</f>
        <v/>
      </c>
      <c r="P1181" s="2">
        <f>I1181-N1181</f>
        <v/>
      </c>
      <c r="Q1181" s="5">
        <f>IF(G1181&gt;기준일,1,0)</f>
        <v/>
      </c>
      <c r="R1181" s="5">
        <f>IF(G1181&lt;=기준일,1,0)</f>
        <v/>
      </c>
      <c r="S1181" s="2">
        <f>J1181*H1181</f>
        <v/>
      </c>
      <c r="T1181" s="5">
        <f>IF(AND(F1181&gt;=표본시작,F1181&lt;=표본종료),1,0)</f>
        <v/>
      </c>
      <c r="U1181" s="5">
        <f>IF(AND(G1181&gt;=조회시작,G1181&lt;=조회종료),1,0)</f>
        <v/>
      </c>
    </row>
    <row r="1182">
      <c r="A1182" s="2">
        <f>ROW()-1</f>
        <v/>
      </c>
      <c r="B1182" s="5">
        <f>INDEX(상호범위,D1182)</f>
        <v/>
      </c>
      <c r="C1182" s="5">
        <f>INDEX(플랫폼명범위,E1182)</f>
        <v/>
      </c>
      <c r="D1182" s="2">
        <f>MOD(INT((A1182-1)/4),8)+1</f>
        <v/>
      </c>
      <c r="E1182" s="2">
        <f>MOD(A1182-1,4)+1</f>
        <v/>
      </c>
      <c r="F1182" s="20">
        <f>축시작+INT((A1182-1)/32)</f>
        <v/>
      </c>
      <c r="G1182" s="20">
        <f>F1182+H1182</f>
        <v/>
      </c>
      <c r="H1182" s="5" t="n">
        <v>3</v>
      </c>
      <c r="I1182" s="2">
        <f>ROUND(INDEX(가맹점!$P$2:$P$9,D1182)*INDEX(가맹점!$J$2:$M$9,D1182,E1182),0)</f>
        <v/>
      </c>
      <c r="J1182" s="2">
        <f>ROUND(I1182*(1-할인율),0)</f>
        <v/>
      </c>
      <c r="K1182" s="2">
        <f>ROUNDDOWN(I1182*할인율,0)</f>
        <v/>
      </c>
      <c r="L1182" s="2">
        <f>ROUND(I1182*INDEX(미지급률범위,E1182),0)</f>
        <v/>
      </c>
      <c r="M1182" s="2">
        <f>ROUND(I1182*INDEX(과지급률범위,E1182),0)</f>
        <v/>
      </c>
      <c r="N1182" s="2">
        <f>MAX(0,L1182-M1182)</f>
        <v/>
      </c>
      <c r="O1182" s="2">
        <f>K1182-N1182</f>
        <v/>
      </c>
      <c r="P1182" s="2">
        <f>I1182-N1182</f>
        <v/>
      </c>
      <c r="Q1182" s="5">
        <f>IF(G1182&gt;기준일,1,0)</f>
        <v/>
      </c>
      <c r="R1182" s="5">
        <f>IF(G1182&lt;=기준일,1,0)</f>
        <v/>
      </c>
      <c r="S1182" s="2">
        <f>J1182*H1182</f>
        <v/>
      </c>
      <c r="T1182" s="5">
        <f>IF(AND(F1182&gt;=표본시작,F1182&lt;=표본종료),1,0)</f>
        <v/>
      </c>
      <c r="U1182" s="5">
        <f>IF(AND(G1182&gt;=조회시작,G1182&lt;=조회종료),1,0)</f>
        <v/>
      </c>
    </row>
    <row r="1183">
      <c r="A1183" s="2">
        <f>ROW()-1</f>
        <v/>
      </c>
      <c r="B1183" s="5">
        <f>INDEX(상호범위,D1183)</f>
        <v/>
      </c>
      <c r="C1183" s="5">
        <f>INDEX(플랫폼명범위,E1183)</f>
        <v/>
      </c>
      <c r="D1183" s="2">
        <f>MOD(INT((A1183-1)/4),8)+1</f>
        <v/>
      </c>
      <c r="E1183" s="2">
        <f>MOD(A1183-1,4)+1</f>
        <v/>
      </c>
      <c r="F1183" s="20">
        <f>축시작+INT((A1183-1)/32)</f>
        <v/>
      </c>
      <c r="G1183" s="20">
        <f>F1183+H1183</f>
        <v/>
      </c>
      <c r="H1183" s="5" t="n">
        <v>3</v>
      </c>
      <c r="I1183" s="2">
        <f>ROUND(INDEX(가맹점!$P$2:$P$9,D1183)*INDEX(가맹점!$J$2:$M$9,D1183,E1183),0)</f>
        <v/>
      </c>
      <c r="J1183" s="2">
        <f>ROUND(I1183*(1-할인율),0)</f>
        <v/>
      </c>
      <c r="K1183" s="2">
        <f>ROUNDDOWN(I1183*할인율,0)</f>
        <v/>
      </c>
      <c r="L1183" s="2">
        <f>ROUND(I1183*INDEX(미지급률범위,E1183),0)</f>
        <v/>
      </c>
      <c r="M1183" s="2">
        <f>ROUND(I1183*INDEX(과지급률범위,E1183),0)</f>
        <v/>
      </c>
      <c r="N1183" s="2">
        <f>MAX(0,L1183-M1183)</f>
        <v/>
      </c>
      <c r="O1183" s="2">
        <f>K1183-N1183</f>
        <v/>
      </c>
      <c r="P1183" s="2">
        <f>I1183-N1183</f>
        <v/>
      </c>
      <c r="Q1183" s="5">
        <f>IF(G1183&gt;기준일,1,0)</f>
        <v/>
      </c>
      <c r="R1183" s="5">
        <f>IF(G1183&lt;=기준일,1,0)</f>
        <v/>
      </c>
      <c r="S1183" s="2">
        <f>J1183*H1183</f>
        <v/>
      </c>
      <c r="T1183" s="5">
        <f>IF(AND(F1183&gt;=표본시작,F1183&lt;=표본종료),1,0)</f>
        <v/>
      </c>
      <c r="U1183" s="5">
        <f>IF(AND(G1183&gt;=조회시작,G1183&lt;=조회종료),1,0)</f>
        <v/>
      </c>
    </row>
    <row r="1184">
      <c r="A1184" s="2">
        <f>ROW()-1</f>
        <v/>
      </c>
      <c r="B1184" s="5">
        <f>INDEX(상호범위,D1184)</f>
        <v/>
      </c>
      <c r="C1184" s="5">
        <f>INDEX(플랫폼명범위,E1184)</f>
        <v/>
      </c>
      <c r="D1184" s="2">
        <f>MOD(INT((A1184-1)/4),8)+1</f>
        <v/>
      </c>
      <c r="E1184" s="2">
        <f>MOD(A1184-1,4)+1</f>
        <v/>
      </c>
      <c r="F1184" s="20">
        <f>축시작+INT((A1184-1)/32)</f>
        <v/>
      </c>
      <c r="G1184" s="20">
        <f>F1184+H1184</f>
        <v/>
      </c>
      <c r="H1184" s="5" t="n">
        <v>6</v>
      </c>
      <c r="I1184" s="2">
        <f>ROUND(INDEX(가맹점!$P$2:$P$9,D1184)*INDEX(가맹점!$J$2:$M$9,D1184,E1184),0)</f>
        <v/>
      </c>
      <c r="J1184" s="2">
        <f>ROUND(I1184*(1-할인율),0)</f>
        <v/>
      </c>
      <c r="K1184" s="2">
        <f>ROUNDDOWN(I1184*할인율,0)</f>
        <v/>
      </c>
      <c r="L1184" s="2">
        <f>ROUND(I1184*INDEX(미지급률범위,E1184),0)</f>
        <v/>
      </c>
      <c r="M1184" s="2">
        <f>ROUND(I1184*INDEX(과지급률범위,E1184),0)</f>
        <v/>
      </c>
      <c r="N1184" s="2">
        <f>MAX(0,L1184-M1184)</f>
        <v/>
      </c>
      <c r="O1184" s="2">
        <f>K1184-N1184</f>
        <v/>
      </c>
      <c r="P1184" s="2">
        <f>I1184-N1184</f>
        <v/>
      </c>
      <c r="Q1184" s="5">
        <f>IF(G1184&gt;기준일,1,0)</f>
        <v/>
      </c>
      <c r="R1184" s="5">
        <f>IF(G1184&lt;=기준일,1,0)</f>
        <v/>
      </c>
      <c r="S1184" s="2">
        <f>J1184*H1184</f>
        <v/>
      </c>
      <c r="T1184" s="5">
        <f>IF(AND(F1184&gt;=표본시작,F1184&lt;=표본종료),1,0)</f>
        <v/>
      </c>
      <c r="U1184" s="5">
        <f>IF(AND(G1184&gt;=조회시작,G1184&lt;=조회종료),1,0)</f>
        <v/>
      </c>
    </row>
    <row r="1185">
      <c r="A1185" s="2">
        <f>ROW()-1</f>
        <v/>
      </c>
      <c r="B1185" s="5">
        <f>INDEX(상호범위,D1185)</f>
        <v/>
      </c>
      <c r="C1185" s="5">
        <f>INDEX(플랫폼명범위,E1185)</f>
        <v/>
      </c>
      <c r="D1185" s="2">
        <f>MOD(INT((A1185-1)/4),8)+1</f>
        <v/>
      </c>
      <c r="E1185" s="2">
        <f>MOD(A1185-1,4)+1</f>
        <v/>
      </c>
      <c r="F1185" s="20">
        <f>축시작+INT((A1185-1)/32)</f>
        <v/>
      </c>
      <c r="G1185" s="20">
        <f>F1185+H1185</f>
        <v/>
      </c>
      <c r="H1185" s="5" t="n">
        <v>6</v>
      </c>
      <c r="I1185" s="2">
        <f>ROUND(INDEX(가맹점!$P$2:$P$9,D1185)*INDEX(가맹점!$J$2:$M$9,D1185,E1185),0)</f>
        <v/>
      </c>
      <c r="J1185" s="2">
        <f>ROUND(I1185*(1-할인율),0)</f>
        <v/>
      </c>
      <c r="K1185" s="2">
        <f>ROUNDDOWN(I1185*할인율,0)</f>
        <v/>
      </c>
      <c r="L1185" s="2">
        <f>ROUND(I1185*INDEX(미지급률범위,E1185),0)</f>
        <v/>
      </c>
      <c r="M1185" s="2">
        <f>ROUND(I1185*INDEX(과지급률범위,E1185),0)</f>
        <v/>
      </c>
      <c r="N1185" s="2">
        <f>MAX(0,L1185-M1185)</f>
        <v/>
      </c>
      <c r="O1185" s="2">
        <f>K1185-N1185</f>
        <v/>
      </c>
      <c r="P1185" s="2">
        <f>I1185-N1185</f>
        <v/>
      </c>
      <c r="Q1185" s="5">
        <f>IF(G1185&gt;기준일,1,0)</f>
        <v/>
      </c>
      <c r="R1185" s="5">
        <f>IF(G1185&lt;=기준일,1,0)</f>
        <v/>
      </c>
      <c r="S1185" s="2">
        <f>J1185*H1185</f>
        <v/>
      </c>
      <c r="T1185" s="5">
        <f>IF(AND(F1185&gt;=표본시작,F1185&lt;=표본종료),1,0)</f>
        <v/>
      </c>
      <c r="U1185" s="5">
        <f>IF(AND(G1185&gt;=조회시작,G1185&lt;=조회종료),1,0)</f>
        <v/>
      </c>
    </row>
    <row r="1186">
      <c r="A1186" s="2">
        <f>ROW()-1</f>
        <v/>
      </c>
      <c r="B1186" s="5">
        <f>INDEX(상호범위,D1186)</f>
        <v/>
      </c>
      <c r="C1186" s="5">
        <f>INDEX(플랫폼명범위,E1186)</f>
        <v/>
      </c>
      <c r="D1186" s="2">
        <f>MOD(INT((A1186-1)/4),8)+1</f>
        <v/>
      </c>
      <c r="E1186" s="2">
        <f>MOD(A1186-1,4)+1</f>
        <v/>
      </c>
      <c r="F1186" s="20">
        <f>축시작+INT((A1186-1)/32)</f>
        <v/>
      </c>
      <c r="G1186" s="20">
        <f>F1186+H1186</f>
        <v/>
      </c>
      <c r="H1186" s="5" t="n">
        <v>2</v>
      </c>
      <c r="I1186" s="2">
        <f>ROUND(INDEX(가맹점!$P$2:$P$9,D1186)*INDEX(가맹점!$J$2:$M$9,D1186,E1186),0)</f>
        <v/>
      </c>
      <c r="J1186" s="2">
        <f>ROUND(I1186*(1-할인율),0)</f>
        <v/>
      </c>
      <c r="K1186" s="2">
        <f>ROUNDDOWN(I1186*할인율,0)</f>
        <v/>
      </c>
      <c r="L1186" s="2">
        <f>ROUND(I1186*INDEX(미지급률범위,E1186),0)</f>
        <v/>
      </c>
      <c r="M1186" s="2">
        <f>ROUND(I1186*INDEX(과지급률범위,E1186),0)</f>
        <v/>
      </c>
      <c r="N1186" s="2">
        <f>MAX(0,L1186-M1186)</f>
        <v/>
      </c>
      <c r="O1186" s="2">
        <f>K1186-N1186</f>
        <v/>
      </c>
      <c r="P1186" s="2">
        <f>I1186-N1186</f>
        <v/>
      </c>
      <c r="Q1186" s="5">
        <f>IF(G1186&gt;기준일,1,0)</f>
        <v/>
      </c>
      <c r="R1186" s="5">
        <f>IF(G1186&lt;=기준일,1,0)</f>
        <v/>
      </c>
      <c r="S1186" s="2">
        <f>J1186*H1186</f>
        <v/>
      </c>
      <c r="T1186" s="5">
        <f>IF(AND(F1186&gt;=표본시작,F1186&lt;=표본종료),1,0)</f>
        <v/>
      </c>
      <c r="U1186" s="5">
        <f>IF(AND(G1186&gt;=조회시작,G1186&lt;=조회종료),1,0)</f>
        <v/>
      </c>
    </row>
    <row r="1187">
      <c r="A1187" s="2">
        <f>ROW()-1</f>
        <v/>
      </c>
      <c r="B1187" s="5">
        <f>INDEX(상호범위,D1187)</f>
        <v/>
      </c>
      <c r="C1187" s="5">
        <f>INDEX(플랫폼명범위,E1187)</f>
        <v/>
      </c>
      <c r="D1187" s="2">
        <f>MOD(INT((A1187-1)/4),8)+1</f>
        <v/>
      </c>
      <c r="E1187" s="2">
        <f>MOD(A1187-1,4)+1</f>
        <v/>
      </c>
      <c r="F1187" s="20">
        <f>축시작+INT((A1187-1)/32)</f>
        <v/>
      </c>
      <c r="G1187" s="20">
        <f>F1187+H1187</f>
        <v/>
      </c>
      <c r="H1187" s="5" t="n">
        <v>4</v>
      </c>
      <c r="I1187" s="2">
        <f>ROUND(INDEX(가맹점!$P$2:$P$9,D1187)*INDEX(가맹점!$J$2:$M$9,D1187,E1187),0)</f>
        <v/>
      </c>
      <c r="J1187" s="2">
        <f>ROUND(I1187*(1-할인율),0)</f>
        <v/>
      </c>
      <c r="K1187" s="2">
        <f>ROUNDDOWN(I1187*할인율,0)</f>
        <v/>
      </c>
      <c r="L1187" s="2">
        <f>ROUND(I1187*INDEX(미지급률범위,E1187),0)</f>
        <v/>
      </c>
      <c r="M1187" s="2">
        <f>ROUND(I1187*INDEX(과지급률범위,E1187),0)</f>
        <v/>
      </c>
      <c r="N1187" s="2">
        <f>MAX(0,L1187-M1187)</f>
        <v/>
      </c>
      <c r="O1187" s="2">
        <f>K1187-N1187</f>
        <v/>
      </c>
      <c r="P1187" s="2">
        <f>I1187-N1187</f>
        <v/>
      </c>
      <c r="Q1187" s="5">
        <f>IF(G1187&gt;기준일,1,0)</f>
        <v/>
      </c>
      <c r="R1187" s="5">
        <f>IF(G1187&lt;=기준일,1,0)</f>
        <v/>
      </c>
      <c r="S1187" s="2">
        <f>J1187*H1187</f>
        <v/>
      </c>
      <c r="T1187" s="5">
        <f>IF(AND(F1187&gt;=표본시작,F1187&lt;=표본종료),1,0)</f>
        <v/>
      </c>
      <c r="U1187" s="5">
        <f>IF(AND(G1187&gt;=조회시작,G1187&lt;=조회종료),1,0)</f>
        <v/>
      </c>
    </row>
    <row r="1188">
      <c r="A1188" s="2">
        <f>ROW()-1</f>
        <v/>
      </c>
      <c r="B1188" s="5">
        <f>INDEX(상호범위,D1188)</f>
        <v/>
      </c>
      <c r="C1188" s="5">
        <f>INDEX(플랫폼명범위,E1188)</f>
        <v/>
      </c>
      <c r="D1188" s="2">
        <f>MOD(INT((A1188-1)/4),8)+1</f>
        <v/>
      </c>
      <c r="E1188" s="2">
        <f>MOD(A1188-1,4)+1</f>
        <v/>
      </c>
      <c r="F1188" s="20">
        <f>축시작+INT((A1188-1)/32)</f>
        <v/>
      </c>
      <c r="G1188" s="20">
        <f>F1188+H1188</f>
        <v/>
      </c>
      <c r="H1188" s="5" t="n">
        <v>5</v>
      </c>
      <c r="I1188" s="2">
        <f>ROUND(INDEX(가맹점!$P$2:$P$9,D1188)*INDEX(가맹점!$J$2:$M$9,D1188,E1188),0)</f>
        <v/>
      </c>
      <c r="J1188" s="2">
        <f>ROUND(I1188*(1-할인율),0)</f>
        <v/>
      </c>
      <c r="K1188" s="2">
        <f>ROUNDDOWN(I1188*할인율,0)</f>
        <v/>
      </c>
      <c r="L1188" s="2">
        <f>ROUND(I1188*INDEX(미지급률범위,E1188),0)</f>
        <v/>
      </c>
      <c r="M1188" s="2">
        <f>ROUND(I1188*INDEX(과지급률범위,E1188),0)</f>
        <v/>
      </c>
      <c r="N1188" s="2">
        <f>MAX(0,L1188-M1188)</f>
        <v/>
      </c>
      <c r="O1188" s="2">
        <f>K1188-N1188</f>
        <v/>
      </c>
      <c r="P1188" s="2">
        <f>I1188-N1188</f>
        <v/>
      </c>
      <c r="Q1188" s="5">
        <f>IF(G1188&gt;기준일,1,0)</f>
        <v/>
      </c>
      <c r="R1188" s="5">
        <f>IF(G1188&lt;=기준일,1,0)</f>
        <v/>
      </c>
      <c r="S1188" s="2">
        <f>J1188*H1188</f>
        <v/>
      </c>
      <c r="T1188" s="5">
        <f>IF(AND(F1188&gt;=표본시작,F1188&lt;=표본종료),1,0)</f>
        <v/>
      </c>
      <c r="U1188" s="5">
        <f>IF(AND(G1188&gt;=조회시작,G1188&lt;=조회종료),1,0)</f>
        <v/>
      </c>
    </row>
    <row r="1189">
      <c r="A1189" s="2">
        <f>ROW()-1</f>
        <v/>
      </c>
      <c r="B1189" s="5">
        <f>INDEX(상호범위,D1189)</f>
        <v/>
      </c>
      <c r="C1189" s="5">
        <f>INDEX(플랫폼명범위,E1189)</f>
        <v/>
      </c>
      <c r="D1189" s="2">
        <f>MOD(INT((A1189-1)/4),8)+1</f>
        <v/>
      </c>
      <c r="E1189" s="2">
        <f>MOD(A1189-1,4)+1</f>
        <v/>
      </c>
      <c r="F1189" s="20">
        <f>축시작+INT((A1189-1)/32)</f>
        <v/>
      </c>
      <c r="G1189" s="20">
        <f>F1189+H1189</f>
        <v/>
      </c>
      <c r="H1189" s="5" t="n">
        <v>6</v>
      </c>
      <c r="I1189" s="2">
        <f>ROUND(INDEX(가맹점!$P$2:$P$9,D1189)*INDEX(가맹점!$J$2:$M$9,D1189,E1189),0)</f>
        <v/>
      </c>
      <c r="J1189" s="2">
        <f>ROUND(I1189*(1-할인율),0)</f>
        <v/>
      </c>
      <c r="K1189" s="2">
        <f>ROUNDDOWN(I1189*할인율,0)</f>
        <v/>
      </c>
      <c r="L1189" s="2">
        <f>ROUND(I1189*INDEX(미지급률범위,E1189),0)</f>
        <v/>
      </c>
      <c r="M1189" s="2">
        <f>ROUND(I1189*INDEX(과지급률범위,E1189),0)</f>
        <v/>
      </c>
      <c r="N1189" s="2">
        <f>MAX(0,L1189-M1189)</f>
        <v/>
      </c>
      <c r="O1189" s="2">
        <f>K1189-N1189</f>
        <v/>
      </c>
      <c r="P1189" s="2">
        <f>I1189-N1189</f>
        <v/>
      </c>
      <c r="Q1189" s="5">
        <f>IF(G1189&gt;기준일,1,0)</f>
        <v/>
      </c>
      <c r="R1189" s="5">
        <f>IF(G1189&lt;=기준일,1,0)</f>
        <v/>
      </c>
      <c r="S1189" s="2">
        <f>J1189*H1189</f>
        <v/>
      </c>
      <c r="T1189" s="5">
        <f>IF(AND(F1189&gt;=표본시작,F1189&lt;=표본종료),1,0)</f>
        <v/>
      </c>
      <c r="U1189" s="5">
        <f>IF(AND(G1189&gt;=조회시작,G1189&lt;=조회종료),1,0)</f>
        <v/>
      </c>
    </row>
    <row r="1190">
      <c r="A1190" s="2">
        <f>ROW()-1</f>
        <v/>
      </c>
      <c r="B1190" s="5">
        <f>INDEX(상호범위,D1190)</f>
        <v/>
      </c>
      <c r="C1190" s="5">
        <f>INDEX(플랫폼명범위,E1190)</f>
        <v/>
      </c>
      <c r="D1190" s="2">
        <f>MOD(INT((A1190-1)/4),8)+1</f>
        <v/>
      </c>
      <c r="E1190" s="2">
        <f>MOD(A1190-1,4)+1</f>
        <v/>
      </c>
      <c r="F1190" s="20">
        <f>축시작+INT((A1190-1)/32)</f>
        <v/>
      </c>
      <c r="G1190" s="20">
        <f>F1190+H1190</f>
        <v/>
      </c>
      <c r="H1190" s="5" t="n">
        <v>6</v>
      </c>
      <c r="I1190" s="2">
        <f>ROUND(INDEX(가맹점!$P$2:$P$9,D1190)*INDEX(가맹점!$J$2:$M$9,D1190,E1190),0)</f>
        <v/>
      </c>
      <c r="J1190" s="2">
        <f>ROUND(I1190*(1-할인율),0)</f>
        <v/>
      </c>
      <c r="K1190" s="2">
        <f>ROUNDDOWN(I1190*할인율,0)</f>
        <v/>
      </c>
      <c r="L1190" s="2">
        <f>ROUND(I1190*INDEX(미지급률범위,E1190),0)</f>
        <v/>
      </c>
      <c r="M1190" s="2">
        <f>ROUND(I1190*INDEX(과지급률범위,E1190),0)</f>
        <v/>
      </c>
      <c r="N1190" s="2">
        <f>MAX(0,L1190-M1190)</f>
        <v/>
      </c>
      <c r="O1190" s="2">
        <f>K1190-N1190</f>
        <v/>
      </c>
      <c r="P1190" s="2">
        <f>I1190-N1190</f>
        <v/>
      </c>
      <c r="Q1190" s="5">
        <f>IF(G1190&gt;기준일,1,0)</f>
        <v/>
      </c>
      <c r="R1190" s="5">
        <f>IF(G1190&lt;=기준일,1,0)</f>
        <v/>
      </c>
      <c r="S1190" s="2">
        <f>J1190*H1190</f>
        <v/>
      </c>
      <c r="T1190" s="5">
        <f>IF(AND(F1190&gt;=표본시작,F1190&lt;=표본종료),1,0)</f>
        <v/>
      </c>
      <c r="U1190" s="5">
        <f>IF(AND(G1190&gt;=조회시작,G1190&lt;=조회종료),1,0)</f>
        <v/>
      </c>
    </row>
    <row r="1191">
      <c r="A1191" s="2">
        <f>ROW()-1</f>
        <v/>
      </c>
      <c r="B1191" s="5">
        <f>INDEX(상호범위,D1191)</f>
        <v/>
      </c>
      <c r="C1191" s="5">
        <f>INDEX(플랫폼명범위,E1191)</f>
        <v/>
      </c>
      <c r="D1191" s="2">
        <f>MOD(INT((A1191-1)/4),8)+1</f>
        <v/>
      </c>
      <c r="E1191" s="2">
        <f>MOD(A1191-1,4)+1</f>
        <v/>
      </c>
      <c r="F1191" s="20">
        <f>축시작+INT((A1191-1)/32)</f>
        <v/>
      </c>
      <c r="G1191" s="20">
        <f>F1191+H1191</f>
        <v/>
      </c>
      <c r="H1191" s="5" t="n">
        <v>2</v>
      </c>
      <c r="I1191" s="2">
        <f>ROUND(INDEX(가맹점!$P$2:$P$9,D1191)*INDEX(가맹점!$J$2:$M$9,D1191,E1191),0)</f>
        <v/>
      </c>
      <c r="J1191" s="2">
        <f>ROUND(I1191*(1-할인율),0)</f>
        <v/>
      </c>
      <c r="K1191" s="2">
        <f>ROUNDDOWN(I1191*할인율,0)</f>
        <v/>
      </c>
      <c r="L1191" s="2">
        <f>ROUND(I1191*INDEX(미지급률범위,E1191),0)</f>
        <v/>
      </c>
      <c r="M1191" s="2">
        <f>ROUND(I1191*INDEX(과지급률범위,E1191),0)</f>
        <v/>
      </c>
      <c r="N1191" s="2">
        <f>MAX(0,L1191-M1191)</f>
        <v/>
      </c>
      <c r="O1191" s="2">
        <f>K1191-N1191</f>
        <v/>
      </c>
      <c r="P1191" s="2">
        <f>I1191-N1191</f>
        <v/>
      </c>
      <c r="Q1191" s="5">
        <f>IF(G1191&gt;기준일,1,0)</f>
        <v/>
      </c>
      <c r="R1191" s="5">
        <f>IF(G1191&lt;=기준일,1,0)</f>
        <v/>
      </c>
      <c r="S1191" s="2">
        <f>J1191*H1191</f>
        <v/>
      </c>
      <c r="T1191" s="5">
        <f>IF(AND(F1191&gt;=표본시작,F1191&lt;=표본종료),1,0)</f>
        <v/>
      </c>
      <c r="U1191" s="5">
        <f>IF(AND(G1191&gt;=조회시작,G1191&lt;=조회종료),1,0)</f>
        <v/>
      </c>
    </row>
    <row r="1192">
      <c r="A1192" s="2">
        <f>ROW()-1</f>
        <v/>
      </c>
      <c r="B1192" s="5">
        <f>INDEX(상호범위,D1192)</f>
        <v/>
      </c>
      <c r="C1192" s="5">
        <f>INDEX(플랫폼명범위,E1192)</f>
        <v/>
      </c>
      <c r="D1192" s="2">
        <f>MOD(INT((A1192-1)/4),8)+1</f>
        <v/>
      </c>
      <c r="E1192" s="2">
        <f>MOD(A1192-1,4)+1</f>
        <v/>
      </c>
      <c r="F1192" s="20">
        <f>축시작+INT((A1192-1)/32)</f>
        <v/>
      </c>
      <c r="G1192" s="20">
        <f>F1192+H1192</f>
        <v/>
      </c>
      <c r="H1192" s="5" t="n">
        <v>5</v>
      </c>
      <c r="I1192" s="2">
        <f>ROUND(INDEX(가맹점!$P$2:$P$9,D1192)*INDEX(가맹점!$J$2:$M$9,D1192,E1192),0)</f>
        <v/>
      </c>
      <c r="J1192" s="2">
        <f>ROUND(I1192*(1-할인율),0)</f>
        <v/>
      </c>
      <c r="K1192" s="2">
        <f>ROUNDDOWN(I1192*할인율,0)</f>
        <v/>
      </c>
      <c r="L1192" s="2">
        <f>ROUND(I1192*INDEX(미지급률범위,E1192),0)</f>
        <v/>
      </c>
      <c r="M1192" s="2">
        <f>ROUND(I1192*INDEX(과지급률범위,E1192),0)</f>
        <v/>
      </c>
      <c r="N1192" s="2">
        <f>MAX(0,L1192-M1192)</f>
        <v/>
      </c>
      <c r="O1192" s="2">
        <f>K1192-N1192</f>
        <v/>
      </c>
      <c r="P1192" s="2">
        <f>I1192-N1192</f>
        <v/>
      </c>
      <c r="Q1192" s="5">
        <f>IF(G1192&gt;기준일,1,0)</f>
        <v/>
      </c>
      <c r="R1192" s="5">
        <f>IF(G1192&lt;=기준일,1,0)</f>
        <v/>
      </c>
      <c r="S1192" s="2">
        <f>J1192*H1192</f>
        <v/>
      </c>
      <c r="T1192" s="5">
        <f>IF(AND(F1192&gt;=표본시작,F1192&lt;=표본종료),1,0)</f>
        <v/>
      </c>
      <c r="U1192" s="5">
        <f>IF(AND(G1192&gt;=조회시작,G1192&lt;=조회종료),1,0)</f>
        <v/>
      </c>
    </row>
    <row r="1193">
      <c r="A1193" s="2">
        <f>ROW()-1</f>
        <v/>
      </c>
      <c r="B1193" s="5">
        <f>INDEX(상호범위,D1193)</f>
        <v/>
      </c>
      <c r="C1193" s="5">
        <f>INDEX(플랫폼명범위,E1193)</f>
        <v/>
      </c>
      <c r="D1193" s="2">
        <f>MOD(INT((A1193-1)/4),8)+1</f>
        <v/>
      </c>
      <c r="E1193" s="2">
        <f>MOD(A1193-1,4)+1</f>
        <v/>
      </c>
      <c r="F1193" s="20">
        <f>축시작+INT((A1193-1)/32)</f>
        <v/>
      </c>
      <c r="G1193" s="20">
        <f>F1193+H1193</f>
        <v/>
      </c>
      <c r="H1193" s="5" t="n">
        <v>6</v>
      </c>
      <c r="I1193" s="2">
        <f>ROUND(INDEX(가맹점!$P$2:$P$9,D1193)*INDEX(가맹점!$J$2:$M$9,D1193,E1193),0)</f>
        <v/>
      </c>
      <c r="J1193" s="2">
        <f>ROUND(I1193*(1-할인율),0)</f>
        <v/>
      </c>
      <c r="K1193" s="2">
        <f>ROUNDDOWN(I1193*할인율,0)</f>
        <v/>
      </c>
      <c r="L1193" s="2">
        <f>ROUND(I1193*INDEX(미지급률범위,E1193),0)</f>
        <v/>
      </c>
      <c r="M1193" s="2">
        <f>ROUND(I1193*INDEX(과지급률범위,E1193),0)</f>
        <v/>
      </c>
      <c r="N1193" s="2">
        <f>MAX(0,L1193-M1193)</f>
        <v/>
      </c>
      <c r="O1193" s="2">
        <f>K1193-N1193</f>
        <v/>
      </c>
      <c r="P1193" s="2">
        <f>I1193-N1193</f>
        <v/>
      </c>
      <c r="Q1193" s="5">
        <f>IF(G1193&gt;기준일,1,0)</f>
        <v/>
      </c>
      <c r="R1193" s="5">
        <f>IF(G1193&lt;=기준일,1,0)</f>
        <v/>
      </c>
      <c r="S1193" s="2">
        <f>J1193*H1193</f>
        <v/>
      </c>
      <c r="T1193" s="5">
        <f>IF(AND(F1193&gt;=표본시작,F1193&lt;=표본종료),1,0)</f>
        <v/>
      </c>
      <c r="U1193" s="5">
        <f>IF(AND(G1193&gt;=조회시작,G1193&lt;=조회종료),1,0)</f>
        <v/>
      </c>
    </row>
    <row r="1194">
      <c r="A1194" s="2">
        <f>ROW()-1</f>
        <v/>
      </c>
      <c r="B1194" s="5">
        <f>INDEX(상호범위,D1194)</f>
        <v/>
      </c>
      <c r="C1194" s="5">
        <f>INDEX(플랫폼명범위,E1194)</f>
        <v/>
      </c>
      <c r="D1194" s="2">
        <f>MOD(INT((A1194-1)/4),8)+1</f>
        <v/>
      </c>
      <c r="E1194" s="2">
        <f>MOD(A1194-1,4)+1</f>
        <v/>
      </c>
      <c r="F1194" s="20">
        <f>축시작+INT((A1194-1)/32)</f>
        <v/>
      </c>
      <c r="G1194" s="20">
        <f>F1194+H1194</f>
        <v/>
      </c>
      <c r="H1194" s="5" t="n">
        <v>2</v>
      </c>
      <c r="I1194" s="2">
        <f>ROUND(INDEX(가맹점!$P$2:$P$9,D1194)*INDEX(가맹점!$J$2:$M$9,D1194,E1194),0)</f>
        <v/>
      </c>
      <c r="J1194" s="2">
        <f>ROUND(I1194*(1-할인율),0)</f>
        <v/>
      </c>
      <c r="K1194" s="2">
        <f>ROUNDDOWN(I1194*할인율,0)</f>
        <v/>
      </c>
      <c r="L1194" s="2">
        <f>ROUND(I1194*INDEX(미지급률범위,E1194),0)</f>
        <v/>
      </c>
      <c r="M1194" s="2">
        <f>ROUND(I1194*INDEX(과지급률범위,E1194),0)</f>
        <v/>
      </c>
      <c r="N1194" s="2">
        <f>MAX(0,L1194-M1194)</f>
        <v/>
      </c>
      <c r="O1194" s="2">
        <f>K1194-N1194</f>
        <v/>
      </c>
      <c r="P1194" s="2">
        <f>I1194-N1194</f>
        <v/>
      </c>
      <c r="Q1194" s="5">
        <f>IF(G1194&gt;기준일,1,0)</f>
        <v/>
      </c>
      <c r="R1194" s="5">
        <f>IF(G1194&lt;=기준일,1,0)</f>
        <v/>
      </c>
      <c r="S1194" s="2">
        <f>J1194*H1194</f>
        <v/>
      </c>
      <c r="T1194" s="5">
        <f>IF(AND(F1194&gt;=표본시작,F1194&lt;=표본종료),1,0)</f>
        <v/>
      </c>
      <c r="U1194" s="5">
        <f>IF(AND(G1194&gt;=조회시작,G1194&lt;=조회종료),1,0)</f>
        <v/>
      </c>
    </row>
    <row r="1195">
      <c r="A1195" s="2">
        <f>ROW()-1</f>
        <v/>
      </c>
      <c r="B1195" s="5">
        <f>INDEX(상호범위,D1195)</f>
        <v/>
      </c>
      <c r="C1195" s="5">
        <f>INDEX(플랫폼명범위,E1195)</f>
        <v/>
      </c>
      <c r="D1195" s="2">
        <f>MOD(INT((A1195-1)/4),8)+1</f>
        <v/>
      </c>
      <c r="E1195" s="2">
        <f>MOD(A1195-1,4)+1</f>
        <v/>
      </c>
      <c r="F1195" s="20">
        <f>축시작+INT((A1195-1)/32)</f>
        <v/>
      </c>
      <c r="G1195" s="20">
        <f>F1195+H1195</f>
        <v/>
      </c>
      <c r="H1195" s="5" t="n">
        <v>2</v>
      </c>
      <c r="I1195" s="2">
        <f>ROUND(INDEX(가맹점!$P$2:$P$9,D1195)*INDEX(가맹점!$J$2:$M$9,D1195,E1195),0)</f>
        <v/>
      </c>
      <c r="J1195" s="2">
        <f>ROUND(I1195*(1-할인율),0)</f>
        <v/>
      </c>
      <c r="K1195" s="2">
        <f>ROUNDDOWN(I1195*할인율,0)</f>
        <v/>
      </c>
      <c r="L1195" s="2">
        <f>ROUND(I1195*INDEX(미지급률범위,E1195),0)</f>
        <v/>
      </c>
      <c r="M1195" s="2">
        <f>ROUND(I1195*INDEX(과지급률범위,E1195),0)</f>
        <v/>
      </c>
      <c r="N1195" s="2">
        <f>MAX(0,L1195-M1195)</f>
        <v/>
      </c>
      <c r="O1195" s="2">
        <f>K1195-N1195</f>
        <v/>
      </c>
      <c r="P1195" s="2">
        <f>I1195-N1195</f>
        <v/>
      </c>
      <c r="Q1195" s="5">
        <f>IF(G1195&gt;기준일,1,0)</f>
        <v/>
      </c>
      <c r="R1195" s="5">
        <f>IF(G1195&lt;=기준일,1,0)</f>
        <v/>
      </c>
      <c r="S1195" s="2">
        <f>J1195*H1195</f>
        <v/>
      </c>
      <c r="T1195" s="5">
        <f>IF(AND(F1195&gt;=표본시작,F1195&lt;=표본종료),1,0)</f>
        <v/>
      </c>
      <c r="U1195" s="5">
        <f>IF(AND(G1195&gt;=조회시작,G1195&lt;=조회종료),1,0)</f>
        <v/>
      </c>
    </row>
    <row r="1196">
      <c r="A1196" s="2">
        <f>ROW()-1</f>
        <v/>
      </c>
      <c r="B1196" s="5">
        <f>INDEX(상호범위,D1196)</f>
        <v/>
      </c>
      <c r="C1196" s="5">
        <f>INDEX(플랫폼명범위,E1196)</f>
        <v/>
      </c>
      <c r="D1196" s="2">
        <f>MOD(INT((A1196-1)/4),8)+1</f>
        <v/>
      </c>
      <c r="E1196" s="2">
        <f>MOD(A1196-1,4)+1</f>
        <v/>
      </c>
      <c r="F1196" s="20">
        <f>축시작+INT((A1196-1)/32)</f>
        <v/>
      </c>
      <c r="G1196" s="20">
        <f>F1196+H1196</f>
        <v/>
      </c>
      <c r="H1196" s="5" t="n">
        <v>5</v>
      </c>
      <c r="I1196" s="2">
        <f>ROUND(INDEX(가맹점!$P$2:$P$9,D1196)*INDEX(가맹점!$J$2:$M$9,D1196,E1196),0)</f>
        <v/>
      </c>
      <c r="J1196" s="2">
        <f>ROUND(I1196*(1-할인율),0)</f>
        <v/>
      </c>
      <c r="K1196" s="2">
        <f>ROUNDDOWN(I1196*할인율,0)</f>
        <v/>
      </c>
      <c r="L1196" s="2">
        <f>ROUND(I1196*INDEX(미지급률범위,E1196),0)</f>
        <v/>
      </c>
      <c r="M1196" s="2">
        <f>ROUND(I1196*INDEX(과지급률범위,E1196),0)</f>
        <v/>
      </c>
      <c r="N1196" s="2">
        <f>MAX(0,L1196-M1196)</f>
        <v/>
      </c>
      <c r="O1196" s="2">
        <f>K1196-N1196</f>
        <v/>
      </c>
      <c r="P1196" s="2">
        <f>I1196-N1196</f>
        <v/>
      </c>
      <c r="Q1196" s="5">
        <f>IF(G1196&gt;기준일,1,0)</f>
        <v/>
      </c>
      <c r="R1196" s="5">
        <f>IF(G1196&lt;=기준일,1,0)</f>
        <v/>
      </c>
      <c r="S1196" s="2">
        <f>J1196*H1196</f>
        <v/>
      </c>
      <c r="T1196" s="5">
        <f>IF(AND(F1196&gt;=표본시작,F1196&lt;=표본종료),1,0)</f>
        <v/>
      </c>
      <c r="U1196" s="5">
        <f>IF(AND(G1196&gt;=조회시작,G1196&lt;=조회종료),1,0)</f>
        <v/>
      </c>
    </row>
    <row r="1197">
      <c r="A1197" s="2">
        <f>ROW()-1</f>
        <v/>
      </c>
      <c r="B1197" s="5">
        <f>INDEX(상호범위,D1197)</f>
        <v/>
      </c>
      <c r="C1197" s="5">
        <f>INDEX(플랫폼명범위,E1197)</f>
        <v/>
      </c>
      <c r="D1197" s="2">
        <f>MOD(INT((A1197-1)/4),8)+1</f>
        <v/>
      </c>
      <c r="E1197" s="2">
        <f>MOD(A1197-1,4)+1</f>
        <v/>
      </c>
      <c r="F1197" s="20">
        <f>축시작+INT((A1197-1)/32)</f>
        <v/>
      </c>
      <c r="G1197" s="20">
        <f>F1197+H1197</f>
        <v/>
      </c>
      <c r="H1197" s="5" t="n">
        <v>7</v>
      </c>
      <c r="I1197" s="2">
        <f>ROUND(INDEX(가맹점!$P$2:$P$9,D1197)*INDEX(가맹점!$J$2:$M$9,D1197,E1197),0)</f>
        <v/>
      </c>
      <c r="J1197" s="2">
        <f>ROUND(I1197*(1-할인율),0)</f>
        <v/>
      </c>
      <c r="K1197" s="2">
        <f>ROUNDDOWN(I1197*할인율,0)</f>
        <v/>
      </c>
      <c r="L1197" s="2">
        <f>ROUND(I1197*INDEX(미지급률범위,E1197),0)</f>
        <v/>
      </c>
      <c r="M1197" s="2">
        <f>ROUND(I1197*INDEX(과지급률범위,E1197),0)</f>
        <v/>
      </c>
      <c r="N1197" s="2">
        <f>MAX(0,L1197-M1197)</f>
        <v/>
      </c>
      <c r="O1197" s="2">
        <f>K1197-N1197</f>
        <v/>
      </c>
      <c r="P1197" s="2">
        <f>I1197-N1197</f>
        <v/>
      </c>
      <c r="Q1197" s="5">
        <f>IF(G1197&gt;기준일,1,0)</f>
        <v/>
      </c>
      <c r="R1197" s="5">
        <f>IF(G1197&lt;=기준일,1,0)</f>
        <v/>
      </c>
      <c r="S1197" s="2">
        <f>J1197*H1197</f>
        <v/>
      </c>
      <c r="T1197" s="5">
        <f>IF(AND(F1197&gt;=표본시작,F1197&lt;=표본종료),1,0)</f>
        <v/>
      </c>
      <c r="U1197" s="5">
        <f>IF(AND(G1197&gt;=조회시작,G1197&lt;=조회종료),1,0)</f>
        <v/>
      </c>
    </row>
    <row r="1198">
      <c r="A1198" s="2">
        <f>ROW()-1</f>
        <v/>
      </c>
      <c r="B1198" s="5">
        <f>INDEX(상호범위,D1198)</f>
        <v/>
      </c>
      <c r="C1198" s="5">
        <f>INDEX(플랫폼명범위,E1198)</f>
        <v/>
      </c>
      <c r="D1198" s="2">
        <f>MOD(INT((A1198-1)/4),8)+1</f>
        <v/>
      </c>
      <c r="E1198" s="2">
        <f>MOD(A1198-1,4)+1</f>
        <v/>
      </c>
      <c r="F1198" s="20">
        <f>축시작+INT((A1198-1)/32)</f>
        <v/>
      </c>
      <c r="G1198" s="20">
        <f>F1198+H1198</f>
        <v/>
      </c>
      <c r="H1198" s="5" t="n">
        <v>2</v>
      </c>
      <c r="I1198" s="2">
        <f>ROUND(INDEX(가맹점!$P$2:$P$9,D1198)*INDEX(가맹점!$J$2:$M$9,D1198,E1198),0)</f>
        <v/>
      </c>
      <c r="J1198" s="2">
        <f>ROUND(I1198*(1-할인율),0)</f>
        <v/>
      </c>
      <c r="K1198" s="2">
        <f>ROUNDDOWN(I1198*할인율,0)</f>
        <v/>
      </c>
      <c r="L1198" s="2">
        <f>ROUND(I1198*INDEX(미지급률범위,E1198),0)</f>
        <v/>
      </c>
      <c r="M1198" s="2">
        <f>ROUND(I1198*INDEX(과지급률범위,E1198),0)</f>
        <v/>
      </c>
      <c r="N1198" s="2">
        <f>MAX(0,L1198-M1198)</f>
        <v/>
      </c>
      <c r="O1198" s="2">
        <f>K1198-N1198</f>
        <v/>
      </c>
      <c r="P1198" s="2">
        <f>I1198-N1198</f>
        <v/>
      </c>
      <c r="Q1198" s="5">
        <f>IF(G1198&gt;기준일,1,0)</f>
        <v/>
      </c>
      <c r="R1198" s="5">
        <f>IF(G1198&lt;=기준일,1,0)</f>
        <v/>
      </c>
      <c r="S1198" s="2">
        <f>J1198*H1198</f>
        <v/>
      </c>
      <c r="T1198" s="5">
        <f>IF(AND(F1198&gt;=표본시작,F1198&lt;=표본종료),1,0)</f>
        <v/>
      </c>
      <c r="U1198" s="5">
        <f>IF(AND(G1198&gt;=조회시작,G1198&lt;=조회종료),1,0)</f>
        <v/>
      </c>
    </row>
    <row r="1199">
      <c r="A1199" s="2">
        <f>ROW()-1</f>
        <v/>
      </c>
      <c r="B1199" s="5">
        <f>INDEX(상호범위,D1199)</f>
        <v/>
      </c>
      <c r="C1199" s="5">
        <f>INDEX(플랫폼명범위,E1199)</f>
        <v/>
      </c>
      <c r="D1199" s="2">
        <f>MOD(INT((A1199-1)/4),8)+1</f>
        <v/>
      </c>
      <c r="E1199" s="2">
        <f>MOD(A1199-1,4)+1</f>
        <v/>
      </c>
      <c r="F1199" s="20">
        <f>축시작+INT((A1199-1)/32)</f>
        <v/>
      </c>
      <c r="G1199" s="20">
        <f>F1199+H1199</f>
        <v/>
      </c>
      <c r="H1199" s="5" t="n">
        <v>4</v>
      </c>
      <c r="I1199" s="2">
        <f>ROUND(INDEX(가맹점!$P$2:$P$9,D1199)*INDEX(가맹점!$J$2:$M$9,D1199,E1199),0)</f>
        <v/>
      </c>
      <c r="J1199" s="2">
        <f>ROUND(I1199*(1-할인율),0)</f>
        <v/>
      </c>
      <c r="K1199" s="2">
        <f>ROUNDDOWN(I1199*할인율,0)</f>
        <v/>
      </c>
      <c r="L1199" s="2">
        <f>ROUND(I1199*INDEX(미지급률범위,E1199),0)</f>
        <v/>
      </c>
      <c r="M1199" s="2">
        <f>ROUND(I1199*INDEX(과지급률범위,E1199),0)</f>
        <v/>
      </c>
      <c r="N1199" s="2">
        <f>MAX(0,L1199-M1199)</f>
        <v/>
      </c>
      <c r="O1199" s="2">
        <f>K1199-N1199</f>
        <v/>
      </c>
      <c r="P1199" s="2">
        <f>I1199-N1199</f>
        <v/>
      </c>
      <c r="Q1199" s="5">
        <f>IF(G1199&gt;기준일,1,0)</f>
        <v/>
      </c>
      <c r="R1199" s="5">
        <f>IF(G1199&lt;=기준일,1,0)</f>
        <v/>
      </c>
      <c r="S1199" s="2">
        <f>J1199*H1199</f>
        <v/>
      </c>
      <c r="T1199" s="5">
        <f>IF(AND(F1199&gt;=표본시작,F1199&lt;=표본종료),1,0)</f>
        <v/>
      </c>
      <c r="U1199" s="5">
        <f>IF(AND(G1199&gt;=조회시작,G1199&lt;=조회종료),1,0)</f>
        <v/>
      </c>
    </row>
    <row r="1200">
      <c r="A1200" s="2">
        <f>ROW()-1</f>
        <v/>
      </c>
      <c r="B1200" s="5">
        <f>INDEX(상호범위,D1200)</f>
        <v/>
      </c>
      <c r="C1200" s="5">
        <f>INDEX(플랫폼명범위,E1200)</f>
        <v/>
      </c>
      <c r="D1200" s="2">
        <f>MOD(INT((A1200-1)/4),8)+1</f>
        <v/>
      </c>
      <c r="E1200" s="2">
        <f>MOD(A1200-1,4)+1</f>
        <v/>
      </c>
      <c r="F1200" s="20">
        <f>축시작+INT((A1200-1)/32)</f>
        <v/>
      </c>
      <c r="G1200" s="20">
        <f>F1200+H1200</f>
        <v/>
      </c>
      <c r="H1200" s="5" t="n">
        <v>5</v>
      </c>
      <c r="I1200" s="2">
        <f>ROUND(INDEX(가맹점!$P$2:$P$9,D1200)*INDEX(가맹점!$J$2:$M$9,D1200,E1200),0)</f>
        <v/>
      </c>
      <c r="J1200" s="2">
        <f>ROUND(I1200*(1-할인율),0)</f>
        <v/>
      </c>
      <c r="K1200" s="2">
        <f>ROUNDDOWN(I1200*할인율,0)</f>
        <v/>
      </c>
      <c r="L1200" s="2">
        <f>ROUND(I1200*INDEX(미지급률범위,E1200),0)</f>
        <v/>
      </c>
      <c r="M1200" s="2">
        <f>ROUND(I1200*INDEX(과지급률범위,E1200),0)</f>
        <v/>
      </c>
      <c r="N1200" s="2">
        <f>MAX(0,L1200-M1200)</f>
        <v/>
      </c>
      <c r="O1200" s="2">
        <f>K1200-N1200</f>
        <v/>
      </c>
      <c r="P1200" s="2">
        <f>I1200-N1200</f>
        <v/>
      </c>
      <c r="Q1200" s="5">
        <f>IF(G1200&gt;기준일,1,0)</f>
        <v/>
      </c>
      <c r="R1200" s="5">
        <f>IF(G1200&lt;=기준일,1,0)</f>
        <v/>
      </c>
      <c r="S1200" s="2">
        <f>J1200*H1200</f>
        <v/>
      </c>
      <c r="T1200" s="5">
        <f>IF(AND(F1200&gt;=표본시작,F1200&lt;=표본종료),1,0)</f>
        <v/>
      </c>
      <c r="U1200" s="5">
        <f>IF(AND(G1200&gt;=조회시작,G1200&lt;=조회종료),1,0)</f>
        <v/>
      </c>
    </row>
    <row r="1201">
      <c r="A1201" s="2">
        <f>ROW()-1</f>
        <v/>
      </c>
      <c r="B1201" s="5">
        <f>INDEX(상호범위,D1201)</f>
        <v/>
      </c>
      <c r="C1201" s="5">
        <f>INDEX(플랫폼명범위,E1201)</f>
        <v/>
      </c>
      <c r="D1201" s="2">
        <f>MOD(INT((A1201-1)/4),8)+1</f>
        <v/>
      </c>
      <c r="E1201" s="2">
        <f>MOD(A1201-1,4)+1</f>
        <v/>
      </c>
      <c r="F1201" s="20">
        <f>축시작+INT((A1201-1)/32)</f>
        <v/>
      </c>
      <c r="G1201" s="20">
        <f>F1201+H1201</f>
        <v/>
      </c>
      <c r="H1201" s="5" t="n">
        <v>6</v>
      </c>
      <c r="I1201" s="2">
        <f>ROUND(INDEX(가맹점!$P$2:$P$9,D1201)*INDEX(가맹점!$J$2:$M$9,D1201,E1201),0)</f>
        <v/>
      </c>
      <c r="J1201" s="2">
        <f>ROUND(I1201*(1-할인율),0)</f>
        <v/>
      </c>
      <c r="K1201" s="2">
        <f>ROUNDDOWN(I1201*할인율,0)</f>
        <v/>
      </c>
      <c r="L1201" s="2">
        <f>ROUND(I1201*INDEX(미지급률범위,E1201),0)</f>
        <v/>
      </c>
      <c r="M1201" s="2">
        <f>ROUND(I1201*INDEX(과지급률범위,E1201),0)</f>
        <v/>
      </c>
      <c r="N1201" s="2">
        <f>MAX(0,L1201-M1201)</f>
        <v/>
      </c>
      <c r="O1201" s="2">
        <f>K1201-N1201</f>
        <v/>
      </c>
      <c r="P1201" s="2">
        <f>I1201-N1201</f>
        <v/>
      </c>
      <c r="Q1201" s="5">
        <f>IF(G1201&gt;기준일,1,0)</f>
        <v/>
      </c>
      <c r="R1201" s="5">
        <f>IF(G1201&lt;=기준일,1,0)</f>
        <v/>
      </c>
      <c r="S1201" s="2">
        <f>J1201*H1201</f>
        <v/>
      </c>
      <c r="T1201" s="5">
        <f>IF(AND(F1201&gt;=표본시작,F1201&lt;=표본종료),1,0)</f>
        <v/>
      </c>
      <c r="U1201" s="5">
        <f>IF(AND(G1201&gt;=조회시작,G1201&lt;=조회종료),1,0)</f>
        <v/>
      </c>
    </row>
    <row r="1202">
      <c r="A1202" s="2">
        <f>ROW()-1</f>
        <v/>
      </c>
      <c r="B1202" s="5">
        <f>INDEX(상호범위,D1202)</f>
        <v/>
      </c>
      <c r="C1202" s="5">
        <f>INDEX(플랫폼명범위,E1202)</f>
        <v/>
      </c>
      <c r="D1202" s="2">
        <f>MOD(INT((A1202-1)/4),8)+1</f>
        <v/>
      </c>
      <c r="E1202" s="2">
        <f>MOD(A1202-1,4)+1</f>
        <v/>
      </c>
      <c r="F1202" s="20">
        <f>축시작+INT((A1202-1)/32)</f>
        <v/>
      </c>
      <c r="G1202" s="20">
        <f>F1202+H1202</f>
        <v/>
      </c>
      <c r="H1202" s="5" t="n">
        <v>4</v>
      </c>
      <c r="I1202" s="2">
        <f>ROUND(INDEX(가맹점!$P$2:$P$9,D1202)*INDEX(가맹점!$J$2:$M$9,D1202,E1202),0)</f>
        <v/>
      </c>
      <c r="J1202" s="2">
        <f>ROUND(I1202*(1-할인율),0)</f>
        <v/>
      </c>
      <c r="K1202" s="2">
        <f>ROUNDDOWN(I1202*할인율,0)</f>
        <v/>
      </c>
      <c r="L1202" s="2">
        <f>ROUND(I1202*INDEX(미지급률범위,E1202),0)</f>
        <v/>
      </c>
      <c r="M1202" s="2">
        <f>ROUND(I1202*INDEX(과지급률범위,E1202),0)</f>
        <v/>
      </c>
      <c r="N1202" s="2">
        <f>MAX(0,L1202-M1202)</f>
        <v/>
      </c>
      <c r="O1202" s="2">
        <f>K1202-N1202</f>
        <v/>
      </c>
      <c r="P1202" s="2">
        <f>I1202-N1202</f>
        <v/>
      </c>
      <c r="Q1202" s="5">
        <f>IF(G1202&gt;기준일,1,0)</f>
        <v/>
      </c>
      <c r="R1202" s="5">
        <f>IF(G1202&lt;=기준일,1,0)</f>
        <v/>
      </c>
      <c r="S1202" s="2">
        <f>J1202*H1202</f>
        <v/>
      </c>
      <c r="T1202" s="5">
        <f>IF(AND(F1202&gt;=표본시작,F1202&lt;=표본종료),1,0)</f>
        <v/>
      </c>
      <c r="U1202" s="5">
        <f>IF(AND(G1202&gt;=조회시작,G1202&lt;=조회종료),1,0)</f>
        <v/>
      </c>
    </row>
    <row r="1203">
      <c r="A1203" s="2">
        <f>ROW()-1</f>
        <v/>
      </c>
      <c r="B1203" s="5">
        <f>INDEX(상호범위,D1203)</f>
        <v/>
      </c>
      <c r="C1203" s="5">
        <f>INDEX(플랫폼명범위,E1203)</f>
        <v/>
      </c>
      <c r="D1203" s="2">
        <f>MOD(INT((A1203-1)/4),8)+1</f>
        <v/>
      </c>
      <c r="E1203" s="2">
        <f>MOD(A1203-1,4)+1</f>
        <v/>
      </c>
      <c r="F1203" s="20">
        <f>축시작+INT((A1203-1)/32)</f>
        <v/>
      </c>
      <c r="G1203" s="20">
        <f>F1203+H1203</f>
        <v/>
      </c>
      <c r="H1203" s="5" t="n">
        <v>5</v>
      </c>
      <c r="I1203" s="2">
        <f>ROUND(INDEX(가맹점!$P$2:$P$9,D1203)*INDEX(가맹점!$J$2:$M$9,D1203,E1203),0)</f>
        <v/>
      </c>
      <c r="J1203" s="2">
        <f>ROUND(I1203*(1-할인율),0)</f>
        <v/>
      </c>
      <c r="K1203" s="2">
        <f>ROUNDDOWN(I1203*할인율,0)</f>
        <v/>
      </c>
      <c r="L1203" s="2">
        <f>ROUND(I1203*INDEX(미지급률범위,E1203),0)</f>
        <v/>
      </c>
      <c r="M1203" s="2">
        <f>ROUND(I1203*INDEX(과지급률범위,E1203),0)</f>
        <v/>
      </c>
      <c r="N1203" s="2">
        <f>MAX(0,L1203-M1203)</f>
        <v/>
      </c>
      <c r="O1203" s="2">
        <f>K1203-N1203</f>
        <v/>
      </c>
      <c r="P1203" s="2">
        <f>I1203-N1203</f>
        <v/>
      </c>
      <c r="Q1203" s="5">
        <f>IF(G1203&gt;기준일,1,0)</f>
        <v/>
      </c>
      <c r="R1203" s="5">
        <f>IF(G1203&lt;=기준일,1,0)</f>
        <v/>
      </c>
      <c r="S1203" s="2">
        <f>J1203*H1203</f>
        <v/>
      </c>
      <c r="T1203" s="5">
        <f>IF(AND(F1203&gt;=표본시작,F1203&lt;=표본종료),1,0)</f>
        <v/>
      </c>
      <c r="U1203" s="5">
        <f>IF(AND(G1203&gt;=조회시작,G1203&lt;=조회종료),1,0)</f>
        <v/>
      </c>
    </row>
    <row r="1204">
      <c r="A1204" s="2">
        <f>ROW()-1</f>
        <v/>
      </c>
      <c r="B1204" s="5">
        <f>INDEX(상호범위,D1204)</f>
        <v/>
      </c>
      <c r="C1204" s="5">
        <f>INDEX(플랫폼명범위,E1204)</f>
        <v/>
      </c>
      <c r="D1204" s="2">
        <f>MOD(INT((A1204-1)/4),8)+1</f>
        <v/>
      </c>
      <c r="E1204" s="2">
        <f>MOD(A1204-1,4)+1</f>
        <v/>
      </c>
      <c r="F1204" s="20">
        <f>축시작+INT((A1204-1)/32)</f>
        <v/>
      </c>
      <c r="G1204" s="20">
        <f>F1204+H1204</f>
        <v/>
      </c>
      <c r="H1204" s="5" t="n">
        <v>5</v>
      </c>
      <c r="I1204" s="2">
        <f>ROUND(INDEX(가맹점!$P$2:$P$9,D1204)*INDEX(가맹점!$J$2:$M$9,D1204,E1204),0)</f>
        <v/>
      </c>
      <c r="J1204" s="2">
        <f>ROUND(I1204*(1-할인율),0)</f>
        <v/>
      </c>
      <c r="K1204" s="2">
        <f>ROUNDDOWN(I1204*할인율,0)</f>
        <v/>
      </c>
      <c r="L1204" s="2">
        <f>ROUND(I1204*INDEX(미지급률범위,E1204),0)</f>
        <v/>
      </c>
      <c r="M1204" s="2">
        <f>ROUND(I1204*INDEX(과지급률범위,E1204),0)</f>
        <v/>
      </c>
      <c r="N1204" s="2">
        <f>MAX(0,L1204-M1204)</f>
        <v/>
      </c>
      <c r="O1204" s="2">
        <f>K1204-N1204</f>
        <v/>
      </c>
      <c r="P1204" s="2">
        <f>I1204-N1204</f>
        <v/>
      </c>
      <c r="Q1204" s="5">
        <f>IF(G1204&gt;기준일,1,0)</f>
        <v/>
      </c>
      <c r="R1204" s="5">
        <f>IF(G1204&lt;=기준일,1,0)</f>
        <v/>
      </c>
      <c r="S1204" s="2">
        <f>J1204*H1204</f>
        <v/>
      </c>
      <c r="T1204" s="5">
        <f>IF(AND(F1204&gt;=표본시작,F1204&lt;=표본종료),1,0)</f>
        <v/>
      </c>
      <c r="U1204" s="5">
        <f>IF(AND(G1204&gt;=조회시작,G1204&lt;=조회종료),1,0)</f>
        <v/>
      </c>
    </row>
    <row r="1205">
      <c r="A1205" s="2">
        <f>ROW()-1</f>
        <v/>
      </c>
      <c r="B1205" s="5">
        <f>INDEX(상호범위,D1205)</f>
        <v/>
      </c>
      <c r="C1205" s="5">
        <f>INDEX(플랫폼명범위,E1205)</f>
        <v/>
      </c>
      <c r="D1205" s="2">
        <f>MOD(INT((A1205-1)/4),8)+1</f>
        <v/>
      </c>
      <c r="E1205" s="2">
        <f>MOD(A1205-1,4)+1</f>
        <v/>
      </c>
      <c r="F1205" s="20">
        <f>축시작+INT((A1205-1)/32)</f>
        <v/>
      </c>
      <c r="G1205" s="20">
        <f>F1205+H1205</f>
        <v/>
      </c>
      <c r="H1205" s="5" t="n">
        <v>6</v>
      </c>
      <c r="I1205" s="2">
        <f>ROUND(INDEX(가맹점!$P$2:$P$9,D1205)*INDEX(가맹점!$J$2:$M$9,D1205,E1205),0)</f>
        <v/>
      </c>
      <c r="J1205" s="2">
        <f>ROUND(I1205*(1-할인율),0)</f>
        <v/>
      </c>
      <c r="K1205" s="2">
        <f>ROUNDDOWN(I1205*할인율,0)</f>
        <v/>
      </c>
      <c r="L1205" s="2">
        <f>ROUND(I1205*INDEX(미지급률범위,E1205),0)</f>
        <v/>
      </c>
      <c r="M1205" s="2">
        <f>ROUND(I1205*INDEX(과지급률범위,E1205),0)</f>
        <v/>
      </c>
      <c r="N1205" s="2">
        <f>MAX(0,L1205-M1205)</f>
        <v/>
      </c>
      <c r="O1205" s="2">
        <f>K1205-N1205</f>
        <v/>
      </c>
      <c r="P1205" s="2">
        <f>I1205-N1205</f>
        <v/>
      </c>
      <c r="Q1205" s="5">
        <f>IF(G1205&gt;기준일,1,0)</f>
        <v/>
      </c>
      <c r="R1205" s="5">
        <f>IF(G1205&lt;=기준일,1,0)</f>
        <v/>
      </c>
      <c r="S1205" s="2">
        <f>J1205*H1205</f>
        <v/>
      </c>
      <c r="T1205" s="5">
        <f>IF(AND(F1205&gt;=표본시작,F1205&lt;=표본종료),1,0)</f>
        <v/>
      </c>
      <c r="U1205" s="5">
        <f>IF(AND(G1205&gt;=조회시작,G1205&lt;=조회종료),1,0)</f>
        <v/>
      </c>
    </row>
    <row r="1206">
      <c r="A1206" s="2">
        <f>ROW()-1</f>
        <v/>
      </c>
      <c r="B1206" s="5">
        <f>INDEX(상호범위,D1206)</f>
        <v/>
      </c>
      <c r="C1206" s="5">
        <f>INDEX(플랫폼명범위,E1206)</f>
        <v/>
      </c>
      <c r="D1206" s="2">
        <f>MOD(INT((A1206-1)/4),8)+1</f>
        <v/>
      </c>
      <c r="E1206" s="2">
        <f>MOD(A1206-1,4)+1</f>
        <v/>
      </c>
      <c r="F1206" s="20">
        <f>축시작+INT((A1206-1)/32)</f>
        <v/>
      </c>
      <c r="G1206" s="20">
        <f>F1206+H1206</f>
        <v/>
      </c>
      <c r="H1206" s="5" t="n">
        <v>6</v>
      </c>
      <c r="I1206" s="2">
        <f>ROUND(INDEX(가맹점!$P$2:$P$9,D1206)*INDEX(가맹점!$J$2:$M$9,D1206,E1206),0)</f>
        <v/>
      </c>
      <c r="J1206" s="2">
        <f>ROUND(I1206*(1-할인율),0)</f>
        <v/>
      </c>
      <c r="K1206" s="2">
        <f>ROUNDDOWN(I1206*할인율,0)</f>
        <v/>
      </c>
      <c r="L1206" s="2">
        <f>ROUND(I1206*INDEX(미지급률범위,E1206),0)</f>
        <v/>
      </c>
      <c r="M1206" s="2">
        <f>ROUND(I1206*INDEX(과지급률범위,E1206),0)</f>
        <v/>
      </c>
      <c r="N1206" s="2">
        <f>MAX(0,L1206-M1206)</f>
        <v/>
      </c>
      <c r="O1206" s="2">
        <f>K1206-N1206</f>
        <v/>
      </c>
      <c r="P1206" s="2">
        <f>I1206-N1206</f>
        <v/>
      </c>
      <c r="Q1206" s="5">
        <f>IF(G1206&gt;기준일,1,0)</f>
        <v/>
      </c>
      <c r="R1206" s="5">
        <f>IF(G1206&lt;=기준일,1,0)</f>
        <v/>
      </c>
      <c r="S1206" s="2">
        <f>J1206*H1206</f>
        <v/>
      </c>
      <c r="T1206" s="5">
        <f>IF(AND(F1206&gt;=표본시작,F1206&lt;=표본종료),1,0)</f>
        <v/>
      </c>
      <c r="U1206" s="5">
        <f>IF(AND(G1206&gt;=조회시작,G1206&lt;=조회종료),1,0)</f>
        <v/>
      </c>
    </row>
    <row r="1207">
      <c r="A1207" s="2">
        <f>ROW()-1</f>
        <v/>
      </c>
      <c r="B1207" s="5">
        <f>INDEX(상호범위,D1207)</f>
        <v/>
      </c>
      <c r="C1207" s="5">
        <f>INDEX(플랫폼명범위,E1207)</f>
        <v/>
      </c>
      <c r="D1207" s="2">
        <f>MOD(INT((A1207-1)/4),8)+1</f>
        <v/>
      </c>
      <c r="E1207" s="2">
        <f>MOD(A1207-1,4)+1</f>
        <v/>
      </c>
      <c r="F1207" s="20">
        <f>축시작+INT((A1207-1)/32)</f>
        <v/>
      </c>
      <c r="G1207" s="20">
        <f>F1207+H1207</f>
        <v/>
      </c>
      <c r="H1207" s="5" t="n">
        <v>5</v>
      </c>
      <c r="I1207" s="2">
        <f>ROUND(INDEX(가맹점!$P$2:$P$9,D1207)*INDEX(가맹점!$J$2:$M$9,D1207,E1207),0)</f>
        <v/>
      </c>
      <c r="J1207" s="2">
        <f>ROUND(I1207*(1-할인율),0)</f>
        <v/>
      </c>
      <c r="K1207" s="2">
        <f>ROUNDDOWN(I1207*할인율,0)</f>
        <v/>
      </c>
      <c r="L1207" s="2">
        <f>ROUND(I1207*INDEX(미지급률범위,E1207),0)</f>
        <v/>
      </c>
      <c r="M1207" s="2">
        <f>ROUND(I1207*INDEX(과지급률범위,E1207),0)</f>
        <v/>
      </c>
      <c r="N1207" s="2">
        <f>MAX(0,L1207-M1207)</f>
        <v/>
      </c>
      <c r="O1207" s="2">
        <f>K1207-N1207</f>
        <v/>
      </c>
      <c r="P1207" s="2">
        <f>I1207-N1207</f>
        <v/>
      </c>
      <c r="Q1207" s="5">
        <f>IF(G1207&gt;기준일,1,0)</f>
        <v/>
      </c>
      <c r="R1207" s="5">
        <f>IF(G1207&lt;=기준일,1,0)</f>
        <v/>
      </c>
      <c r="S1207" s="2">
        <f>J1207*H1207</f>
        <v/>
      </c>
      <c r="T1207" s="5">
        <f>IF(AND(F1207&gt;=표본시작,F1207&lt;=표본종료),1,0)</f>
        <v/>
      </c>
      <c r="U1207" s="5">
        <f>IF(AND(G1207&gt;=조회시작,G1207&lt;=조회종료),1,0)</f>
        <v/>
      </c>
    </row>
    <row r="1208">
      <c r="A1208" s="2">
        <f>ROW()-1</f>
        <v/>
      </c>
      <c r="B1208" s="5">
        <f>INDEX(상호범위,D1208)</f>
        <v/>
      </c>
      <c r="C1208" s="5">
        <f>INDEX(플랫폼명범위,E1208)</f>
        <v/>
      </c>
      <c r="D1208" s="2">
        <f>MOD(INT((A1208-1)/4),8)+1</f>
        <v/>
      </c>
      <c r="E1208" s="2">
        <f>MOD(A1208-1,4)+1</f>
        <v/>
      </c>
      <c r="F1208" s="20">
        <f>축시작+INT((A1208-1)/32)</f>
        <v/>
      </c>
      <c r="G1208" s="20">
        <f>F1208+H1208</f>
        <v/>
      </c>
      <c r="H1208" s="5" t="n">
        <v>4</v>
      </c>
      <c r="I1208" s="2">
        <f>ROUND(INDEX(가맹점!$P$2:$P$9,D1208)*INDEX(가맹점!$J$2:$M$9,D1208,E1208),0)</f>
        <v/>
      </c>
      <c r="J1208" s="2">
        <f>ROUND(I1208*(1-할인율),0)</f>
        <v/>
      </c>
      <c r="K1208" s="2">
        <f>ROUNDDOWN(I1208*할인율,0)</f>
        <v/>
      </c>
      <c r="L1208" s="2">
        <f>ROUND(I1208*INDEX(미지급률범위,E1208),0)</f>
        <v/>
      </c>
      <c r="M1208" s="2">
        <f>ROUND(I1208*INDEX(과지급률범위,E1208),0)</f>
        <v/>
      </c>
      <c r="N1208" s="2">
        <f>MAX(0,L1208-M1208)</f>
        <v/>
      </c>
      <c r="O1208" s="2">
        <f>K1208-N1208</f>
        <v/>
      </c>
      <c r="P1208" s="2">
        <f>I1208-N1208</f>
        <v/>
      </c>
      <c r="Q1208" s="5">
        <f>IF(G1208&gt;기준일,1,0)</f>
        <v/>
      </c>
      <c r="R1208" s="5">
        <f>IF(G1208&lt;=기준일,1,0)</f>
        <v/>
      </c>
      <c r="S1208" s="2">
        <f>J1208*H1208</f>
        <v/>
      </c>
      <c r="T1208" s="5">
        <f>IF(AND(F1208&gt;=표본시작,F1208&lt;=표본종료),1,0)</f>
        <v/>
      </c>
      <c r="U1208" s="5">
        <f>IF(AND(G1208&gt;=조회시작,G1208&lt;=조회종료),1,0)</f>
        <v/>
      </c>
    </row>
    <row r="1209">
      <c r="A1209" s="2">
        <f>ROW()-1</f>
        <v/>
      </c>
      <c r="B1209" s="5">
        <f>INDEX(상호범위,D1209)</f>
        <v/>
      </c>
      <c r="C1209" s="5">
        <f>INDEX(플랫폼명범위,E1209)</f>
        <v/>
      </c>
      <c r="D1209" s="2">
        <f>MOD(INT((A1209-1)/4),8)+1</f>
        <v/>
      </c>
      <c r="E1209" s="2">
        <f>MOD(A1209-1,4)+1</f>
        <v/>
      </c>
      <c r="F1209" s="20">
        <f>축시작+INT((A1209-1)/32)</f>
        <v/>
      </c>
      <c r="G1209" s="20">
        <f>F1209+H1209</f>
        <v/>
      </c>
      <c r="H1209" s="5" t="n">
        <v>6</v>
      </c>
      <c r="I1209" s="2">
        <f>ROUND(INDEX(가맹점!$P$2:$P$9,D1209)*INDEX(가맹점!$J$2:$M$9,D1209,E1209),0)</f>
        <v/>
      </c>
      <c r="J1209" s="2">
        <f>ROUND(I1209*(1-할인율),0)</f>
        <v/>
      </c>
      <c r="K1209" s="2">
        <f>ROUNDDOWN(I1209*할인율,0)</f>
        <v/>
      </c>
      <c r="L1209" s="2">
        <f>ROUND(I1209*INDEX(미지급률범위,E1209),0)</f>
        <v/>
      </c>
      <c r="M1209" s="2">
        <f>ROUND(I1209*INDEX(과지급률범위,E1209),0)</f>
        <v/>
      </c>
      <c r="N1209" s="2">
        <f>MAX(0,L1209-M1209)</f>
        <v/>
      </c>
      <c r="O1209" s="2">
        <f>K1209-N1209</f>
        <v/>
      </c>
      <c r="P1209" s="2">
        <f>I1209-N1209</f>
        <v/>
      </c>
      <c r="Q1209" s="5">
        <f>IF(G1209&gt;기준일,1,0)</f>
        <v/>
      </c>
      <c r="R1209" s="5">
        <f>IF(G1209&lt;=기준일,1,0)</f>
        <v/>
      </c>
      <c r="S1209" s="2">
        <f>J1209*H1209</f>
        <v/>
      </c>
      <c r="T1209" s="5">
        <f>IF(AND(F1209&gt;=표본시작,F1209&lt;=표본종료),1,0)</f>
        <v/>
      </c>
      <c r="U1209" s="5">
        <f>IF(AND(G1209&gt;=조회시작,G1209&lt;=조회종료),1,0)</f>
        <v/>
      </c>
    </row>
    <row r="1210">
      <c r="A1210" s="2">
        <f>ROW()-1</f>
        <v/>
      </c>
      <c r="B1210" s="5">
        <f>INDEX(상호범위,D1210)</f>
        <v/>
      </c>
      <c r="C1210" s="5">
        <f>INDEX(플랫폼명범위,E1210)</f>
        <v/>
      </c>
      <c r="D1210" s="2">
        <f>MOD(INT((A1210-1)/4),8)+1</f>
        <v/>
      </c>
      <c r="E1210" s="2">
        <f>MOD(A1210-1,4)+1</f>
        <v/>
      </c>
      <c r="F1210" s="20">
        <f>축시작+INT((A1210-1)/32)</f>
        <v/>
      </c>
      <c r="G1210" s="20">
        <f>F1210+H1210</f>
        <v/>
      </c>
      <c r="H1210" s="5" t="n">
        <v>2</v>
      </c>
      <c r="I1210" s="2">
        <f>ROUND(INDEX(가맹점!$P$2:$P$9,D1210)*INDEX(가맹점!$J$2:$M$9,D1210,E1210),0)</f>
        <v/>
      </c>
      <c r="J1210" s="2">
        <f>ROUND(I1210*(1-할인율),0)</f>
        <v/>
      </c>
      <c r="K1210" s="2">
        <f>ROUNDDOWN(I1210*할인율,0)</f>
        <v/>
      </c>
      <c r="L1210" s="2">
        <f>ROUND(I1210*INDEX(미지급률범위,E1210),0)</f>
        <v/>
      </c>
      <c r="M1210" s="2">
        <f>ROUND(I1210*INDEX(과지급률범위,E1210),0)</f>
        <v/>
      </c>
      <c r="N1210" s="2">
        <f>MAX(0,L1210-M1210)</f>
        <v/>
      </c>
      <c r="O1210" s="2">
        <f>K1210-N1210</f>
        <v/>
      </c>
      <c r="P1210" s="2">
        <f>I1210-N1210</f>
        <v/>
      </c>
      <c r="Q1210" s="5">
        <f>IF(G1210&gt;기준일,1,0)</f>
        <v/>
      </c>
      <c r="R1210" s="5">
        <f>IF(G1210&lt;=기준일,1,0)</f>
        <v/>
      </c>
      <c r="S1210" s="2">
        <f>J1210*H1210</f>
        <v/>
      </c>
      <c r="T1210" s="5">
        <f>IF(AND(F1210&gt;=표본시작,F1210&lt;=표본종료),1,0)</f>
        <v/>
      </c>
      <c r="U1210" s="5">
        <f>IF(AND(G1210&gt;=조회시작,G1210&lt;=조회종료),1,0)</f>
        <v/>
      </c>
    </row>
    <row r="1211">
      <c r="A1211" s="2">
        <f>ROW()-1</f>
        <v/>
      </c>
      <c r="B1211" s="5">
        <f>INDEX(상호범위,D1211)</f>
        <v/>
      </c>
      <c r="C1211" s="5">
        <f>INDEX(플랫폼명범위,E1211)</f>
        <v/>
      </c>
      <c r="D1211" s="2">
        <f>MOD(INT((A1211-1)/4),8)+1</f>
        <v/>
      </c>
      <c r="E1211" s="2">
        <f>MOD(A1211-1,4)+1</f>
        <v/>
      </c>
      <c r="F1211" s="20">
        <f>축시작+INT((A1211-1)/32)</f>
        <v/>
      </c>
      <c r="G1211" s="20">
        <f>F1211+H1211</f>
        <v/>
      </c>
      <c r="H1211" s="5" t="n">
        <v>4</v>
      </c>
      <c r="I1211" s="2">
        <f>ROUND(INDEX(가맹점!$P$2:$P$9,D1211)*INDEX(가맹점!$J$2:$M$9,D1211,E1211),0)</f>
        <v/>
      </c>
      <c r="J1211" s="2">
        <f>ROUND(I1211*(1-할인율),0)</f>
        <v/>
      </c>
      <c r="K1211" s="2">
        <f>ROUNDDOWN(I1211*할인율,0)</f>
        <v/>
      </c>
      <c r="L1211" s="2">
        <f>ROUND(I1211*INDEX(미지급률범위,E1211),0)</f>
        <v/>
      </c>
      <c r="M1211" s="2">
        <f>ROUND(I1211*INDEX(과지급률범위,E1211),0)</f>
        <v/>
      </c>
      <c r="N1211" s="2">
        <f>MAX(0,L1211-M1211)</f>
        <v/>
      </c>
      <c r="O1211" s="2">
        <f>K1211-N1211</f>
        <v/>
      </c>
      <c r="P1211" s="2">
        <f>I1211-N1211</f>
        <v/>
      </c>
      <c r="Q1211" s="5">
        <f>IF(G1211&gt;기준일,1,0)</f>
        <v/>
      </c>
      <c r="R1211" s="5">
        <f>IF(G1211&lt;=기준일,1,0)</f>
        <v/>
      </c>
      <c r="S1211" s="2">
        <f>J1211*H1211</f>
        <v/>
      </c>
      <c r="T1211" s="5">
        <f>IF(AND(F1211&gt;=표본시작,F1211&lt;=표본종료),1,0)</f>
        <v/>
      </c>
      <c r="U1211" s="5">
        <f>IF(AND(G1211&gt;=조회시작,G1211&lt;=조회종료),1,0)</f>
        <v/>
      </c>
    </row>
    <row r="1212">
      <c r="A1212" s="2">
        <f>ROW()-1</f>
        <v/>
      </c>
      <c r="B1212" s="5">
        <f>INDEX(상호범위,D1212)</f>
        <v/>
      </c>
      <c r="C1212" s="5">
        <f>INDEX(플랫폼명범위,E1212)</f>
        <v/>
      </c>
      <c r="D1212" s="2">
        <f>MOD(INT((A1212-1)/4),8)+1</f>
        <v/>
      </c>
      <c r="E1212" s="2">
        <f>MOD(A1212-1,4)+1</f>
        <v/>
      </c>
      <c r="F1212" s="20">
        <f>축시작+INT((A1212-1)/32)</f>
        <v/>
      </c>
      <c r="G1212" s="20">
        <f>F1212+H1212</f>
        <v/>
      </c>
      <c r="H1212" s="5" t="n">
        <v>6</v>
      </c>
      <c r="I1212" s="2">
        <f>ROUND(INDEX(가맹점!$P$2:$P$9,D1212)*INDEX(가맹점!$J$2:$M$9,D1212,E1212),0)</f>
        <v/>
      </c>
      <c r="J1212" s="2">
        <f>ROUND(I1212*(1-할인율),0)</f>
        <v/>
      </c>
      <c r="K1212" s="2">
        <f>ROUNDDOWN(I1212*할인율,0)</f>
        <v/>
      </c>
      <c r="L1212" s="2">
        <f>ROUND(I1212*INDEX(미지급률범위,E1212),0)</f>
        <v/>
      </c>
      <c r="M1212" s="2">
        <f>ROUND(I1212*INDEX(과지급률범위,E1212),0)</f>
        <v/>
      </c>
      <c r="N1212" s="2">
        <f>MAX(0,L1212-M1212)</f>
        <v/>
      </c>
      <c r="O1212" s="2">
        <f>K1212-N1212</f>
        <v/>
      </c>
      <c r="P1212" s="2">
        <f>I1212-N1212</f>
        <v/>
      </c>
      <c r="Q1212" s="5">
        <f>IF(G1212&gt;기준일,1,0)</f>
        <v/>
      </c>
      <c r="R1212" s="5">
        <f>IF(G1212&lt;=기준일,1,0)</f>
        <v/>
      </c>
      <c r="S1212" s="2">
        <f>J1212*H1212</f>
        <v/>
      </c>
      <c r="T1212" s="5">
        <f>IF(AND(F1212&gt;=표본시작,F1212&lt;=표본종료),1,0)</f>
        <v/>
      </c>
      <c r="U1212" s="5">
        <f>IF(AND(G1212&gt;=조회시작,G1212&lt;=조회종료),1,0)</f>
        <v/>
      </c>
    </row>
    <row r="1213">
      <c r="A1213" s="2">
        <f>ROW()-1</f>
        <v/>
      </c>
      <c r="B1213" s="5">
        <f>INDEX(상호범위,D1213)</f>
        <v/>
      </c>
      <c r="C1213" s="5">
        <f>INDEX(플랫폼명범위,E1213)</f>
        <v/>
      </c>
      <c r="D1213" s="2">
        <f>MOD(INT((A1213-1)/4),8)+1</f>
        <v/>
      </c>
      <c r="E1213" s="2">
        <f>MOD(A1213-1,4)+1</f>
        <v/>
      </c>
      <c r="F1213" s="20">
        <f>축시작+INT((A1213-1)/32)</f>
        <v/>
      </c>
      <c r="G1213" s="20">
        <f>F1213+H1213</f>
        <v/>
      </c>
      <c r="H1213" s="5" t="n">
        <v>6</v>
      </c>
      <c r="I1213" s="2">
        <f>ROUND(INDEX(가맹점!$P$2:$P$9,D1213)*INDEX(가맹점!$J$2:$M$9,D1213,E1213),0)</f>
        <v/>
      </c>
      <c r="J1213" s="2">
        <f>ROUND(I1213*(1-할인율),0)</f>
        <v/>
      </c>
      <c r="K1213" s="2">
        <f>ROUNDDOWN(I1213*할인율,0)</f>
        <v/>
      </c>
      <c r="L1213" s="2">
        <f>ROUND(I1213*INDEX(미지급률범위,E1213),0)</f>
        <v/>
      </c>
      <c r="M1213" s="2">
        <f>ROUND(I1213*INDEX(과지급률범위,E1213),0)</f>
        <v/>
      </c>
      <c r="N1213" s="2">
        <f>MAX(0,L1213-M1213)</f>
        <v/>
      </c>
      <c r="O1213" s="2">
        <f>K1213-N1213</f>
        <v/>
      </c>
      <c r="P1213" s="2">
        <f>I1213-N1213</f>
        <v/>
      </c>
      <c r="Q1213" s="5">
        <f>IF(G1213&gt;기준일,1,0)</f>
        <v/>
      </c>
      <c r="R1213" s="5">
        <f>IF(G1213&lt;=기준일,1,0)</f>
        <v/>
      </c>
      <c r="S1213" s="2">
        <f>J1213*H1213</f>
        <v/>
      </c>
      <c r="T1213" s="5">
        <f>IF(AND(F1213&gt;=표본시작,F1213&lt;=표본종료),1,0)</f>
        <v/>
      </c>
      <c r="U1213" s="5">
        <f>IF(AND(G1213&gt;=조회시작,G1213&lt;=조회종료),1,0)</f>
        <v/>
      </c>
    </row>
    <row r="1214">
      <c r="A1214" s="2">
        <f>ROW()-1</f>
        <v/>
      </c>
      <c r="B1214" s="5">
        <f>INDEX(상호범위,D1214)</f>
        <v/>
      </c>
      <c r="C1214" s="5">
        <f>INDEX(플랫폼명범위,E1214)</f>
        <v/>
      </c>
      <c r="D1214" s="2">
        <f>MOD(INT((A1214-1)/4),8)+1</f>
        <v/>
      </c>
      <c r="E1214" s="2">
        <f>MOD(A1214-1,4)+1</f>
        <v/>
      </c>
      <c r="F1214" s="20">
        <f>축시작+INT((A1214-1)/32)</f>
        <v/>
      </c>
      <c r="G1214" s="20">
        <f>F1214+H1214</f>
        <v/>
      </c>
      <c r="H1214" s="5" t="n">
        <v>6</v>
      </c>
      <c r="I1214" s="2">
        <f>ROUND(INDEX(가맹점!$P$2:$P$9,D1214)*INDEX(가맹점!$J$2:$M$9,D1214,E1214),0)</f>
        <v/>
      </c>
      <c r="J1214" s="2">
        <f>ROUND(I1214*(1-할인율),0)</f>
        <v/>
      </c>
      <c r="K1214" s="2">
        <f>ROUNDDOWN(I1214*할인율,0)</f>
        <v/>
      </c>
      <c r="L1214" s="2">
        <f>ROUND(I1214*INDEX(미지급률범위,E1214),0)</f>
        <v/>
      </c>
      <c r="M1214" s="2">
        <f>ROUND(I1214*INDEX(과지급률범위,E1214),0)</f>
        <v/>
      </c>
      <c r="N1214" s="2">
        <f>MAX(0,L1214-M1214)</f>
        <v/>
      </c>
      <c r="O1214" s="2">
        <f>K1214-N1214</f>
        <v/>
      </c>
      <c r="P1214" s="2">
        <f>I1214-N1214</f>
        <v/>
      </c>
      <c r="Q1214" s="5">
        <f>IF(G1214&gt;기준일,1,0)</f>
        <v/>
      </c>
      <c r="R1214" s="5">
        <f>IF(G1214&lt;=기준일,1,0)</f>
        <v/>
      </c>
      <c r="S1214" s="2">
        <f>J1214*H1214</f>
        <v/>
      </c>
      <c r="T1214" s="5">
        <f>IF(AND(F1214&gt;=표본시작,F1214&lt;=표본종료),1,0)</f>
        <v/>
      </c>
      <c r="U1214" s="5">
        <f>IF(AND(G1214&gt;=조회시작,G1214&lt;=조회종료),1,0)</f>
        <v/>
      </c>
    </row>
    <row r="1215">
      <c r="A1215" s="2">
        <f>ROW()-1</f>
        <v/>
      </c>
      <c r="B1215" s="5">
        <f>INDEX(상호범위,D1215)</f>
        <v/>
      </c>
      <c r="C1215" s="5">
        <f>INDEX(플랫폼명범위,E1215)</f>
        <v/>
      </c>
      <c r="D1215" s="2">
        <f>MOD(INT((A1215-1)/4),8)+1</f>
        <v/>
      </c>
      <c r="E1215" s="2">
        <f>MOD(A1215-1,4)+1</f>
        <v/>
      </c>
      <c r="F1215" s="20">
        <f>축시작+INT((A1215-1)/32)</f>
        <v/>
      </c>
      <c r="G1215" s="20">
        <f>F1215+H1215</f>
        <v/>
      </c>
      <c r="H1215" s="5" t="n">
        <v>5</v>
      </c>
      <c r="I1215" s="2">
        <f>ROUND(INDEX(가맹점!$P$2:$P$9,D1215)*INDEX(가맹점!$J$2:$M$9,D1215,E1215),0)</f>
        <v/>
      </c>
      <c r="J1215" s="2">
        <f>ROUND(I1215*(1-할인율),0)</f>
        <v/>
      </c>
      <c r="K1215" s="2">
        <f>ROUNDDOWN(I1215*할인율,0)</f>
        <v/>
      </c>
      <c r="L1215" s="2">
        <f>ROUND(I1215*INDEX(미지급률범위,E1215),0)</f>
        <v/>
      </c>
      <c r="M1215" s="2">
        <f>ROUND(I1215*INDEX(과지급률범위,E1215),0)</f>
        <v/>
      </c>
      <c r="N1215" s="2">
        <f>MAX(0,L1215-M1215)</f>
        <v/>
      </c>
      <c r="O1215" s="2">
        <f>K1215-N1215</f>
        <v/>
      </c>
      <c r="P1215" s="2">
        <f>I1215-N1215</f>
        <v/>
      </c>
      <c r="Q1215" s="5">
        <f>IF(G1215&gt;기준일,1,0)</f>
        <v/>
      </c>
      <c r="R1215" s="5">
        <f>IF(G1215&lt;=기준일,1,0)</f>
        <v/>
      </c>
      <c r="S1215" s="2">
        <f>J1215*H1215</f>
        <v/>
      </c>
      <c r="T1215" s="5">
        <f>IF(AND(F1215&gt;=표본시작,F1215&lt;=표본종료),1,0)</f>
        <v/>
      </c>
      <c r="U1215" s="5">
        <f>IF(AND(G1215&gt;=조회시작,G1215&lt;=조회종료),1,0)</f>
        <v/>
      </c>
    </row>
    <row r="1216">
      <c r="A1216" s="2">
        <f>ROW()-1</f>
        <v/>
      </c>
      <c r="B1216" s="5">
        <f>INDEX(상호범위,D1216)</f>
        <v/>
      </c>
      <c r="C1216" s="5">
        <f>INDEX(플랫폼명범위,E1216)</f>
        <v/>
      </c>
      <c r="D1216" s="2">
        <f>MOD(INT((A1216-1)/4),8)+1</f>
        <v/>
      </c>
      <c r="E1216" s="2">
        <f>MOD(A1216-1,4)+1</f>
        <v/>
      </c>
      <c r="F1216" s="20">
        <f>축시작+INT((A1216-1)/32)</f>
        <v/>
      </c>
      <c r="G1216" s="20">
        <f>F1216+H1216</f>
        <v/>
      </c>
      <c r="H1216" s="5" t="n">
        <v>6</v>
      </c>
      <c r="I1216" s="2">
        <f>ROUND(INDEX(가맹점!$P$2:$P$9,D1216)*INDEX(가맹점!$J$2:$M$9,D1216,E1216),0)</f>
        <v/>
      </c>
      <c r="J1216" s="2">
        <f>ROUND(I1216*(1-할인율),0)</f>
        <v/>
      </c>
      <c r="K1216" s="2">
        <f>ROUNDDOWN(I1216*할인율,0)</f>
        <v/>
      </c>
      <c r="L1216" s="2">
        <f>ROUND(I1216*INDEX(미지급률범위,E1216),0)</f>
        <v/>
      </c>
      <c r="M1216" s="2">
        <f>ROUND(I1216*INDEX(과지급률범위,E1216),0)</f>
        <v/>
      </c>
      <c r="N1216" s="2">
        <f>MAX(0,L1216-M1216)</f>
        <v/>
      </c>
      <c r="O1216" s="2">
        <f>K1216-N1216</f>
        <v/>
      </c>
      <c r="P1216" s="2">
        <f>I1216-N1216</f>
        <v/>
      </c>
      <c r="Q1216" s="5">
        <f>IF(G1216&gt;기준일,1,0)</f>
        <v/>
      </c>
      <c r="R1216" s="5">
        <f>IF(G1216&lt;=기준일,1,0)</f>
        <v/>
      </c>
      <c r="S1216" s="2">
        <f>J1216*H1216</f>
        <v/>
      </c>
      <c r="T1216" s="5">
        <f>IF(AND(F1216&gt;=표본시작,F1216&lt;=표본종료),1,0)</f>
        <v/>
      </c>
      <c r="U1216" s="5">
        <f>IF(AND(G1216&gt;=조회시작,G1216&lt;=조회종료),1,0)</f>
        <v/>
      </c>
    </row>
    <row r="1217">
      <c r="A1217" s="2">
        <f>ROW()-1</f>
        <v/>
      </c>
      <c r="B1217" s="5">
        <f>INDEX(상호범위,D1217)</f>
        <v/>
      </c>
      <c r="C1217" s="5">
        <f>INDEX(플랫폼명범위,E1217)</f>
        <v/>
      </c>
      <c r="D1217" s="2">
        <f>MOD(INT((A1217-1)/4),8)+1</f>
        <v/>
      </c>
      <c r="E1217" s="2">
        <f>MOD(A1217-1,4)+1</f>
        <v/>
      </c>
      <c r="F1217" s="20">
        <f>축시작+INT((A1217-1)/32)</f>
        <v/>
      </c>
      <c r="G1217" s="20">
        <f>F1217+H1217</f>
        <v/>
      </c>
      <c r="H1217" s="5" t="n">
        <v>6</v>
      </c>
      <c r="I1217" s="2">
        <f>ROUND(INDEX(가맹점!$P$2:$P$9,D1217)*INDEX(가맹점!$J$2:$M$9,D1217,E1217),0)</f>
        <v/>
      </c>
      <c r="J1217" s="2">
        <f>ROUND(I1217*(1-할인율),0)</f>
        <v/>
      </c>
      <c r="K1217" s="2">
        <f>ROUNDDOWN(I1217*할인율,0)</f>
        <v/>
      </c>
      <c r="L1217" s="2">
        <f>ROUND(I1217*INDEX(미지급률범위,E1217),0)</f>
        <v/>
      </c>
      <c r="M1217" s="2">
        <f>ROUND(I1217*INDEX(과지급률범위,E1217),0)</f>
        <v/>
      </c>
      <c r="N1217" s="2">
        <f>MAX(0,L1217-M1217)</f>
        <v/>
      </c>
      <c r="O1217" s="2">
        <f>K1217-N1217</f>
        <v/>
      </c>
      <c r="P1217" s="2">
        <f>I1217-N1217</f>
        <v/>
      </c>
      <c r="Q1217" s="5">
        <f>IF(G1217&gt;기준일,1,0)</f>
        <v/>
      </c>
      <c r="R1217" s="5">
        <f>IF(G1217&lt;=기준일,1,0)</f>
        <v/>
      </c>
      <c r="S1217" s="2">
        <f>J1217*H1217</f>
        <v/>
      </c>
      <c r="T1217" s="5">
        <f>IF(AND(F1217&gt;=표본시작,F1217&lt;=표본종료),1,0)</f>
        <v/>
      </c>
      <c r="U1217" s="5">
        <f>IF(AND(G1217&gt;=조회시작,G1217&lt;=조회종료),1,0)</f>
        <v/>
      </c>
    </row>
    <row r="1218">
      <c r="A1218" s="2">
        <f>ROW()-1</f>
        <v/>
      </c>
      <c r="B1218" s="5">
        <f>INDEX(상호범위,D1218)</f>
        <v/>
      </c>
      <c r="C1218" s="5">
        <f>INDEX(플랫폼명범위,E1218)</f>
        <v/>
      </c>
      <c r="D1218" s="2">
        <f>MOD(INT((A1218-1)/4),8)+1</f>
        <v/>
      </c>
      <c r="E1218" s="2">
        <f>MOD(A1218-1,4)+1</f>
        <v/>
      </c>
      <c r="F1218" s="20">
        <f>축시작+INT((A1218-1)/32)</f>
        <v/>
      </c>
      <c r="G1218" s="20">
        <f>F1218+H1218</f>
        <v/>
      </c>
      <c r="H1218" s="5" t="n">
        <v>3</v>
      </c>
      <c r="I1218" s="2">
        <f>ROUND(INDEX(가맹점!$P$2:$P$9,D1218)*INDEX(가맹점!$J$2:$M$9,D1218,E1218),0)</f>
        <v/>
      </c>
      <c r="J1218" s="2">
        <f>ROUND(I1218*(1-할인율),0)</f>
        <v/>
      </c>
      <c r="K1218" s="2">
        <f>ROUNDDOWN(I1218*할인율,0)</f>
        <v/>
      </c>
      <c r="L1218" s="2">
        <f>ROUND(I1218*INDEX(미지급률범위,E1218),0)</f>
        <v/>
      </c>
      <c r="M1218" s="2">
        <f>ROUND(I1218*INDEX(과지급률범위,E1218),0)</f>
        <v/>
      </c>
      <c r="N1218" s="2">
        <f>MAX(0,L1218-M1218)</f>
        <v/>
      </c>
      <c r="O1218" s="2">
        <f>K1218-N1218</f>
        <v/>
      </c>
      <c r="P1218" s="2">
        <f>I1218-N1218</f>
        <v/>
      </c>
      <c r="Q1218" s="5">
        <f>IF(G1218&gt;기준일,1,0)</f>
        <v/>
      </c>
      <c r="R1218" s="5">
        <f>IF(G1218&lt;=기준일,1,0)</f>
        <v/>
      </c>
      <c r="S1218" s="2">
        <f>J1218*H1218</f>
        <v/>
      </c>
      <c r="T1218" s="5">
        <f>IF(AND(F1218&gt;=표본시작,F1218&lt;=표본종료),1,0)</f>
        <v/>
      </c>
      <c r="U1218" s="5">
        <f>IF(AND(G1218&gt;=조회시작,G1218&lt;=조회종료),1,0)</f>
        <v/>
      </c>
    </row>
    <row r="1219">
      <c r="A1219" s="2">
        <f>ROW()-1</f>
        <v/>
      </c>
      <c r="B1219" s="5">
        <f>INDEX(상호범위,D1219)</f>
        <v/>
      </c>
      <c r="C1219" s="5">
        <f>INDEX(플랫폼명범위,E1219)</f>
        <v/>
      </c>
      <c r="D1219" s="2">
        <f>MOD(INT((A1219-1)/4),8)+1</f>
        <v/>
      </c>
      <c r="E1219" s="2">
        <f>MOD(A1219-1,4)+1</f>
        <v/>
      </c>
      <c r="F1219" s="20">
        <f>축시작+INT((A1219-1)/32)</f>
        <v/>
      </c>
      <c r="G1219" s="20">
        <f>F1219+H1219</f>
        <v/>
      </c>
      <c r="H1219" s="5" t="n">
        <v>4</v>
      </c>
      <c r="I1219" s="2">
        <f>ROUND(INDEX(가맹점!$P$2:$P$9,D1219)*INDEX(가맹점!$J$2:$M$9,D1219,E1219),0)</f>
        <v/>
      </c>
      <c r="J1219" s="2">
        <f>ROUND(I1219*(1-할인율),0)</f>
        <v/>
      </c>
      <c r="K1219" s="2">
        <f>ROUNDDOWN(I1219*할인율,0)</f>
        <v/>
      </c>
      <c r="L1219" s="2">
        <f>ROUND(I1219*INDEX(미지급률범위,E1219),0)</f>
        <v/>
      </c>
      <c r="M1219" s="2">
        <f>ROUND(I1219*INDEX(과지급률범위,E1219),0)</f>
        <v/>
      </c>
      <c r="N1219" s="2">
        <f>MAX(0,L1219-M1219)</f>
        <v/>
      </c>
      <c r="O1219" s="2">
        <f>K1219-N1219</f>
        <v/>
      </c>
      <c r="P1219" s="2">
        <f>I1219-N1219</f>
        <v/>
      </c>
      <c r="Q1219" s="5">
        <f>IF(G1219&gt;기준일,1,0)</f>
        <v/>
      </c>
      <c r="R1219" s="5">
        <f>IF(G1219&lt;=기준일,1,0)</f>
        <v/>
      </c>
      <c r="S1219" s="2">
        <f>J1219*H1219</f>
        <v/>
      </c>
      <c r="T1219" s="5">
        <f>IF(AND(F1219&gt;=표본시작,F1219&lt;=표본종료),1,0)</f>
        <v/>
      </c>
      <c r="U1219" s="5">
        <f>IF(AND(G1219&gt;=조회시작,G1219&lt;=조회종료),1,0)</f>
        <v/>
      </c>
    </row>
    <row r="1220">
      <c r="A1220" s="2">
        <f>ROW()-1</f>
        <v/>
      </c>
      <c r="B1220" s="5">
        <f>INDEX(상호범위,D1220)</f>
        <v/>
      </c>
      <c r="C1220" s="5">
        <f>INDEX(플랫폼명범위,E1220)</f>
        <v/>
      </c>
      <c r="D1220" s="2">
        <f>MOD(INT((A1220-1)/4),8)+1</f>
        <v/>
      </c>
      <c r="E1220" s="2">
        <f>MOD(A1220-1,4)+1</f>
        <v/>
      </c>
      <c r="F1220" s="20">
        <f>축시작+INT((A1220-1)/32)</f>
        <v/>
      </c>
      <c r="G1220" s="20">
        <f>F1220+H1220</f>
        <v/>
      </c>
      <c r="H1220" s="5" t="n">
        <v>5</v>
      </c>
      <c r="I1220" s="2">
        <f>ROUND(INDEX(가맹점!$P$2:$P$9,D1220)*INDEX(가맹점!$J$2:$M$9,D1220,E1220),0)</f>
        <v/>
      </c>
      <c r="J1220" s="2">
        <f>ROUND(I1220*(1-할인율),0)</f>
        <v/>
      </c>
      <c r="K1220" s="2">
        <f>ROUNDDOWN(I1220*할인율,0)</f>
        <v/>
      </c>
      <c r="L1220" s="2">
        <f>ROUND(I1220*INDEX(미지급률범위,E1220),0)</f>
        <v/>
      </c>
      <c r="M1220" s="2">
        <f>ROUND(I1220*INDEX(과지급률범위,E1220),0)</f>
        <v/>
      </c>
      <c r="N1220" s="2">
        <f>MAX(0,L1220-M1220)</f>
        <v/>
      </c>
      <c r="O1220" s="2">
        <f>K1220-N1220</f>
        <v/>
      </c>
      <c r="P1220" s="2">
        <f>I1220-N1220</f>
        <v/>
      </c>
      <c r="Q1220" s="5">
        <f>IF(G1220&gt;기준일,1,0)</f>
        <v/>
      </c>
      <c r="R1220" s="5">
        <f>IF(G1220&lt;=기준일,1,0)</f>
        <v/>
      </c>
      <c r="S1220" s="2">
        <f>J1220*H1220</f>
        <v/>
      </c>
      <c r="T1220" s="5">
        <f>IF(AND(F1220&gt;=표본시작,F1220&lt;=표본종료),1,0)</f>
        <v/>
      </c>
      <c r="U1220" s="5">
        <f>IF(AND(G1220&gt;=조회시작,G1220&lt;=조회종료),1,0)</f>
        <v/>
      </c>
    </row>
    <row r="1221">
      <c r="A1221" s="2">
        <f>ROW()-1</f>
        <v/>
      </c>
      <c r="B1221" s="5">
        <f>INDEX(상호범위,D1221)</f>
        <v/>
      </c>
      <c r="C1221" s="5">
        <f>INDEX(플랫폼명범위,E1221)</f>
        <v/>
      </c>
      <c r="D1221" s="2">
        <f>MOD(INT((A1221-1)/4),8)+1</f>
        <v/>
      </c>
      <c r="E1221" s="2">
        <f>MOD(A1221-1,4)+1</f>
        <v/>
      </c>
      <c r="F1221" s="20">
        <f>축시작+INT((A1221-1)/32)</f>
        <v/>
      </c>
      <c r="G1221" s="20">
        <f>F1221+H1221</f>
        <v/>
      </c>
      <c r="H1221" s="5" t="n">
        <v>6</v>
      </c>
      <c r="I1221" s="2">
        <f>ROUND(INDEX(가맹점!$P$2:$P$9,D1221)*INDEX(가맹점!$J$2:$M$9,D1221,E1221),0)</f>
        <v/>
      </c>
      <c r="J1221" s="2">
        <f>ROUND(I1221*(1-할인율),0)</f>
        <v/>
      </c>
      <c r="K1221" s="2">
        <f>ROUNDDOWN(I1221*할인율,0)</f>
        <v/>
      </c>
      <c r="L1221" s="2">
        <f>ROUND(I1221*INDEX(미지급률범위,E1221),0)</f>
        <v/>
      </c>
      <c r="M1221" s="2">
        <f>ROUND(I1221*INDEX(과지급률범위,E1221),0)</f>
        <v/>
      </c>
      <c r="N1221" s="2">
        <f>MAX(0,L1221-M1221)</f>
        <v/>
      </c>
      <c r="O1221" s="2">
        <f>K1221-N1221</f>
        <v/>
      </c>
      <c r="P1221" s="2">
        <f>I1221-N1221</f>
        <v/>
      </c>
      <c r="Q1221" s="5">
        <f>IF(G1221&gt;기준일,1,0)</f>
        <v/>
      </c>
      <c r="R1221" s="5">
        <f>IF(G1221&lt;=기준일,1,0)</f>
        <v/>
      </c>
      <c r="S1221" s="2">
        <f>J1221*H1221</f>
        <v/>
      </c>
      <c r="T1221" s="5">
        <f>IF(AND(F1221&gt;=표본시작,F1221&lt;=표본종료),1,0)</f>
        <v/>
      </c>
      <c r="U1221" s="5">
        <f>IF(AND(G1221&gt;=조회시작,G1221&lt;=조회종료),1,0)</f>
        <v/>
      </c>
    </row>
    <row r="1222">
      <c r="A1222" s="2">
        <f>ROW()-1</f>
        <v/>
      </c>
      <c r="B1222" s="5">
        <f>INDEX(상호범위,D1222)</f>
        <v/>
      </c>
      <c r="C1222" s="5">
        <f>INDEX(플랫폼명범위,E1222)</f>
        <v/>
      </c>
      <c r="D1222" s="2">
        <f>MOD(INT((A1222-1)/4),8)+1</f>
        <v/>
      </c>
      <c r="E1222" s="2">
        <f>MOD(A1222-1,4)+1</f>
        <v/>
      </c>
      <c r="F1222" s="20">
        <f>축시작+INT((A1222-1)/32)</f>
        <v/>
      </c>
      <c r="G1222" s="20">
        <f>F1222+H1222</f>
        <v/>
      </c>
      <c r="H1222" s="5" t="n">
        <v>2</v>
      </c>
      <c r="I1222" s="2">
        <f>ROUND(INDEX(가맹점!$P$2:$P$9,D1222)*INDEX(가맹점!$J$2:$M$9,D1222,E1222),0)</f>
        <v/>
      </c>
      <c r="J1222" s="2">
        <f>ROUND(I1222*(1-할인율),0)</f>
        <v/>
      </c>
      <c r="K1222" s="2">
        <f>ROUNDDOWN(I1222*할인율,0)</f>
        <v/>
      </c>
      <c r="L1222" s="2">
        <f>ROUND(I1222*INDEX(미지급률범위,E1222),0)</f>
        <v/>
      </c>
      <c r="M1222" s="2">
        <f>ROUND(I1222*INDEX(과지급률범위,E1222),0)</f>
        <v/>
      </c>
      <c r="N1222" s="2">
        <f>MAX(0,L1222-M1222)</f>
        <v/>
      </c>
      <c r="O1222" s="2">
        <f>K1222-N1222</f>
        <v/>
      </c>
      <c r="P1222" s="2">
        <f>I1222-N1222</f>
        <v/>
      </c>
      <c r="Q1222" s="5">
        <f>IF(G1222&gt;기준일,1,0)</f>
        <v/>
      </c>
      <c r="R1222" s="5">
        <f>IF(G1222&lt;=기준일,1,0)</f>
        <v/>
      </c>
      <c r="S1222" s="2">
        <f>J1222*H1222</f>
        <v/>
      </c>
      <c r="T1222" s="5">
        <f>IF(AND(F1222&gt;=표본시작,F1222&lt;=표본종료),1,0)</f>
        <v/>
      </c>
      <c r="U1222" s="5">
        <f>IF(AND(G1222&gt;=조회시작,G1222&lt;=조회종료),1,0)</f>
        <v/>
      </c>
    </row>
    <row r="1223">
      <c r="A1223" s="2">
        <f>ROW()-1</f>
        <v/>
      </c>
      <c r="B1223" s="5">
        <f>INDEX(상호범위,D1223)</f>
        <v/>
      </c>
      <c r="C1223" s="5">
        <f>INDEX(플랫폼명범위,E1223)</f>
        <v/>
      </c>
      <c r="D1223" s="2">
        <f>MOD(INT((A1223-1)/4),8)+1</f>
        <v/>
      </c>
      <c r="E1223" s="2">
        <f>MOD(A1223-1,4)+1</f>
        <v/>
      </c>
      <c r="F1223" s="20">
        <f>축시작+INT((A1223-1)/32)</f>
        <v/>
      </c>
      <c r="G1223" s="20">
        <f>F1223+H1223</f>
        <v/>
      </c>
      <c r="H1223" s="5" t="n">
        <v>4</v>
      </c>
      <c r="I1223" s="2">
        <f>ROUND(INDEX(가맹점!$P$2:$P$9,D1223)*INDEX(가맹점!$J$2:$M$9,D1223,E1223),0)</f>
        <v/>
      </c>
      <c r="J1223" s="2">
        <f>ROUND(I1223*(1-할인율),0)</f>
        <v/>
      </c>
      <c r="K1223" s="2">
        <f>ROUNDDOWN(I1223*할인율,0)</f>
        <v/>
      </c>
      <c r="L1223" s="2">
        <f>ROUND(I1223*INDEX(미지급률범위,E1223),0)</f>
        <v/>
      </c>
      <c r="M1223" s="2">
        <f>ROUND(I1223*INDEX(과지급률범위,E1223),0)</f>
        <v/>
      </c>
      <c r="N1223" s="2">
        <f>MAX(0,L1223-M1223)</f>
        <v/>
      </c>
      <c r="O1223" s="2">
        <f>K1223-N1223</f>
        <v/>
      </c>
      <c r="P1223" s="2">
        <f>I1223-N1223</f>
        <v/>
      </c>
      <c r="Q1223" s="5">
        <f>IF(G1223&gt;기준일,1,0)</f>
        <v/>
      </c>
      <c r="R1223" s="5">
        <f>IF(G1223&lt;=기준일,1,0)</f>
        <v/>
      </c>
      <c r="S1223" s="2">
        <f>J1223*H1223</f>
        <v/>
      </c>
      <c r="T1223" s="5">
        <f>IF(AND(F1223&gt;=표본시작,F1223&lt;=표본종료),1,0)</f>
        <v/>
      </c>
      <c r="U1223" s="5">
        <f>IF(AND(G1223&gt;=조회시작,G1223&lt;=조회종료),1,0)</f>
        <v/>
      </c>
    </row>
    <row r="1224">
      <c r="A1224" s="2">
        <f>ROW()-1</f>
        <v/>
      </c>
      <c r="B1224" s="5">
        <f>INDEX(상호범위,D1224)</f>
        <v/>
      </c>
      <c r="C1224" s="5">
        <f>INDEX(플랫폼명범위,E1224)</f>
        <v/>
      </c>
      <c r="D1224" s="2">
        <f>MOD(INT((A1224-1)/4),8)+1</f>
        <v/>
      </c>
      <c r="E1224" s="2">
        <f>MOD(A1224-1,4)+1</f>
        <v/>
      </c>
      <c r="F1224" s="20">
        <f>축시작+INT((A1224-1)/32)</f>
        <v/>
      </c>
      <c r="G1224" s="20">
        <f>F1224+H1224</f>
        <v/>
      </c>
      <c r="H1224" s="5" t="n">
        <v>5</v>
      </c>
      <c r="I1224" s="2">
        <f>ROUND(INDEX(가맹점!$P$2:$P$9,D1224)*INDEX(가맹점!$J$2:$M$9,D1224,E1224),0)</f>
        <v/>
      </c>
      <c r="J1224" s="2">
        <f>ROUND(I1224*(1-할인율),0)</f>
        <v/>
      </c>
      <c r="K1224" s="2">
        <f>ROUNDDOWN(I1224*할인율,0)</f>
        <v/>
      </c>
      <c r="L1224" s="2">
        <f>ROUND(I1224*INDEX(미지급률범위,E1224),0)</f>
        <v/>
      </c>
      <c r="M1224" s="2">
        <f>ROUND(I1224*INDEX(과지급률범위,E1224),0)</f>
        <v/>
      </c>
      <c r="N1224" s="2">
        <f>MAX(0,L1224-M1224)</f>
        <v/>
      </c>
      <c r="O1224" s="2">
        <f>K1224-N1224</f>
        <v/>
      </c>
      <c r="P1224" s="2">
        <f>I1224-N1224</f>
        <v/>
      </c>
      <c r="Q1224" s="5">
        <f>IF(G1224&gt;기준일,1,0)</f>
        <v/>
      </c>
      <c r="R1224" s="5">
        <f>IF(G1224&lt;=기준일,1,0)</f>
        <v/>
      </c>
      <c r="S1224" s="2">
        <f>J1224*H1224</f>
        <v/>
      </c>
      <c r="T1224" s="5">
        <f>IF(AND(F1224&gt;=표본시작,F1224&lt;=표본종료),1,0)</f>
        <v/>
      </c>
      <c r="U1224" s="5">
        <f>IF(AND(G1224&gt;=조회시작,G1224&lt;=조회종료),1,0)</f>
        <v/>
      </c>
    </row>
    <row r="1225">
      <c r="A1225" s="2">
        <f>ROW()-1</f>
        <v/>
      </c>
      <c r="B1225" s="5">
        <f>INDEX(상호범위,D1225)</f>
        <v/>
      </c>
      <c r="C1225" s="5">
        <f>INDEX(플랫폼명범위,E1225)</f>
        <v/>
      </c>
      <c r="D1225" s="2">
        <f>MOD(INT((A1225-1)/4),8)+1</f>
        <v/>
      </c>
      <c r="E1225" s="2">
        <f>MOD(A1225-1,4)+1</f>
        <v/>
      </c>
      <c r="F1225" s="20">
        <f>축시작+INT((A1225-1)/32)</f>
        <v/>
      </c>
      <c r="G1225" s="20">
        <f>F1225+H1225</f>
        <v/>
      </c>
      <c r="H1225" s="5" t="n">
        <v>6</v>
      </c>
      <c r="I1225" s="2">
        <f>ROUND(INDEX(가맹점!$P$2:$P$9,D1225)*INDEX(가맹점!$J$2:$M$9,D1225,E1225),0)</f>
        <v/>
      </c>
      <c r="J1225" s="2">
        <f>ROUND(I1225*(1-할인율),0)</f>
        <v/>
      </c>
      <c r="K1225" s="2">
        <f>ROUNDDOWN(I1225*할인율,0)</f>
        <v/>
      </c>
      <c r="L1225" s="2">
        <f>ROUND(I1225*INDEX(미지급률범위,E1225),0)</f>
        <v/>
      </c>
      <c r="M1225" s="2">
        <f>ROUND(I1225*INDEX(과지급률범위,E1225),0)</f>
        <v/>
      </c>
      <c r="N1225" s="2">
        <f>MAX(0,L1225-M1225)</f>
        <v/>
      </c>
      <c r="O1225" s="2">
        <f>K1225-N1225</f>
        <v/>
      </c>
      <c r="P1225" s="2">
        <f>I1225-N1225</f>
        <v/>
      </c>
      <c r="Q1225" s="5">
        <f>IF(G1225&gt;기준일,1,0)</f>
        <v/>
      </c>
      <c r="R1225" s="5">
        <f>IF(G1225&lt;=기준일,1,0)</f>
        <v/>
      </c>
      <c r="S1225" s="2">
        <f>J1225*H1225</f>
        <v/>
      </c>
      <c r="T1225" s="5">
        <f>IF(AND(F1225&gt;=표본시작,F1225&lt;=표본종료),1,0)</f>
        <v/>
      </c>
      <c r="U1225" s="5">
        <f>IF(AND(G1225&gt;=조회시작,G1225&lt;=조회종료),1,0)</f>
        <v/>
      </c>
    </row>
    <row r="1226">
      <c r="A1226" s="2">
        <f>ROW()-1</f>
        <v/>
      </c>
      <c r="B1226" s="5">
        <f>INDEX(상호범위,D1226)</f>
        <v/>
      </c>
      <c r="C1226" s="5">
        <f>INDEX(플랫폼명범위,E1226)</f>
        <v/>
      </c>
      <c r="D1226" s="2">
        <f>MOD(INT((A1226-1)/4),8)+1</f>
        <v/>
      </c>
      <c r="E1226" s="2">
        <f>MOD(A1226-1,4)+1</f>
        <v/>
      </c>
      <c r="F1226" s="20">
        <f>축시작+INT((A1226-1)/32)</f>
        <v/>
      </c>
      <c r="G1226" s="20">
        <f>F1226+H1226</f>
        <v/>
      </c>
      <c r="H1226" s="5" t="n">
        <v>4</v>
      </c>
      <c r="I1226" s="2">
        <f>ROUND(INDEX(가맹점!$P$2:$P$9,D1226)*INDEX(가맹점!$J$2:$M$9,D1226,E1226),0)</f>
        <v/>
      </c>
      <c r="J1226" s="2">
        <f>ROUND(I1226*(1-할인율),0)</f>
        <v/>
      </c>
      <c r="K1226" s="2">
        <f>ROUNDDOWN(I1226*할인율,0)</f>
        <v/>
      </c>
      <c r="L1226" s="2">
        <f>ROUND(I1226*INDEX(미지급률범위,E1226),0)</f>
        <v/>
      </c>
      <c r="M1226" s="2">
        <f>ROUND(I1226*INDEX(과지급률범위,E1226),0)</f>
        <v/>
      </c>
      <c r="N1226" s="2">
        <f>MAX(0,L1226-M1226)</f>
        <v/>
      </c>
      <c r="O1226" s="2">
        <f>K1226-N1226</f>
        <v/>
      </c>
      <c r="P1226" s="2">
        <f>I1226-N1226</f>
        <v/>
      </c>
      <c r="Q1226" s="5">
        <f>IF(G1226&gt;기준일,1,0)</f>
        <v/>
      </c>
      <c r="R1226" s="5">
        <f>IF(G1226&lt;=기준일,1,0)</f>
        <v/>
      </c>
      <c r="S1226" s="2">
        <f>J1226*H1226</f>
        <v/>
      </c>
      <c r="T1226" s="5">
        <f>IF(AND(F1226&gt;=표본시작,F1226&lt;=표본종료),1,0)</f>
        <v/>
      </c>
      <c r="U1226" s="5">
        <f>IF(AND(G1226&gt;=조회시작,G1226&lt;=조회종료),1,0)</f>
        <v/>
      </c>
    </row>
    <row r="1227">
      <c r="A1227" s="2">
        <f>ROW()-1</f>
        <v/>
      </c>
      <c r="B1227" s="5">
        <f>INDEX(상호범위,D1227)</f>
        <v/>
      </c>
      <c r="C1227" s="5">
        <f>INDEX(플랫폼명범위,E1227)</f>
        <v/>
      </c>
      <c r="D1227" s="2">
        <f>MOD(INT((A1227-1)/4),8)+1</f>
        <v/>
      </c>
      <c r="E1227" s="2">
        <f>MOD(A1227-1,4)+1</f>
        <v/>
      </c>
      <c r="F1227" s="20">
        <f>축시작+INT((A1227-1)/32)</f>
        <v/>
      </c>
      <c r="G1227" s="20">
        <f>F1227+H1227</f>
        <v/>
      </c>
      <c r="H1227" s="5" t="n">
        <v>4</v>
      </c>
      <c r="I1227" s="2">
        <f>ROUND(INDEX(가맹점!$P$2:$P$9,D1227)*INDEX(가맹점!$J$2:$M$9,D1227,E1227),0)</f>
        <v/>
      </c>
      <c r="J1227" s="2">
        <f>ROUND(I1227*(1-할인율),0)</f>
        <v/>
      </c>
      <c r="K1227" s="2">
        <f>ROUNDDOWN(I1227*할인율,0)</f>
        <v/>
      </c>
      <c r="L1227" s="2">
        <f>ROUND(I1227*INDEX(미지급률범위,E1227),0)</f>
        <v/>
      </c>
      <c r="M1227" s="2">
        <f>ROUND(I1227*INDEX(과지급률범위,E1227),0)</f>
        <v/>
      </c>
      <c r="N1227" s="2">
        <f>MAX(0,L1227-M1227)</f>
        <v/>
      </c>
      <c r="O1227" s="2">
        <f>K1227-N1227</f>
        <v/>
      </c>
      <c r="P1227" s="2">
        <f>I1227-N1227</f>
        <v/>
      </c>
      <c r="Q1227" s="5">
        <f>IF(G1227&gt;기준일,1,0)</f>
        <v/>
      </c>
      <c r="R1227" s="5">
        <f>IF(G1227&lt;=기준일,1,0)</f>
        <v/>
      </c>
      <c r="S1227" s="2">
        <f>J1227*H1227</f>
        <v/>
      </c>
      <c r="T1227" s="5">
        <f>IF(AND(F1227&gt;=표본시작,F1227&lt;=표본종료),1,0)</f>
        <v/>
      </c>
      <c r="U1227" s="5">
        <f>IF(AND(G1227&gt;=조회시작,G1227&lt;=조회종료),1,0)</f>
        <v/>
      </c>
    </row>
    <row r="1228">
      <c r="A1228" s="2">
        <f>ROW()-1</f>
        <v/>
      </c>
      <c r="B1228" s="5">
        <f>INDEX(상호범위,D1228)</f>
        <v/>
      </c>
      <c r="C1228" s="5">
        <f>INDEX(플랫폼명범위,E1228)</f>
        <v/>
      </c>
      <c r="D1228" s="2">
        <f>MOD(INT((A1228-1)/4),8)+1</f>
        <v/>
      </c>
      <c r="E1228" s="2">
        <f>MOD(A1228-1,4)+1</f>
        <v/>
      </c>
      <c r="F1228" s="20">
        <f>축시작+INT((A1228-1)/32)</f>
        <v/>
      </c>
      <c r="G1228" s="20">
        <f>F1228+H1228</f>
        <v/>
      </c>
      <c r="H1228" s="5" t="n">
        <v>5</v>
      </c>
      <c r="I1228" s="2">
        <f>ROUND(INDEX(가맹점!$P$2:$P$9,D1228)*INDEX(가맹점!$J$2:$M$9,D1228,E1228),0)</f>
        <v/>
      </c>
      <c r="J1228" s="2">
        <f>ROUND(I1228*(1-할인율),0)</f>
        <v/>
      </c>
      <c r="K1228" s="2">
        <f>ROUNDDOWN(I1228*할인율,0)</f>
        <v/>
      </c>
      <c r="L1228" s="2">
        <f>ROUND(I1228*INDEX(미지급률범위,E1228),0)</f>
        <v/>
      </c>
      <c r="M1228" s="2">
        <f>ROUND(I1228*INDEX(과지급률범위,E1228),0)</f>
        <v/>
      </c>
      <c r="N1228" s="2">
        <f>MAX(0,L1228-M1228)</f>
        <v/>
      </c>
      <c r="O1228" s="2">
        <f>K1228-N1228</f>
        <v/>
      </c>
      <c r="P1228" s="2">
        <f>I1228-N1228</f>
        <v/>
      </c>
      <c r="Q1228" s="5">
        <f>IF(G1228&gt;기준일,1,0)</f>
        <v/>
      </c>
      <c r="R1228" s="5">
        <f>IF(G1228&lt;=기준일,1,0)</f>
        <v/>
      </c>
      <c r="S1228" s="2">
        <f>J1228*H1228</f>
        <v/>
      </c>
      <c r="T1228" s="5">
        <f>IF(AND(F1228&gt;=표본시작,F1228&lt;=표본종료),1,0)</f>
        <v/>
      </c>
      <c r="U1228" s="5">
        <f>IF(AND(G1228&gt;=조회시작,G1228&lt;=조회종료),1,0)</f>
        <v/>
      </c>
    </row>
    <row r="1229">
      <c r="A1229" s="2">
        <f>ROW()-1</f>
        <v/>
      </c>
      <c r="B1229" s="5">
        <f>INDEX(상호범위,D1229)</f>
        <v/>
      </c>
      <c r="C1229" s="5">
        <f>INDEX(플랫폼명범위,E1229)</f>
        <v/>
      </c>
      <c r="D1229" s="2">
        <f>MOD(INT((A1229-1)/4),8)+1</f>
        <v/>
      </c>
      <c r="E1229" s="2">
        <f>MOD(A1229-1,4)+1</f>
        <v/>
      </c>
      <c r="F1229" s="20">
        <f>축시작+INT((A1229-1)/32)</f>
        <v/>
      </c>
      <c r="G1229" s="20">
        <f>F1229+H1229</f>
        <v/>
      </c>
      <c r="H1229" s="5" t="n">
        <v>7</v>
      </c>
      <c r="I1229" s="2">
        <f>ROUND(INDEX(가맹점!$P$2:$P$9,D1229)*INDEX(가맹점!$J$2:$M$9,D1229,E1229),0)</f>
        <v/>
      </c>
      <c r="J1229" s="2">
        <f>ROUND(I1229*(1-할인율),0)</f>
        <v/>
      </c>
      <c r="K1229" s="2">
        <f>ROUNDDOWN(I1229*할인율,0)</f>
        <v/>
      </c>
      <c r="L1229" s="2">
        <f>ROUND(I1229*INDEX(미지급률범위,E1229),0)</f>
        <v/>
      </c>
      <c r="M1229" s="2">
        <f>ROUND(I1229*INDEX(과지급률범위,E1229),0)</f>
        <v/>
      </c>
      <c r="N1229" s="2">
        <f>MAX(0,L1229-M1229)</f>
        <v/>
      </c>
      <c r="O1229" s="2">
        <f>K1229-N1229</f>
        <v/>
      </c>
      <c r="P1229" s="2">
        <f>I1229-N1229</f>
        <v/>
      </c>
      <c r="Q1229" s="5">
        <f>IF(G1229&gt;기준일,1,0)</f>
        <v/>
      </c>
      <c r="R1229" s="5">
        <f>IF(G1229&lt;=기준일,1,0)</f>
        <v/>
      </c>
      <c r="S1229" s="2">
        <f>J1229*H1229</f>
        <v/>
      </c>
      <c r="T1229" s="5">
        <f>IF(AND(F1229&gt;=표본시작,F1229&lt;=표본종료),1,0)</f>
        <v/>
      </c>
      <c r="U1229" s="5">
        <f>IF(AND(G1229&gt;=조회시작,G1229&lt;=조회종료),1,0)</f>
        <v/>
      </c>
    </row>
    <row r="1230">
      <c r="A1230" s="2">
        <f>ROW()-1</f>
        <v/>
      </c>
      <c r="B1230" s="5">
        <f>INDEX(상호범위,D1230)</f>
        <v/>
      </c>
      <c r="C1230" s="5">
        <f>INDEX(플랫폼명범위,E1230)</f>
        <v/>
      </c>
      <c r="D1230" s="2">
        <f>MOD(INT((A1230-1)/4),8)+1</f>
        <v/>
      </c>
      <c r="E1230" s="2">
        <f>MOD(A1230-1,4)+1</f>
        <v/>
      </c>
      <c r="F1230" s="20">
        <f>축시작+INT((A1230-1)/32)</f>
        <v/>
      </c>
      <c r="G1230" s="20">
        <f>F1230+H1230</f>
        <v/>
      </c>
      <c r="H1230" s="5" t="n">
        <v>4</v>
      </c>
      <c r="I1230" s="2">
        <f>ROUND(INDEX(가맹점!$P$2:$P$9,D1230)*INDEX(가맹점!$J$2:$M$9,D1230,E1230),0)</f>
        <v/>
      </c>
      <c r="J1230" s="2">
        <f>ROUND(I1230*(1-할인율),0)</f>
        <v/>
      </c>
      <c r="K1230" s="2">
        <f>ROUNDDOWN(I1230*할인율,0)</f>
        <v/>
      </c>
      <c r="L1230" s="2">
        <f>ROUND(I1230*INDEX(미지급률범위,E1230),0)</f>
        <v/>
      </c>
      <c r="M1230" s="2">
        <f>ROUND(I1230*INDEX(과지급률범위,E1230),0)</f>
        <v/>
      </c>
      <c r="N1230" s="2">
        <f>MAX(0,L1230-M1230)</f>
        <v/>
      </c>
      <c r="O1230" s="2">
        <f>K1230-N1230</f>
        <v/>
      </c>
      <c r="P1230" s="2">
        <f>I1230-N1230</f>
        <v/>
      </c>
      <c r="Q1230" s="5">
        <f>IF(G1230&gt;기준일,1,0)</f>
        <v/>
      </c>
      <c r="R1230" s="5">
        <f>IF(G1230&lt;=기준일,1,0)</f>
        <v/>
      </c>
      <c r="S1230" s="2">
        <f>J1230*H1230</f>
        <v/>
      </c>
      <c r="T1230" s="5">
        <f>IF(AND(F1230&gt;=표본시작,F1230&lt;=표본종료),1,0)</f>
        <v/>
      </c>
      <c r="U1230" s="5">
        <f>IF(AND(G1230&gt;=조회시작,G1230&lt;=조회종료),1,0)</f>
        <v/>
      </c>
    </row>
    <row r="1231">
      <c r="A1231" s="2">
        <f>ROW()-1</f>
        <v/>
      </c>
      <c r="B1231" s="5">
        <f>INDEX(상호범위,D1231)</f>
        <v/>
      </c>
      <c r="C1231" s="5">
        <f>INDEX(플랫폼명범위,E1231)</f>
        <v/>
      </c>
      <c r="D1231" s="2">
        <f>MOD(INT((A1231-1)/4),8)+1</f>
        <v/>
      </c>
      <c r="E1231" s="2">
        <f>MOD(A1231-1,4)+1</f>
        <v/>
      </c>
      <c r="F1231" s="20">
        <f>축시작+INT((A1231-1)/32)</f>
        <v/>
      </c>
      <c r="G1231" s="20">
        <f>F1231+H1231</f>
        <v/>
      </c>
      <c r="H1231" s="5" t="n">
        <v>4</v>
      </c>
      <c r="I1231" s="2">
        <f>ROUND(INDEX(가맹점!$P$2:$P$9,D1231)*INDEX(가맹점!$J$2:$M$9,D1231,E1231),0)</f>
        <v/>
      </c>
      <c r="J1231" s="2">
        <f>ROUND(I1231*(1-할인율),0)</f>
        <v/>
      </c>
      <c r="K1231" s="2">
        <f>ROUNDDOWN(I1231*할인율,0)</f>
        <v/>
      </c>
      <c r="L1231" s="2">
        <f>ROUND(I1231*INDEX(미지급률범위,E1231),0)</f>
        <v/>
      </c>
      <c r="M1231" s="2">
        <f>ROUND(I1231*INDEX(과지급률범위,E1231),0)</f>
        <v/>
      </c>
      <c r="N1231" s="2">
        <f>MAX(0,L1231-M1231)</f>
        <v/>
      </c>
      <c r="O1231" s="2">
        <f>K1231-N1231</f>
        <v/>
      </c>
      <c r="P1231" s="2">
        <f>I1231-N1231</f>
        <v/>
      </c>
      <c r="Q1231" s="5">
        <f>IF(G1231&gt;기준일,1,0)</f>
        <v/>
      </c>
      <c r="R1231" s="5">
        <f>IF(G1231&lt;=기준일,1,0)</f>
        <v/>
      </c>
      <c r="S1231" s="2">
        <f>J1231*H1231</f>
        <v/>
      </c>
      <c r="T1231" s="5">
        <f>IF(AND(F1231&gt;=표본시작,F1231&lt;=표본종료),1,0)</f>
        <v/>
      </c>
      <c r="U1231" s="5">
        <f>IF(AND(G1231&gt;=조회시작,G1231&lt;=조회종료),1,0)</f>
        <v/>
      </c>
    </row>
    <row r="1232">
      <c r="A1232" s="2">
        <f>ROW()-1</f>
        <v/>
      </c>
      <c r="B1232" s="5">
        <f>INDEX(상호범위,D1232)</f>
        <v/>
      </c>
      <c r="C1232" s="5">
        <f>INDEX(플랫폼명범위,E1232)</f>
        <v/>
      </c>
      <c r="D1232" s="2">
        <f>MOD(INT((A1232-1)/4),8)+1</f>
        <v/>
      </c>
      <c r="E1232" s="2">
        <f>MOD(A1232-1,4)+1</f>
        <v/>
      </c>
      <c r="F1232" s="20">
        <f>축시작+INT((A1232-1)/32)</f>
        <v/>
      </c>
      <c r="G1232" s="20">
        <f>F1232+H1232</f>
        <v/>
      </c>
      <c r="H1232" s="5" t="n">
        <v>5</v>
      </c>
      <c r="I1232" s="2">
        <f>ROUND(INDEX(가맹점!$P$2:$P$9,D1232)*INDEX(가맹점!$J$2:$M$9,D1232,E1232),0)</f>
        <v/>
      </c>
      <c r="J1232" s="2">
        <f>ROUND(I1232*(1-할인율),0)</f>
        <v/>
      </c>
      <c r="K1232" s="2">
        <f>ROUNDDOWN(I1232*할인율,0)</f>
        <v/>
      </c>
      <c r="L1232" s="2">
        <f>ROUND(I1232*INDEX(미지급률범위,E1232),0)</f>
        <v/>
      </c>
      <c r="M1232" s="2">
        <f>ROUND(I1232*INDEX(과지급률범위,E1232),0)</f>
        <v/>
      </c>
      <c r="N1232" s="2">
        <f>MAX(0,L1232-M1232)</f>
        <v/>
      </c>
      <c r="O1232" s="2">
        <f>K1232-N1232</f>
        <v/>
      </c>
      <c r="P1232" s="2">
        <f>I1232-N1232</f>
        <v/>
      </c>
      <c r="Q1232" s="5">
        <f>IF(G1232&gt;기준일,1,0)</f>
        <v/>
      </c>
      <c r="R1232" s="5">
        <f>IF(G1232&lt;=기준일,1,0)</f>
        <v/>
      </c>
      <c r="S1232" s="2">
        <f>J1232*H1232</f>
        <v/>
      </c>
      <c r="T1232" s="5">
        <f>IF(AND(F1232&gt;=표본시작,F1232&lt;=표본종료),1,0)</f>
        <v/>
      </c>
      <c r="U1232" s="5">
        <f>IF(AND(G1232&gt;=조회시작,G1232&lt;=조회종료),1,0)</f>
        <v/>
      </c>
    </row>
    <row r="1233">
      <c r="A1233" s="2">
        <f>ROW()-1</f>
        <v/>
      </c>
      <c r="B1233" s="5">
        <f>INDEX(상호범위,D1233)</f>
        <v/>
      </c>
      <c r="C1233" s="5">
        <f>INDEX(플랫폼명범위,E1233)</f>
        <v/>
      </c>
      <c r="D1233" s="2">
        <f>MOD(INT((A1233-1)/4),8)+1</f>
        <v/>
      </c>
      <c r="E1233" s="2">
        <f>MOD(A1233-1,4)+1</f>
        <v/>
      </c>
      <c r="F1233" s="20">
        <f>축시작+INT((A1233-1)/32)</f>
        <v/>
      </c>
      <c r="G1233" s="20">
        <f>F1233+H1233</f>
        <v/>
      </c>
      <c r="H1233" s="5" t="n">
        <v>6</v>
      </c>
      <c r="I1233" s="2">
        <f>ROUND(INDEX(가맹점!$P$2:$P$9,D1233)*INDEX(가맹점!$J$2:$M$9,D1233,E1233),0)</f>
        <v/>
      </c>
      <c r="J1233" s="2">
        <f>ROUND(I1233*(1-할인율),0)</f>
        <v/>
      </c>
      <c r="K1233" s="2">
        <f>ROUNDDOWN(I1233*할인율,0)</f>
        <v/>
      </c>
      <c r="L1233" s="2">
        <f>ROUND(I1233*INDEX(미지급률범위,E1233),0)</f>
        <v/>
      </c>
      <c r="M1233" s="2">
        <f>ROUND(I1233*INDEX(과지급률범위,E1233),0)</f>
        <v/>
      </c>
      <c r="N1233" s="2">
        <f>MAX(0,L1233-M1233)</f>
        <v/>
      </c>
      <c r="O1233" s="2">
        <f>K1233-N1233</f>
        <v/>
      </c>
      <c r="P1233" s="2">
        <f>I1233-N1233</f>
        <v/>
      </c>
      <c r="Q1233" s="5">
        <f>IF(G1233&gt;기준일,1,0)</f>
        <v/>
      </c>
      <c r="R1233" s="5">
        <f>IF(G1233&lt;=기준일,1,0)</f>
        <v/>
      </c>
      <c r="S1233" s="2">
        <f>J1233*H1233</f>
        <v/>
      </c>
      <c r="T1233" s="5">
        <f>IF(AND(F1233&gt;=표본시작,F1233&lt;=표본종료),1,0)</f>
        <v/>
      </c>
      <c r="U1233" s="5">
        <f>IF(AND(G1233&gt;=조회시작,G1233&lt;=조회종료),1,0)</f>
        <v/>
      </c>
    </row>
    <row r="1234">
      <c r="A1234" s="2">
        <f>ROW()-1</f>
        <v/>
      </c>
      <c r="B1234" s="5">
        <f>INDEX(상호범위,D1234)</f>
        <v/>
      </c>
      <c r="C1234" s="5">
        <f>INDEX(플랫폼명범위,E1234)</f>
        <v/>
      </c>
      <c r="D1234" s="2">
        <f>MOD(INT((A1234-1)/4),8)+1</f>
        <v/>
      </c>
      <c r="E1234" s="2">
        <f>MOD(A1234-1,4)+1</f>
        <v/>
      </c>
      <c r="F1234" s="20">
        <f>축시작+INT((A1234-1)/32)</f>
        <v/>
      </c>
      <c r="G1234" s="20">
        <f>F1234+H1234</f>
        <v/>
      </c>
      <c r="H1234" s="5" t="n">
        <v>4</v>
      </c>
      <c r="I1234" s="2">
        <f>ROUND(INDEX(가맹점!$P$2:$P$9,D1234)*INDEX(가맹점!$J$2:$M$9,D1234,E1234),0)</f>
        <v/>
      </c>
      <c r="J1234" s="2">
        <f>ROUND(I1234*(1-할인율),0)</f>
        <v/>
      </c>
      <c r="K1234" s="2">
        <f>ROUNDDOWN(I1234*할인율,0)</f>
        <v/>
      </c>
      <c r="L1234" s="2">
        <f>ROUND(I1234*INDEX(미지급률범위,E1234),0)</f>
        <v/>
      </c>
      <c r="M1234" s="2">
        <f>ROUND(I1234*INDEX(과지급률범위,E1234),0)</f>
        <v/>
      </c>
      <c r="N1234" s="2">
        <f>MAX(0,L1234-M1234)</f>
        <v/>
      </c>
      <c r="O1234" s="2">
        <f>K1234-N1234</f>
        <v/>
      </c>
      <c r="P1234" s="2">
        <f>I1234-N1234</f>
        <v/>
      </c>
      <c r="Q1234" s="5">
        <f>IF(G1234&gt;기준일,1,0)</f>
        <v/>
      </c>
      <c r="R1234" s="5">
        <f>IF(G1234&lt;=기준일,1,0)</f>
        <v/>
      </c>
      <c r="S1234" s="2">
        <f>J1234*H1234</f>
        <v/>
      </c>
      <c r="T1234" s="5">
        <f>IF(AND(F1234&gt;=표본시작,F1234&lt;=표본종료),1,0)</f>
        <v/>
      </c>
      <c r="U1234" s="5">
        <f>IF(AND(G1234&gt;=조회시작,G1234&lt;=조회종료),1,0)</f>
        <v/>
      </c>
    </row>
    <row r="1235">
      <c r="A1235" s="2">
        <f>ROW()-1</f>
        <v/>
      </c>
      <c r="B1235" s="5">
        <f>INDEX(상호범위,D1235)</f>
        <v/>
      </c>
      <c r="C1235" s="5">
        <f>INDEX(플랫폼명범위,E1235)</f>
        <v/>
      </c>
      <c r="D1235" s="2">
        <f>MOD(INT((A1235-1)/4),8)+1</f>
        <v/>
      </c>
      <c r="E1235" s="2">
        <f>MOD(A1235-1,4)+1</f>
        <v/>
      </c>
      <c r="F1235" s="20">
        <f>축시작+INT((A1235-1)/32)</f>
        <v/>
      </c>
      <c r="G1235" s="20">
        <f>F1235+H1235</f>
        <v/>
      </c>
      <c r="H1235" s="5" t="n">
        <v>4</v>
      </c>
      <c r="I1235" s="2">
        <f>ROUND(INDEX(가맹점!$P$2:$P$9,D1235)*INDEX(가맹점!$J$2:$M$9,D1235,E1235),0)</f>
        <v/>
      </c>
      <c r="J1235" s="2">
        <f>ROUND(I1235*(1-할인율),0)</f>
        <v/>
      </c>
      <c r="K1235" s="2">
        <f>ROUNDDOWN(I1235*할인율,0)</f>
        <v/>
      </c>
      <c r="L1235" s="2">
        <f>ROUND(I1235*INDEX(미지급률범위,E1235),0)</f>
        <v/>
      </c>
      <c r="M1235" s="2">
        <f>ROUND(I1235*INDEX(과지급률범위,E1235),0)</f>
        <v/>
      </c>
      <c r="N1235" s="2">
        <f>MAX(0,L1235-M1235)</f>
        <v/>
      </c>
      <c r="O1235" s="2">
        <f>K1235-N1235</f>
        <v/>
      </c>
      <c r="P1235" s="2">
        <f>I1235-N1235</f>
        <v/>
      </c>
      <c r="Q1235" s="5">
        <f>IF(G1235&gt;기준일,1,0)</f>
        <v/>
      </c>
      <c r="R1235" s="5">
        <f>IF(G1235&lt;=기준일,1,0)</f>
        <v/>
      </c>
      <c r="S1235" s="2">
        <f>J1235*H1235</f>
        <v/>
      </c>
      <c r="T1235" s="5">
        <f>IF(AND(F1235&gt;=표본시작,F1235&lt;=표본종료),1,0)</f>
        <v/>
      </c>
      <c r="U1235" s="5">
        <f>IF(AND(G1235&gt;=조회시작,G1235&lt;=조회종료),1,0)</f>
        <v/>
      </c>
    </row>
    <row r="1236">
      <c r="A1236" s="2">
        <f>ROW()-1</f>
        <v/>
      </c>
      <c r="B1236" s="5">
        <f>INDEX(상호범위,D1236)</f>
        <v/>
      </c>
      <c r="C1236" s="5">
        <f>INDEX(플랫폼명범위,E1236)</f>
        <v/>
      </c>
      <c r="D1236" s="2">
        <f>MOD(INT((A1236-1)/4),8)+1</f>
        <v/>
      </c>
      <c r="E1236" s="2">
        <f>MOD(A1236-1,4)+1</f>
        <v/>
      </c>
      <c r="F1236" s="20">
        <f>축시작+INT((A1236-1)/32)</f>
        <v/>
      </c>
      <c r="G1236" s="20">
        <f>F1236+H1236</f>
        <v/>
      </c>
      <c r="H1236" s="5" t="n">
        <v>5</v>
      </c>
      <c r="I1236" s="2">
        <f>ROUND(INDEX(가맹점!$P$2:$P$9,D1236)*INDEX(가맹점!$J$2:$M$9,D1236,E1236),0)</f>
        <v/>
      </c>
      <c r="J1236" s="2">
        <f>ROUND(I1236*(1-할인율),0)</f>
        <v/>
      </c>
      <c r="K1236" s="2">
        <f>ROUNDDOWN(I1236*할인율,0)</f>
        <v/>
      </c>
      <c r="L1236" s="2">
        <f>ROUND(I1236*INDEX(미지급률범위,E1236),0)</f>
        <v/>
      </c>
      <c r="M1236" s="2">
        <f>ROUND(I1236*INDEX(과지급률범위,E1236),0)</f>
        <v/>
      </c>
      <c r="N1236" s="2">
        <f>MAX(0,L1236-M1236)</f>
        <v/>
      </c>
      <c r="O1236" s="2">
        <f>K1236-N1236</f>
        <v/>
      </c>
      <c r="P1236" s="2">
        <f>I1236-N1236</f>
        <v/>
      </c>
      <c r="Q1236" s="5">
        <f>IF(G1236&gt;기준일,1,0)</f>
        <v/>
      </c>
      <c r="R1236" s="5">
        <f>IF(G1236&lt;=기준일,1,0)</f>
        <v/>
      </c>
      <c r="S1236" s="2">
        <f>J1236*H1236</f>
        <v/>
      </c>
      <c r="T1236" s="5">
        <f>IF(AND(F1236&gt;=표본시작,F1236&lt;=표본종료),1,0)</f>
        <v/>
      </c>
      <c r="U1236" s="5">
        <f>IF(AND(G1236&gt;=조회시작,G1236&lt;=조회종료),1,0)</f>
        <v/>
      </c>
    </row>
    <row r="1237">
      <c r="A1237" s="2">
        <f>ROW()-1</f>
        <v/>
      </c>
      <c r="B1237" s="5">
        <f>INDEX(상호범위,D1237)</f>
        <v/>
      </c>
      <c r="C1237" s="5">
        <f>INDEX(플랫폼명범위,E1237)</f>
        <v/>
      </c>
      <c r="D1237" s="2">
        <f>MOD(INT((A1237-1)/4),8)+1</f>
        <v/>
      </c>
      <c r="E1237" s="2">
        <f>MOD(A1237-1,4)+1</f>
        <v/>
      </c>
      <c r="F1237" s="20">
        <f>축시작+INT((A1237-1)/32)</f>
        <v/>
      </c>
      <c r="G1237" s="20">
        <f>F1237+H1237</f>
        <v/>
      </c>
      <c r="H1237" s="5" t="n">
        <v>6</v>
      </c>
      <c r="I1237" s="2">
        <f>ROUND(INDEX(가맹점!$P$2:$P$9,D1237)*INDEX(가맹점!$J$2:$M$9,D1237,E1237),0)</f>
        <v/>
      </c>
      <c r="J1237" s="2">
        <f>ROUND(I1237*(1-할인율),0)</f>
        <v/>
      </c>
      <c r="K1237" s="2">
        <f>ROUNDDOWN(I1237*할인율,0)</f>
        <v/>
      </c>
      <c r="L1237" s="2">
        <f>ROUND(I1237*INDEX(미지급률범위,E1237),0)</f>
        <v/>
      </c>
      <c r="M1237" s="2">
        <f>ROUND(I1237*INDEX(과지급률범위,E1237),0)</f>
        <v/>
      </c>
      <c r="N1237" s="2">
        <f>MAX(0,L1237-M1237)</f>
        <v/>
      </c>
      <c r="O1237" s="2">
        <f>K1237-N1237</f>
        <v/>
      </c>
      <c r="P1237" s="2">
        <f>I1237-N1237</f>
        <v/>
      </c>
      <c r="Q1237" s="5">
        <f>IF(G1237&gt;기준일,1,0)</f>
        <v/>
      </c>
      <c r="R1237" s="5">
        <f>IF(G1237&lt;=기준일,1,0)</f>
        <v/>
      </c>
      <c r="S1237" s="2">
        <f>J1237*H1237</f>
        <v/>
      </c>
      <c r="T1237" s="5">
        <f>IF(AND(F1237&gt;=표본시작,F1237&lt;=표본종료),1,0)</f>
        <v/>
      </c>
      <c r="U1237" s="5">
        <f>IF(AND(G1237&gt;=조회시작,G1237&lt;=조회종료),1,0)</f>
        <v/>
      </c>
    </row>
    <row r="1238">
      <c r="A1238" s="2">
        <f>ROW()-1</f>
        <v/>
      </c>
      <c r="B1238" s="5">
        <f>INDEX(상호범위,D1238)</f>
        <v/>
      </c>
      <c r="C1238" s="5">
        <f>INDEX(플랫폼명범위,E1238)</f>
        <v/>
      </c>
      <c r="D1238" s="2">
        <f>MOD(INT((A1238-1)/4),8)+1</f>
        <v/>
      </c>
      <c r="E1238" s="2">
        <f>MOD(A1238-1,4)+1</f>
        <v/>
      </c>
      <c r="F1238" s="20">
        <f>축시작+INT((A1238-1)/32)</f>
        <v/>
      </c>
      <c r="G1238" s="20">
        <f>F1238+H1238</f>
        <v/>
      </c>
      <c r="H1238" s="5" t="n">
        <v>2</v>
      </c>
      <c r="I1238" s="2">
        <f>ROUND(INDEX(가맹점!$P$2:$P$9,D1238)*INDEX(가맹점!$J$2:$M$9,D1238,E1238),0)</f>
        <v/>
      </c>
      <c r="J1238" s="2">
        <f>ROUND(I1238*(1-할인율),0)</f>
        <v/>
      </c>
      <c r="K1238" s="2">
        <f>ROUNDDOWN(I1238*할인율,0)</f>
        <v/>
      </c>
      <c r="L1238" s="2">
        <f>ROUND(I1238*INDEX(미지급률범위,E1238),0)</f>
        <v/>
      </c>
      <c r="M1238" s="2">
        <f>ROUND(I1238*INDEX(과지급률범위,E1238),0)</f>
        <v/>
      </c>
      <c r="N1238" s="2">
        <f>MAX(0,L1238-M1238)</f>
        <v/>
      </c>
      <c r="O1238" s="2">
        <f>K1238-N1238</f>
        <v/>
      </c>
      <c r="P1238" s="2">
        <f>I1238-N1238</f>
        <v/>
      </c>
      <c r="Q1238" s="5">
        <f>IF(G1238&gt;기준일,1,0)</f>
        <v/>
      </c>
      <c r="R1238" s="5">
        <f>IF(G1238&lt;=기준일,1,0)</f>
        <v/>
      </c>
      <c r="S1238" s="2">
        <f>J1238*H1238</f>
        <v/>
      </c>
      <c r="T1238" s="5">
        <f>IF(AND(F1238&gt;=표본시작,F1238&lt;=표본종료),1,0)</f>
        <v/>
      </c>
      <c r="U1238" s="5">
        <f>IF(AND(G1238&gt;=조회시작,G1238&lt;=조회종료),1,0)</f>
        <v/>
      </c>
    </row>
    <row r="1239">
      <c r="A1239" s="2">
        <f>ROW()-1</f>
        <v/>
      </c>
      <c r="B1239" s="5">
        <f>INDEX(상호범위,D1239)</f>
        <v/>
      </c>
      <c r="C1239" s="5">
        <f>INDEX(플랫폼명범위,E1239)</f>
        <v/>
      </c>
      <c r="D1239" s="2">
        <f>MOD(INT((A1239-1)/4),8)+1</f>
        <v/>
      </c>
      <c r="E1239" s="2">
        <f>MOD(A1239-1,4)+1</f>
        <v/>
      </c>
      <c r="F1239" s="20">
        <f>축시작+INT((A1239-1)/32)</f>
        <v/>
      </c>
      <c r="G1239" s="20">
        <f>F1239+H1239</f>
        <v/>
      </c>
      <c r="H1239" s="5" t="n">
        <v>4</v>
      </c>
      <c r="I1239" s="2">
        <f>ROUND(INDEX(가맹점!$P$2:$P$9,D1239)*INDEX(가맹점!$J$2:$M$9,D1239,E1239),0)</f>
        <v/>
      </c>
      <c r="J1239" s="2">
        <f>ROUND(I1239*(1-할인율),0)</f>
        <v/>
      </c>
      <c r="K1239" s="2">
        <f>ROUNDDOWN(I1239*할인율,0)</f>
        <v/>
      </c>
      <c r="L1239" s="2">
        <f>ROUND(I1239*INDEX(미지급률범위,E1239),0)</f>
        <v/>
      </c>
      <c r="M1239" s="2">
        <f>ROUND(I1239*INDEX(과지급률범위,E1239),0)</f>
        <v/>
      </c>
      <c r="N1239" s="2">
        <f>MAX(0,L1239-M1239)</f>
        <v/>
      </c>
      <c r="O1239" s="2">
        <f>K1239-N1239</f>
        <v/>
      </c>
      <c r="P1239" s="2">
        <f>I1239-N1239</f>
        <v/>
      </c>
      <c r="Q1239" s="5">
        <f>IF(G1239&gt;기준일,1,0)</f>
        <v/>
      </c>
      <c r="R1239" s="5">
        <f>IF(G1239&lt;=기준일,1,0)</f>
        <v/>
      </c>
      <c r="S1239" s="2">
        <f>J1239*H1239</f>
        <v/>
      </c>
      <c r="T1239" s="5">
        <f>IF(AND(F1239&gt;=표본시작,F1239&lt;=표본종료),1,0)</f>
        <v/>
      </c>
      <c r="U1239" s="5">
        <f>IF(AND(G1239&gt;=조회시작,G1239&lt;=조회종료),1,0)</f>
        <v/>
      </c>
    </row>
    <row r="1240">
      <c r="A1240" s="2">
        <f>ROW()-1</f>
        <v/>
      </c>
      <c r="B1240" s="5">
        <f>INDEX(상호범위,D1240)</f>
        <v/>
      </c>
      <c r="C1240" s="5">
        <f>INDEX(플랫폼명범위,E1240)</f>
        <v/>
      </c>
      <c r="D1240" s="2">
        <f>MOD(INT((A1240-1)/4),8)+1</f>
        <v/>
      </c>
      <c r="E1240" s="2">
        <f>MOD(A1240-1,4)+1</f>
        <v/>
      </c>
      <c r="F1240" s="20">
        <f>축시작+INT((A1240-1)/32)</f>
        <v/>
      </c>
      <c r="G1240" s="20">
        <f>F1240+H1240</f>
        <v/>
      </c>
      <c r="H1240" s="5" t="n">
        <v>4</v>
      </c>
      <c r="I1240" s="2">
        <f>ROUND(INDEX(가맹점!$P$2:$P$9,D1240)*INDEX(가맹점!$J$2:$M$9,D1240,E1240),0)</f>
        <v/>
      </c>
      <c r="J1240" s="2">
        <f>ROUND(I1240*(1-할인율),0)</f>
        <v/>
      </c>
      <c r="K1240" s="2">
        <f>ROUNDDOWN(I1240*할인율,0)</f>
        <v/>
      </c>
      <c r="L1240" s="2">
        <f>ROUND(I1240*INDEX(미지급률범위,E1240),0)</f>
        <v/>
      </c>
      <c r="M1240" s="2">
        <f>ROUND(I1240*INDEX(과지급률범위,E1240),0)</f>
        <v/>
      </c>
      <c r="N1240" s="2">
        <f>MAX(0,L1240-M1240)</f>
        <v/>
      </c>
      <c r="O1240" s="2">
        <f>K1240-N1240</f>
        <v/>
      </c>
      <c r="P1240" s="2">
        <f>I1240-N1240</f>
        <v/>
      </c>
      <c r="Q1240" s="5">
        <f>IF(G1240&gt;기준일,1,0)</f>
        <v/>
      </c>
      <c r="R1240" s="5">
        <f>IF(G1240&lt;=기준일,1,0)</f>
        <v/>
      </c>
      <c r="S1240" s="2">
        <f>J1240*H1240</f>
        <v/>
      </c>
      <c r="T1240" s="5">
        <f>IF(AND(F1240&gt;=표본시작,F1240&lt;=표본종료),1,0)</f>
        <v/>
      </c>
      <c r="U1240" s="5">
        <f>IF(AND(G1240&gt;=조회시작,G1240&lt;=조회종료),1,0)</f>
        <v/>
      </c>
    </row>
    <row r="1241">
      <c r="A1241" s="2">
        <f>ROW()-1</f>
        <v/>
      </c>
      <c r="B1241" s="5">
        <f>INDEX(상호범위,D1241)</f>
        <v/>
      </c>
      <c r="C1241" s="5">
        <f>INDEX(플랫폼명범위,E1241)</f>
        <v/>
      </c>
      <c r="D1241" s="2">
        <f>MOD(INT((A1241-1)/4),8)+1</f>
        <v/>
      </c>
      <c r="E1241" s="2">
        <f>MOD(A1241-1,4)+1</f>
        <v/>
      </c>
      <c r="F1241" s="20">
        <f>축시작+INT((A1241-1)/32)</f>
        <v/>
      </c>
      <c r="G1241" s="20">
        <f>F1241+H1241</f>
        <v/>
      </c>
      <c r="H1241" s="5" t="n">
        <v>6</v>
      </c>
      <c r="I1241" s="2">
        <f>ROUND(INDEX(가맹점!$P$2:$P$9,D1241)*INDEX(가맹점!$J$2:$M$9,D1241,E1241),0)</f>
        <v/>
      </c>
      <c r="J1241" s="2">
        <f>ROUND(I1241*(1-할인율),0)</f>
        <v/>
      </c>
      <c r="K1241" s="2">
        <f>ROUNDDOWN(I1241*할인율,0)</f>
        <v/>
      </c>
      <c r="L1241" s="2">
        <f>ROUND(I1241*INDEX(미지급률범위,E1241),0)</f>
        <v/>
      </c>
      <c r="M1241" s="2">
        <f>ROUND(I1241*INDEX(과지급률범위,E1241),0)</f>
        <v/>
      </c>
      <c r="N1241" s="2">
        <f>MAX(0,L1241-M1241)</f>
        <v/>
      </c>
      <c r="O1241" s="2">
        <f>K1241-N1241</f>
        <v/>
      </c>
      <c r="P1241" s="2">
        <f>I1241-N1241</f>
        <v/>
      </c>
      <c r="Q1241" s="5">
        <f>IF(G1241&gt;기준일,1,0)</f>
        <v/>
      </c>
      <c r="R1241" s="5">
        <f>IF(G1241&lt;=기준일,1,0)</f>
        <v/>
      </c>
      <c r="S1241" s="2">
        <f>J1241*H1241</f>
        <v/>
      </c>
      <c r="T1241" s="5">
        <f>IF(AND(F1241&gt;=표본시작,F1241&lt;=표본종료),1,0)</f>
        <v/>
      </c>
      <c r="U1241" s="5">
        <f>IF(AND(G1241&gt;=조회시작,G1241&lt;=조회종료),1,0)</f>
        <v/>
      </c>
    </row>
    <row r="1242">
      <c r="A1242" s="2">
        <f>ROW()-1</f>
        <v/>
      </c>
      <c r="B1242" s="5">
        <f>INDEX(상호범위,D1242)</f>
        <v/>
      </c>
      <c r="C1242" s="5">
        <f>INDEX(플랫폼명범위,E1242)</f>
        <v/>
      </c>
      <c r="D1242" s="2">
        <f>MOD(INT((A1242-1)/4),8)+1</f>
        <v/>
      </c>
      <c r="E1242" s="2">
        <f>MOD(A1242-1,4)+1</f>
        <v/>
      </c>
      <c r="F1242" s="20">
        <f>축시작+INT((A1242-1)/32)</f>
        <v/>
      </c>
      <c r="G1242" s="20">
        <f>F1242+H1242</f>
        <v/>
      </c>
      <c r="H1242" s="5" t="n">
        <v>4</v>
      </c>
      <c r="I1242" s="2">
        <f>ROUND(INDEX(가맹점!$P$2:$P$9,D1242)*INDEX(가맹점!$J$2:$M$9,D1242,E1242),0)</f>
        <v/>
      </c>
      <c r="J1242" s="2">
        <f>ROUND(I1242*(1-할인율),0)</f>
        <v/>
      </c>
      <c r="K1242" s="2">
        <f>ROUNDDOWN(I1242*할인율,0)</f>
        <v/>
      </c>
      <c r="L1242" s="2">
        <f>ROUND(I1242*INDEX(미지급률범위,E1242),0)</f>
        <v/>
      </c>
      <c r="M1242" s="2">
        <f>ROUND(I1242*INDEX(과지급률범위,E1242),0)</f>
        <v/>
      </c>
      <c r="N1242" s="2">
        <f>MAX(0,L1242-M1242)</f>
        <v/>
      </c>
      <c r="O1242" s="2">
        <f>K1242-N1242</f>
        <v/>
      </c>
      <c r="P1242" s="2">
        <f>I1242-N1242</f>
        <v/>
      </c>
      <c r="Q1242" s="5">
        <f>IF(G1242&gt;기준일,1,0)</f>
        <v/>
      </c>
      <c r="R1242" s="5">
        <f>IF(G1242&lt;=기준일,1,0)</f>
        <v/>
      </c>
      <c r="S1242" s="2">
        <f>J1242*H1242</f>
        <v/>
      </c>
      <c r="T1242" s="5">
        <f>IF(AND(F1242&gt;=표본시작,F1242&lt;=표본종료),1,0)</f>
        <v/>
      </c>
      <c r="U1242" s="5">
        <f>IF(AND(G1242&gt;=조회시작,G1242&lt;=조회종료),1,0)</f>
        <v/>
      </c>
    </row>
    <row r="1243">
      <c r="A1243" s="2">
        <f>ROW()-1</f>
        <v/>
      </c>
      <c r="B1243" s="5">
        <f>INDEX(상호범위,D1243)</f>
        <v/>
      </c>
      <c r="C1243" s="5">
        <f>INDEX(플랫폼명범위,E1243)</f>
        <v/>
      </c>
      <c r="D1243" s="2">
        <f>MOD(INT((A1243-1)/4),8)+1</f>
        <v/>
      </c>
      <c r="E1243" s="2">
        <f>MOD(A1243-1,4)+1</f>
        <v/>
      </c>
      <c r="F1243" s="20">
        <f>축시작+INT((A1243-1)/32)</f>
        <v/>
      </c>
      <c r="G1243" s="20">
        <f>F1243+H1243</f>
        <v/>
      </c>
      <c r="H1243" s="5" t="n">
        <v>4</v>
      </c>
      <c r="I1243" s="2">
        <f>ROUND(INDEX(가맹점!$P$2:$P$9,D1243)*INDEX(가맹점!$J$2:$M$9,D1243,E1243),0)</f>
        <v/>
      </c>
      <c r="J1243" s="2">
        <f>ROUND(I1243*(1-할인율),0)</f>
        <v/>
      </c>
      <c r="K1243" s="2">
        <f>ROUNDDOWN(I1243*할인율,0)</f>
        <v/>
      </c>
      <c r="L1243" s="2">
        <f>ROUND(I1243*INDEX(미지급률범위,E1243),0)</f>
        <v/>
      </c>
      <c r="M1243" s="2">
        <f>ROUND(I1243*INDEX(과지급률범위,E1243),0)</f>
        <v/>
      </c>
      <c r="N1243" s="2">
        <f>MAX(0,L1243-M1243)</f>
        <v/>
      </c>
      <c r="O1243" s="2">
        <f>K1243-N1243</f>
        <v/>
      </c>
      <c r="P1243" s="2">
        <f>I1243-N1243</f>
        <v/>
      </c>
      <c r="Q1243" s="5">
        <f>IF(G1243&gt;기준일,1,0)</f>
        <v/>
      </c>
      <c r="R1243" s="5">
        <f>IF(G1243&lt;=기준일,1,0)</f>
        <v/>
      </c>
      <c r="S1243" s="2">
        <f>J1243*H1243</f>
        <v/>
      </c>
      <c r="T1243" s="5">
        <f>IF(AND(F1243&gt;=표본시작,F1243&lt;=표본종료),1,0)</f>
        <v/>
      </c>
      <c r="U1243" s="5">
        <f>IF(AND(G1243&gt;=조회시작,G1243&lt;=조회종료),1,0)</f>
        <v/>
      </c>
    </row>
    <row r="1244">
      <c r="A1244" s="2">
        <f>ROW()-1</f>
        <v/>
      </c>
      <c r="B1244" s="5">
        <f>INDEX(상호범위,D1244)</f>
        <v/>
      </c>
      <c r="C1244" s="5">
        <f>INDEX(플랫폼명범위,E1244)</f>
        <v/>
      </c>
      <c r="D1244" s="2">
        <f>MOD(INT((A1244-1)/4),8)+1</f>
        <v/>
      </c>
      <c r="E1244" s="2">
        <f>MOD(A1244-1,4)+1</f>
        <v/>
      </c>
      <c r="F1244" s="20">
        <f>축시작+INT((A1244-1)/32)</f>
        <v/>
      </c>
      <c r="G1244" s="20">
        <f>F1244+H1244</f>
        <v/>
      </c>
      <c r="H1244" s="5" t="n">
        <v>6</v>
      </c>
      <c r="I1244" s="2">
        <f>ROUND(INDEX(가맹점!$P$2:$P$9,D1244)*INDEX(가맹점!$J$2:$M$9,D1244,E1244),0)</f>
        <v/>
      </c>
      <c r="J1244" s="2">
        <f>ROUND(I1244*(1-할인율),0)</f>
        <v/>
      </c>
      <c r="K1244" s="2">
        <f>ROUNDDOWN(I1244*할인율,0)</f>
        <v/>
      </c>
      <c r="L1244" s="2">
        <f>ROUND(I1244*INDEX(미지급률범위,E1244),0)</f>
        <v/>
      </c>
      <c r="M1244" s="2">
        <f>ROUND(I1244*INDEX(과지급률범위,E1244),0)</f>
        <v/>
      </c>
      <c r="N1244" s="2">
        <f>MAX(0,L1244-M1244)</f>
        <v/>
      </c>
      <c r="O1244" s="2">
        <f>K1244-N1244</f>
        <v/>
      </c>
      <c r="P1244" s="2">
        <f>I1244-N1244</f>
        <v/>
      </c>
      <c r="Q1244" s="5">
        <f>IF(G1244&gt;기준일,1,0)</f>
        <v/>
      </c>
      <c r="R1244" s="5">
        <f>IF(G1244&lt;=기준일,1,0)</f>
        <v/>
      </c>
      <c r="S1244" s="2">
        <f>J1244*H1244</f>
        <v/>
      </c>
      <c r="T1244" s="5">
        <f>IF(AND(F1244&gt;=표본시작,F1244&lt;=표본종료),1,0)</f>
        <v/>
      </c>
      <c r="U1244" s="5">
        <f>IF(AND(G1244&gt;=조회시작,G1244&lt;=조회종료),1,0)</f>
        <v/>
      </c>
    </row>
    <row r="1245">
      <c r="A1245" s="2">
        <f>ROW()-1</f>
        <v/>
      </c>
      <c r="B1245" s="5">
        <f>INDEX(상호범위,D1245)</f>
        <v/>
      </c>
      <c r="C1245" s="5">
        <f>INDEX(플랫폼명범위,E1245)</f>
        <v/>
      </c>
      <c r="D1245" s="2">
        <f>MOD(INT((A1245-1)/4),8)+1</f>
        <v/>
      </c>
      <c r="E1245" s="2">
        <f>MOD(A1245-1,4)+1</f>
        <v/>
      </c>
      <c r="F1245" s="20">
        <f>축시작+INT((A1245-1)/32)</f>
        <v/>
      </c>
      <c r="G1245" s="20">
        <f>F1245+H1245</f>
        <v/>
      </c>
      <c r="H1245" s="5" t="n">
        <v>6</v>
      </c>
      <c r="I1245" s="2">
        <f>ROUND(INDEX(가맹점!$P$2:$P$9,D1245)*INDEX(가맹점!$J$2:$M$9,D1245,E1245),0)</f>
        <v/>
      </c>
      <c r="J1245" s="2">
        <f>ROUND(I1245*(1-할인율),0)</f>
        <v/>
      </c>
      <c r="K1245" s="2">
        <f>ROUNDDOWN(I1245*할인율,0)</f>
        <v/>
      </c>
      <c r="L1245" s="2">
        <f>ROUND(I1245*INDEX(미지급률범위,E1245),0)</f>
        <v/>
      </c>
      <c r="M1245" s="2">
        <f>ROUND(I1245*INDEX(과지급률범위,E1245),0)</f>
        <v/>
      </c>
      <c r="N1245" s="2">
        <f>MAX(0,L1245-M1245)</f>
        <v/>
      </c>
      <c r="O1245" s="2">
        <f>K1245-N1245</f>
        <v/>
      </c>
      <c r="P1245" s="2">
        <f>I1245-N1245</f>
        <v/>
      </c>
      <c r="Q1245" s="5">
        <f>IF(G1245&gt;기준일,1,0)</f>
        <v/>
      </c>
      <c r="R1245" s="5">
        <f>IF(G1245&lt;=기준일,1,0)</f>
        <v/>
      </c>
      <c r="S1245" s="2">
        <f>J1245*H1245</f>
        <v/>
      </c>
      <c r="T1245" s="5">
        <f>IF(AND(F1245&gt;=표본시작,F1245&lt;=표본종료),1,0)</f>
        <v/>
      </c>
      <c r="U1245" s="5">
        <f>IF(AND(G1245&gt;=조회시작,G1245&lt;=조회종료),1,0)</f>
        <v/>
      </c>
    </row>
    <row r="1246">
      <c r="A1246" s="2">
        <f>ROW()-1</f>
        <v/>
      </c>
      <c r="B1246" s="5">
        <f>INDEX(상호범위,D1246)</f>
        <v/>
      </c>
      <c r="C1246" s="5">
        <f>INDEX(플랫폼명범위,E1246)</f>
        <v/>
      </c>
      <c r="D1246" s="2">
        <f>MOD(INT((A1246-1)/4),8)+1</f>
        <v/>
      </c>
      <c r="E1246" s="2">
        <f>MOD(A1246-1,4)+1</f>
        <v/>
      </c>
      <c r="F1246" s="20">
        <f>축시작+INT((A1246-1)/32)</f>
        <v/>
      </c>
      <c r="G1246" s="20">
        <f>F1246+H1246</f>
        <v/>
      </c>
      <c r="H1246" s="5" t="n">
        <v>2</v>
      </c>
      <c r="I1246" s="2">
        <f>ROUND(INDEX(가맹점!$P$2:$P$9,D1246)*INDEX(가맹점!$J$2:$M$9,D1246,E1246),0)</f>
        <v/>
      </c>
      <c r="J1246" s="2">
        <f>ROUND(I1246*(1-할인율),0)</f>
        <v/>
      </c>
      <c r="K1246" s="2">
        <f>ROUNDDOWN(I1246*할인율,0)</f>
        <v/>
      </c>
      <c r="L1246" s="2">
        <f>ROUND(I1246*INDEX(미지급률범위,E1246),0)</f>
        <v/>
      </c>
      <c r="M1246" s="2">
        <f>ROUND(I1246*INDEX(과지급률범위,E1246),0)</f>
        <v/>
      </c>
      <c r="N1246" s="2">
        <f>MAX(0,L1246-M1246)</f>
        <v/>
      </c>
      <c r="O1246" s="2">
        <f>K1246-N1246</f>
        <v/>
      </c>
      <c r="P1246" s="2">
        <f>I1246-N1246</f>
        <v/>
      </c>
      <c r="Q1246" s="5">
        <f>IF(G1246&gt;기준일,1,0)</f>
        <v/>
      </c>
      <c r="R1246" s="5">
        <f>IF(G1246&lt;=기준일,1,0)</f>
        <v/>
      </c>
      <c r="S1246" s="2">
        <f>J1246*H1246</f>
        <v/>
      </c>
      <c r="T1246" s="5">
        <f>IF(AND(F1246&gt;=표본시작,F1246&lt;=표본종료),1,0)</f>
        <v/>
      </c>
      <c r="U1246" s="5">
        <f>IF(AND(G1246&gt;=조회시작,G1246&lt;=조회종료),1,0)</f>
        <v/>
      </c>
    </row>
    <row r="1247">
      <c r="A1247" s="2">
        <f>ROW()-1</f>
        <v/>
      </c>
      <c r="B1247" s="5">
        <f>INDEX(상호범위,D1247)</f>
        <v/>
      </c>
      <c r="C1247" s="5">
        <f>INDEX(플랫폼명범위,E1247)</f>
        <v/>
      </c>
      <c r="D1247" s="2">
        <f>MOD(INT((A1247-1)/4),8)+1</f>
        <v/>
      </c>
      <c r="E1247" s="2">
        <f>MOD(A1247-1,4)+1</f>
        <v/>
      </c>
      <c r="F1247" s="20">
        <f>축시작+INT((A1247-1)/32)</f>
        <v/>
      </c>
      <c r="G1247" s="20">
        <f>F1247+H1247</f>
        <v/>
      </c>
      <c r="H1247" s="5" t="n">
        <v>4</v>
      </c>
      <c r="I1247" s="2">
        <f>ROUND(INDEX(가맹점!$P$2:$P$9,D1247)*INDEX(가맹점!$J$2:$M$9,D1247,E1247),0)</f>
        <v/>
      </c>
      <c r="J1247" s="2">
        <f>ROUND(I1247*(1-할인율),0)</f>
        <v/>
      </c>
      <c r="K1247" s="2">
        <f>ROUNDDOWN(I1247*할인율,0)</f>
        <v/>
      </c>
      <c r="L1247" s="2">
        <f>ROUND(I1247*INDEX(미지급률범위,E1247),0)</f>
        <v/>
      </c>
      <c r="M1247" s="2">
        <f>ROUND(I1247*INDEX(과지급률범위,E1247),0)</f>
        <v/>
      </c>
      <c r="N1247" s="2">
        <f>MAX(0,L1247-M1247)</f>
        <v/>
      </c>
      <c r="O1247" s="2">
        <f>K1247-N1247</f>
        <v/>
      </c>
      <c r="P1247" s="2">
        <f>I1247-N1247</f>
        <v/>
      </c>
      <c r="Q1247" s="5">
        <f>IF(G1247&gt;기준일,1,0)</f>
        <v/>
      </c>
      <c r="R1247" s="5">
        <f>IF(G1247&lt;=기준일,1,0)</f>
        <v/>
      </c>
      <c r="S1247" s="2">
        <f>J1247*H1247</f>
        <v/>
      </c>
      <c r="T1247" s="5">
        <f>IF(AND(F1247&gt;=표본시작,F1247&lt;=표본종료),1,0)</f>
        <v/>
      </c>
      <c r="U1247" s="5">
        <f>IF(AND(G1247&gt;=조회시작,G1247&lt;=조회종료),1,0)</f>
        <v/>
      </c>
    </row>
    <row r="1248">
      <c r="A1248" s="2">
        <f>ROW()-1</f>
        <v/>
      </c>
      <c r="B1248" s="5">
        <f>INDEX(상호범위,D1248)</f>
        <v/>
      </c>
      <c r="C1248" s="5">
        <f>INDEX(플랫폼명범위,E1248)</f>
        <v/>
      </c>
      <c r="D1248" s="2">
        <f>MOD(INT((A1248-1)/4),8)+1</f>
        <v/>
      </c>
      <c r="E1248" s="2">
        <f>MOD(A1248-1,4)+1</f>
        <v/>
      </c>
      <c r="F1248" s="20">
        <f>축시작+INT((A1248-1)/32)</f>
        <v/>
      </c>
      <c r="G1248" s="20">
        <f>F1248+H1248</f>
        <v/>
      </c>
      <c r="H1248" s="5" t="n">
        <v>5</v>
      </c>
      <c r="I1248" s="2">
        <f>ROUND(INDEX(가맹점!$P$2:$P$9,D1248)*INDEX(가맹점!$J$2:$M$9,D1248,E1248),0)</f>
        <v/>
      </c>
      <c r="J1248" s="2">
        <f>ROUND(I1248*(1-할인율),0)</f>
        <v/>
      </c>
      <c r="K1248" s="2">
        <f>ROUNDDOWN(I1248*할인율,0)</f>
        <v/>
      </c>
      <c r="L1248" s="2">
        <f>ROUND(I1248*INDEX(미지급률범위,E1248),0)</f>
        <v/>
      </c>
      <c r="M1248" s="2">
        <f>ROUND(I1248*INDEX(과지급률범위,E1248),0)</f>
        <v/>
      </c>
      <c r="N1248" s="2">
        <f>MAX(0,L1248-M1248)</f>
        <v/>
      </c>
      <c r="O1248" s="2">
        <f>K1248-N1248</f>
        <v/>
      </c>
      <c r="P1248" s="2">
        <f>I1248-N1248</f>
        <v/>
      </c>
      <c r="Q1248" s="5">
        <f>IF(G1248&gt;기준일,1,0)</f>
        <v/>
      </c>
      <c r="R1248" s="5">
        <f>IF(G1248&lt;=기준일,1,0)</f>
        <v/>
      </c>
      <c r="S1248" s="2">
        <f>J1248*H1248</f>
        <v/>
      </c>
      <c r="T1248" s="5">
        <f>IF(AND(F1248&gt;=표본시작,F1248&lt;=표본종료),1,0)</f>
        <v/>
      </c>
      <c r="U1248" s="5">
        <f>IF(AND(G1248&gt;=조회시작,G1248&lt;=조회종료),1,0)</f>
        <v/>
      </c>
    </row>
    <row r="1249">
      <c r="A1249" s="2">
        <f>ROW()-1</f>
        <v/>
      </c>
      <c r="B1249" s="5">
        <f>INDEX(상호범위,D1249)</f>
        <v/>
      </c>
      <c r="C1249" s="5">
        <f>INDEX(플랫폼명범위,E1249)</f>
        <v/>
      </c>
      <c r="D1249" s="2">
        <f>MOD(INT((A1249-1)/4),8)+1</f>
        <v/>
      </c>
      <c r="E1249" s="2">
        <f>MOD(A1249-1,4)+1</f>
        <v/>
      </c>
      <c r="F1249" s="20">
        <f>축시작+INT((A1249-1)/32)</f>
        <v/>
      </c>
      <c r="G1249" s="20">
        <f>F1249+H1249</f>
        <v/>
      </c>
      <c r="H1249" s="5" t="n">
        <v>6</v>
      </c>
      <c r="I1249" s="2">
        <f>ROUND(INDEX(가맹점!$P$2:$P$9,D1249)*INDEX(가맹점!$J$2:$M$9,D1249,E1249),0)</f>
        <v/>
      </c>
      <c r="J1249" s="2">
        <f>ROUND(I1249*(1-할인율),0)</f>
        <v/>
      </c>
      <c r="K1249" s="2">
        <f>ROUNDDOWN(I1249*할인율,0)</f>
        <v/>
      </c>
      <c r="L1249" s="2">
        <f>ROUND(I1249*INDEX(미지급률범위,E1249),0)</f>
        <v/>
      </c>
      <c r="M1249" s="2">
        <f>ROUND(I1249*INDEX(과지급률범위,E1249),0)</f>
        <v/>
      </c>
      <c r="N1249" s="2">
        <f>MAX(0,L1249-M1249)</f>
        <v/>
      </c>
      <c r="O1249" s="2">
        <f>K1249-N1249</f>
        <v/>
      </c>
      <c r="P1249" s="2">
        <f>I1249-N1249</f>
        <v/>
      </c>
      <c r="Q1249" s="5">
        <f>IF(G1249&gt;기준일,1,0)</f>
        <v/>
      </c>
      <c r="R1249" s="5">
        <f>IF(G1249&lt;=기준일,1,0)</f>
        <v/>
      </c>
      <c r="S1249" s="2">
        <f>J1249*H1249</f>
        <v/>
      </c>
      <c r="T1249" s="5">
        <f>IF(AND(F1249&gt;=표본시작,F1249&lt;=표본종료),1,0)</f>
        <v/>
      </c>
      <c r="U1249" s="5">
        <f>IF(AND(G1249&gt;=조회시작,G1249&lt;=조회종료),1,0)</f>
        <v/>
      </c>
    </row>
    <row r="1250">
      <c r="A1250" s="2">
        <f>ROW()-1</f>
        <v/>
      </c>
      <c r="B1250" s="5">
        <f>INDEX(상호범위,D1250)</f>
        <v/>
      </c>
      <c r="C1250" s="5">
        <f>INDEX(플랫폼명범위,E1250)</f>
        <v/>
      </c>
      <c r="D1250" s="2">
        <f>MOD(INT((A1250-1)/4),8)+1</f>
        <v/>
      </c>
      <c r="E1250" s="2">
        <f>MOD(A1250-1,4)+1</f>
        <v/>
      </c>
      <c r="F1250" s="20">
        <f>축시작+INT((A1250-1)/32)</f>
        <v/>
      </c>
      <c r="G1250" s="20">
        <f>F1250+H1250</f>
        <v/>
      </c>
      <c r="H1250" s="5" t="n">
        <v>3</v>
      </c>
      <c r="I1250" s="2">
        <f>ROUND(INDEX(가맹점!$P$2:$P$9,D1250)*INDEX(가맹점!$J$2:$M$9,D1250,E1250),0)</f>
        <v/>
      </c>
      <c r="J1250" s="2">
        <f>ROUND(I1250*(1-할인율),0)</f>
        <v/>
      </c>
      <c r="K1250" s="2">
        <f>ROUNDDOWN(I1250*할인율,0)</f>
        <v/>
      </c>
      <c r="L1250" s="2">
        <f>ROUND(I1250*INDEX(미지급률범위,E1250),0)</f>
        <v/>
      </c>
      <c r="M1250" s="2">
        <f>ROUND(I1250*INDEX(과지급률범위,E1250),0)</f>
        <v/>
      </c>
      <c r="N1250" s="2">
        <f>MAX(0,L1250-M1250)</f>
        <v/>
      </c>
      <c r="O1250" s="2">
        <f>K1250-N1250</f>
        <v/>
      </c>
      <c r="P1250" s="2">
        <f>I1250-N1250</f>
        <v/>
      </c>
      <c r="Q1250" s="5">
        <f>IF(G1250&gt;기준일,1,0)</f>
        <v/>
      </c>
      <c r="R1250" s="5">
        <f>IF(G1250&lt;=기준일,1,0)</f>
        <v/>
      </c>
      <c r="S1250" s="2">
        <f>J1250*H1250</f>
        <v/>
      </c>
      <c r="T1250" s="5">
        <f>IF(AND(F1250&gt;=표본시작,F1250&lt;=표본종료),1,0)</f>
        <v/>
      </c>
      <c r="U1250" s="5">
        <f>IF(AND(G1250&gt;=조회시작,G1250&lt;=조회종료),1,0)</f>
        <v/>
      </c>
    </row>
    <row r="1251">
      <c r="A1251" s="2">
        <f>ROW()-1</f>
        <v/>
      </c>
      <c r="B1251" s="5">
        <f>INDEX(상호범위,D1251)</f>
        <v/>
      </c>
      <c r="C1251" s="5">
        <f>INDEX(플랫폼명범위,E1251)</f>
        <v/>
      </c>
      <c r="D1251" s="2">
        <f>MOD(INT((A1251-1)/4),8)+1</f>
        <v/>
      </c>
      <c r="E1251" s="2">
        <f>MOD(A1251-1,4)+1</f>
        <v/>
      </c>
      <c r="F1251" s="20">
        <f>축시작+INT((A1251-1)/32)</f>
        <v/>
      </c>
      <c r="G1251" s="20">
        <f>F1251+H1251</f>
        <v/>
      </c>
      <c r="H1251" s="5" t="n">
        <v>2</v>
      </c>
      <c r="I1251" s="2">
        <f>ROUND(INDEX(가맹점!$P$2:$P$9,D1251)*INDEX(가맹점!$J$2:$M$9,D1251,E1251),0)</f>
        <v/>
      </c>
      <c r="J1251" s="2">
        <f>ROUND(I1251*(1-할인율),0)</f>
        <v/>
      </c>
      <c r="K1251" s="2">
        <f>ROUNDDOWN(I1251*할인율,0)</f>
        <v/>
      </c>
      <c r="L1251" s="2">
        <f>ROUND(I1251*INDEX(미지급률범위,E1251),0)</f>
        <v/>
      </c>
      <c r="M1251" s="2">
        <f>ROUND(I1251*INDEX(과지급률범위,E1251),0)</f>
        <v/>
      </c>
      <c r="N1251" s="2">
        <f>MAX(0,L1251-M1251)</f>
        <v/>
      </c>
      <c r="O1251" s="2">
        <f>K1251-N1251</f>
        <v/>
      </c>
      <c r="P1251" s="2">
        <f>I1251-N1251</f>
        <v/>
      </c>
      <c r="Q1251" s="5">
        <f>IF(G1251&gt;기준일,1,0)</f>
        <v/>
      </c>
      <c r="R1251" s="5">
        <f>IF(G1251&lt;=기준일,1,0)</f>
        <v/>
      </c>
      <c r="S1251" s="2">
        <f>J1251*H1251</f>
        <v/>
      </c>
      <c r="T1251" s="5">
        <f>IF(AND(F1251&gt;=표본시작,F1251&lt;=표본종료),1,0)</f>
        <v/>
      </c>
      <c r="U1251" s="5">
        <f>IF(AND(G1251&gt;=조회시작,G1251&lt;=조회종료),1,0)</f>
        <v/>
      </c>
    </row>
    <row r="1252">
      <c r="A1252" s="2">
        <f>ROW()-1</f>
        <v/>
      </c>
      <c r="B1252" s="5">
        <f>INDEX(상호범위,D1252)</f>
        <v/>
      </c>
      <c r="C1252" s="5">
        <f>INDEX(플랫폼명범위,E1252)</f>
        <v/>
      </c>
      <c r="D1252" s="2">
        <f>MOD(INT((A1252-1)/4),8)+1</f>
        <v/>
      </c>
      <c r="E1252" s="2">
        <f>MOD(A1252-1,4)+1</f>
        <v/>
      </c>
      <c r="F1252" s="20">
        <f>축시작+INT((A1252-1)/32)</f>
        <v/>
      </c>
      <c r="G1252" s="20">
        <f>F1252+H1252</f>
        <v/>
      </c>
      <c r="H1252" s="5" t="n">
        <v>5</v>
      </c>
      <c r="I1252" s="2">
        <f>ROUND(INDEX(가맹점!$P$2:$P$9,D1252)*INDEX(가맹점!$J$2:$M$9,D1252,E1252),0)</f>
        <v/>
      </c>
      <c r="J1252" s="2">
        <f>ROUND(I1252*(1-할인율),0)</f>
        <v/>
      </c>
      <c r="K1252" s="2">
        <f>ROUNDDOWN(I1252*할인율,0)</f>
        <v/>
      </c>
      <c r="L1252" s="2">
        <f>ROUND(I1252*INDEX(미지급률범위,E1252),0)</f>
        <v/>
      </c>
      <c r="M1252" s="2">
        <f>ROUND(I1252*INDEX(과지급률범위,E1252),0)</f>
        <v/>
      </c>
      <c r="N1252" s="2">
        <f>MAX(0,L1252-M1252)</f>
        <v/>
      </c>
      <c r="O1252" s="2">
        <f>K1252-N1252</f>
        <v/>
      </c>
      <c r="P1252" s="2">
        <f>I1252-N1252</f>
        <v/>
      </c>
      <c r="Q1252" s="5">
        <f>IF(G1252&gt;기준일,1,0)</f>
        <v/>
      </c>
      <c r="R1252" s="5">
        <f>IF(G1252&lt;=기준일,1,0)</f>
        <v/>
      </c>
      <c r="S1252" s="2">
        <f>J1252*H1252</f>
        <v/>
      </c>
      <c r="T1252" s="5">
        <f>IF(AND(F1252&gt;=표본시작,F1252&lt;=표본종료),1,0)</f>
        <v/>
      </c>
      <c r="U1252" s="5">
        <f>IF(AND(G1252&gt;=조회시작,G1252&lt;=조회종료),1,0)</f>
        <v/>
      </c>
    </row>
    <row r="1253">
      <c r="A1253" s="2">
        <f>ROW()-1</f>
        <v/>
      </c>
      <c r="B1253" s="5">
        <f>INDEX(상호범위,D1253)</f>
        <v/>
      </c>
      <c r="C1253" s="5">
        <f>INDEX(플랫폼명범위,E1253)</f>
        <v/>
      </c>
      <c r="D1253" s="2">
        <f>MOD(INT((A1253-1)/4),8)+1</f>
        <v/>
      </c>
      <c r="E1253" s="2">
        <f>MOD(A1253-1,4)+1</f>
        <v/>
      </c>
      <c r="F1253" s="20">
        <f>축시작+INT((A1253-1)/32)</f>
        <v/>
      </c>
      <c r="G1253" s="20">
        <f>F1253+H1253</f>
        <v/>
      </c>
      <c r="H1253" s="5" t="n">
        <v>6</v>
      </c>
      <c r="I1253" s="2">
        <f>ROUND(INDEX(가맹점!$P$2:$P$9,D1253)*INDEX(가맹점!$J$2:$M$9,D1253,E1253),0)</f>
        <v/>
      </c>
      <c r="J1253" s="2">
        <f>ROUND(I1253*(1-할인율),0)</f>
        <v/>
      </c>
      <c r="K1253" s="2">
        <f>ROUNDDOWN(I1253*할인율,0)</f>
        <v/>
      </c>
      <c r="L1253" s="2">
        <f>ROUND(I1253*INDEX(미지급률범위,E1253),0)</f>
        <v/>
      </c>
      <c r="M1253" s="2">
        <f>ROUND(I1253*INDEX(과지급률범위,E1253),0)</f>
        <v/>
      </c>
      <c r="N1253" s="2">
        <f>MAX(0,L1253-M1253)</f>
        <v/>
      </c>
      <c r="O1253" s="2">
        <f>K1253-N1253</f>
        <v/>
      </c>
      <c r="P1253" s="2">
        <f>I1253-N1253</f>
        <v/>
      </c>
      <c r="Q1253" s="5">
        <f>IF(G1253&gt;기준일,1,0)</f>
        <v/>
      </c>
      <c r="R1253" s="5">
        <f>IF(G1253&lt;=기준일,1,0)</f>
        <v/>
      </c>
      <c r="S1253" s="2">
        <f>J1253*H1253</f>
        <v/>
      </c>
      <c r="T1253" s="5">
        <f>IF(AND(F1253&gt;=표본시작,F1253&lt;=표본종료),1,0)</f>
        <v/>
      </c>
      <c r="U1253" s="5">
        <f>IF(AND(G1253&gt;=조회시작,G1253&lt;=조회종료),1,0)</f>
        <v/>
      </c>
    </row>
    <row r="1254">
      <c r="A1254" s="2">
        <f>ROW()-1</f>
        <v/>
      </c>
      <c r="B1254" s="5">
        <f>INDEX(상호범위,D1254)</f>
        <v/>
      </c>
      <c r="C1254" s="5">
        <f>INDEX(플랫폼명범위,E1254)</f>
        <v/>
      </c>
      <c r="D1254" s="2">
        <f>MOD(INT((A1254-1)/4),8)+1</f>
        <v/>
      </c>
      <c r="E1254" s="2">
        <f>MOD(A1254-1,4)+1</f>
        <v/>
      </c>
      <c r="F1254" s="20">
        <f>축시작+INT((A1254-1)/32)</f>
        <v/>
      </c>
      <c r="G1254" s="20">
        <f>F1254+H1254</f>
        <v/>
      </c>
      <c r="H1254" s="5" t="n">
        <v>2</v>
      </c>
      <c r="I1254" s="2">
        <f>ROUND(INDEX(가맹점!$P$2:$P$9,D1254)*INDEX(가맹점!$J$2:$M$9,D1254,E1254),0)</f>
        <v/>
      </c>
      <c r="J1254" s="2">
        <f>ROUND(I1254*(1-할인율),0)</f>
        <v/>
      </c>
      <c r="K1254" s="2">
        <f>ROUNDDOWN(I1254*할인율,0)</f>
        <v/>
      </c>
      <c r="L1254" s="2">
        <f>ROUND(I1254*INDEX(미지급률범위,E1254),0)</f>
        <v/>
      </c>
      <c r="M1254" s="2">
        <f>ROUND(I1254*INDEX(과지급률범위,E1254),0)</f>
        <v/>
      </c>
      <c r="N1254" s="2">
        <f>MAX(0,L1254-M1254)</f>
        <v/>
      </c>
      <c r="O1254" s="2">
        <f>K1254-N1254</f>
        <v/>
      </c>
      <c r="P1254" s="2">
        <f>I1254-N1254</f>
        <v/>
      </c>
      <c r="Q1254" s="5">
        <f>IF(G1254&gt;기준일,1,0)</f>
        <v/>
      </c>
      <c r="R1254" s="5">
        <f>IF(G1254&lt;=기준일,1,0)</f>
        <v/>
      </c>
      <c r="S1254" s="2">
        <f>J1254*H1254</f>
        <v/>
      </c>
      <c r="T1254" s="5">
        <f>IF(AND(F1254&gt;=표본시작,F1254&lt;=표본종료),1,0)</f>
        <v/>
      </c>
      <c r="U1254" s="5">
        <f>IF(AND(G1254&gt;=조회시작,G1254&lt;=조회종료),1,0)</f>
        <v/>
      </c>
    </row>
    <row r="1255">
      <c r="A1255" s="2">
        <f>ROW()-1</f>
        <v/>
      </c>
      <c r="B1255" s="5">
        <f>INDEX(상호범위,D1255)</f>
        <v/>
      </c>
      <c r="C1255" s="5">
        <f>INDEX(플랫폼명범위,E1255)</f>
        <v/>
      </c>
      <c r="D1255" s="2">
        <f>MOD(INT((A1255-1)/4),8)+1</f>
        <v/>
      </c>
      <c r="E1255" s="2">
        <f>MOD(A1255-1,4)+1</f>
        <v/>
      </c>
      <c r="F1255" s="20">
        <f>축시작+INT((A1255-1)/32)</f>
        <v/>
      </c>
      <c r="G1255" s="20">
        <f>F1255+H1255</f>
        <v/>
      </c>
      <c r="H1255" s="5" t="n">
        <v>4</v>
      </c>
      <c r="I1255" s="2">
        <f>ROUND(INDEX(가맹점!$P$2:$P$9,D1255)*INDEX(가맹점!$J$2:$M$9,D1255,E1255),0)</f>
        <v/>
      </c>
      <c r="J1255" s="2">
        <f>ROUND(I1255*(1-할인율),0)</f>
        <v/>
      </c>
      <c r="K1255" s="2">
        <f>ROUNDDOWN(I1255*할인율,0)</f>
        <v/>
      </c>
      <c r="L1255" s="2">
        <f>ROUND(I1255*INDEX(미지급률범위,E1255),0)</f>
        <v/>
      </c>
      <c r="M1255" s="2">
        <f>ROUND(I1255*INDEX(과지급률범위,E1255),0)</f>
        <v/>
      </c>
      <c r="N1255" s="2">
        <f>MAX(0,L1255-M1255)</f>
        <v/>
      </c>
      <c r="O1255" s="2">
        <f>K1255-N1255</f>
        <v/>
      </c>
      <c r="P1255" s="2">
        <f>I1255-N1255</f>
        <v/>
      </c>
      <c r="Q1255" s="5">
        <f>IF(G1255&gt;기준일,1,0)</f>
        <v/>
      </c>
      <c r="R1255" s="5">
        <f>IF(G1255&lt;=기준일,1,0)</f>
        <v/>
      </c>
      <c r="S1255" s="2">
        <f>J1255*H1255</f>
        <v/>
      </c>
      <c r="T1255" s="5">
        <f>IF(AND(F1255&gt;=표본시작,F1255&lt;=표본종료),1,0)</f>
        <v/>
      </c>
      <c r="U1255" s="5">
        <f>IF(AND(G1255&gt;=조회시작,G1255&lt;=조회종료),1,0)</f>
        <v/>
      </c>
    </row>
    <row r="1256">
      <c r="A1256" s="2">
        <f>ROW()-1</f>
        <v/>
      </c>
      <c r="B1256" s="5">
        <f>INDEX(상호범위,D1256)</f>
        <v/>
      </c>
      <c r="C1256" s="5">
        <f>INDEX(플랫폼명범위,E1256)</f>
        <v/>
      </c>
      <c r="D1256" s="2">
        <f>MOD(INT((A1256-1)/4),8)+1</f>
        <v/>
      </c>
      <c r="E1256" s="2">
        <f>MOD(A1256-1,4)+1</f>
        <v/>
      </c>
      <c r="F1256" s="20">
        <f>축시작+INT((A1256-1)/32)</f>
        <v/>
      </c>
      <c r="G1256" s="20">
        <f>F1256+H1256</f>
        <v/>
      </c>
      <c r="H1256" s="5" t="n">
        <v>4</v>
      </c>
      <c r="I1256" s="2">
        <f>ROUND(INDEX(가맹점!$P$2:$P$9,D1256)*INDEX(가맹점!$J$2:$M$9,D1256,E1256),0)</f>
        <v/>
      </c>
      <c r="J1256" s="2">
        <f>ROUND(I1256*(1-할인율),0)</f>
        <v/>
      </c>
      <c r="K1256" s="2">
        <f>ROUNDDOWN(I1256*할인율,0)</f>
        <v/>
      </c>
      <c r="L1256" s="2">
        <f>ROUND(I1256*INDEX(미지급률범위,E1256),0)</f>
        <v/>
      </c>
      <c r="M1256" s="2">
        <f>ROUND(I1256*INDEX(과지급률범위,E1256),0)</f>
        <v/>
      </c>
      <c r="N1256" s="2">
        <f>MAX(0,L1256-M1256)</f>
        <v/>
      </c>
      <c r="O1256" s="2">
        <f>K1256-N1256</f>
        <v/>
      </c>
      <c r="P1256" s="2">
        <f>I1256-N1256</f>
        <v/>
      </c>
      <c r="Q1256" s="5">
        <f>IF(G1256&gt;기준일,1,0)</f>
        <v/>
      </c>
      <c r="R1256" s="5">
        <f>IF(G1256&lt;=기준일,1,0)</f>
        <v/>
      </c>
      <c r="S1256" s="2">
        <f>J1256*H1256</f>
        <v/>
      </c>
      <c r="T1256" s="5">
        <f>IF(AND(F1256&gt;=표본시작,F1256&lt;=표본종료),1,0)</f>
        <v/>
      </c>
      <c r="U1256" s="5">
        <f>IF(AND(G1256&gt;=조회시작,G1256&lt;=조회종료),1,0)</f>
        <v/>
      </c>
    </row>
    <row r="1257">
      <c r="A1257" s="2">
        <f>ROW()-1</f>
        <v/>
      </c>
      <c r="B1257" s="5">
        <f>INDEX(상호범위,D1257)</f>
        <v/>
      </c>
      <c r="C1257" s="5">
        <f>INDEX(플랫폼명범위,E1257)</f>
        <v/>
      </c>
      <c r="D1257" s="2">
        <f>MOD(INT((A1257-1)/4),8)+1</f>
        <v/>
      </c>
      <c r="E1257" s="2">
        <f>MOD(A1257-1,4)+1</f>
        <v/>
      </c>
      <c r="F1257" s="20">
        <f>축시작+INT((A1257-1)/32)</f>
        <v/>
      </c>
      <c r="G1257" s="20">
        <f>F1257+H1257</f>
        <v/>
      </c>
      <c r="H1257" s="5" t="n">
        <v>6</v>
      </c>
      <c r="I1257" s="2">
        <f>ROUND(INDEX(가맹점!$P$2:$P$9,D1257)*INDEX(가맹점!$J$2:$M$9,D1257,E1257),0)</f>
        <v/>
      </c>
      <c r="J1257" s="2">
        <f>ROUND(I1257*(1-할인율),0)</f>
        <v/>
      </c>
      <c r="K1257" s="2">
        <f>ROUNDDOWN(I1257*할인율,0)</f>
        <v/>
      </c>
      <c r="L1257" s="2">
        <f>ROUND(I1257*INDEX(미지급률범위,E1257),0)</f>
        <v/>
      </c>
      <c r="M1257" s="2">
        <f>ROUND(I1257*INDEX(과지급률범위,E1257),0)</f>
        <v/>
      </c>
      <c r="N1257" s="2">
        <f>MAX(0,L1257-M1257)</f>
        <v/>
      </c>
      <c r="O1257" s="2">
        <f>K1257-N1257</f>
        <v/>
      </c>
      <c r="P1257" s="2">
        <f>I1257-N1257</f>
        <v/>
      </c>
      <c r="Q1257" s="5">
        <f>IF(G1257&gt;기준일,1,0)</f>
        <v/>
      </c>
      <c r="R1257" s="5">
        <f>IF(G1257&lt;=기준일,1,0)</f>
        <v/>
      </c>
      <c r="S1257" s="2">
        <f>J1257*H1257</f>
        <v/>
      </c>
      <c r="T1257" s="5">
        <f>IF(AND(F1257&gt;=표본시작,F1257&lt;=표본종료),1,0)</f>
        <v/>
      </c>
      <c r="U1257" s="5">
        <f>IF(AND(G1257&gt;=조회시작,G1257&lt;=조회종료),1,0)</f>
        <v/>
      </c>
    </row>
    <row r="1258">
      <c r="A1258" s="2">
        <f>ROW()-1</f>
        <v/>
      </c>
      <c r="B1258" s="5">
        <f>INDEX(상호범위,D1258)</f>
        <v/>
      </c>
      <c r="C1258" s="5">
        <f>INDEX(플랫폼명범위,E1258)</f>
        <v/>
      </c>
      <c r="D1258" s="2">
        <f>MOD(INT((A1258-1)/4),8)+1</f>
        <v/>
      </c>
      <c r="E1258" s="2">
        <f>MOD(A1258-1,4)+1</f>
        <v/>
      </c>
      <c r="F1258" s="20">
        <f>축시작+INT((A1258-1)/32)</f>
        <v/>
      </c>
      <c r="G1258" s="20">
        <f>F1258+H1258</f>
        <v/>
      </c>
      <c r="H1258" s="5" t="n">
        <v>3</v>
      </c>
      <c r="I1258" s="2">
        <f>ROUND(INDEX(가맹점!$P$2:$P$9,D1258)*INDEX(가맹점!$J$2:$M$9,D1258,E1258),0)</f>
        <v/>
      </c>
      <c r="J1258" s="2">
        <f>ROUND(I1258*(1-할인율),0)</f>
        <v/>
      </c>
      <c r="K1258" s="2">
        <f>ROUNDDOWN(I1258*할인율,0)</f>
        <v/>
      </c>
      <c r="L1258" s="2">
        <f>ROUND(I1258*INDEX(미지급률범위,E1258),0)</f>
        <v/>
      </c>
      <c r="M1258" s="2">
        <f>ROUND(I1258*INDEX(과지급률범위,E1258),0)</f>
        <v/>
      </c>
      <c r="N1258" s="2">
        <f>MAX(0,L1258-M1258)</f>
        <v/>
      </c>
      <c r="O1258" s="2">
        <f>K1258-N1258</f>
        <v/>
      </c>
      <c r="P1258" s="2">
        <f>I1258-N1258</f>
        <v/>
      </c>
      <c r="Q1258" s="5">
        <f>IF(G1258&gt;기준일,1,0)</f>
        <v/>
      </c>
      <c r="R1258" s="5">
        <f>IF(G1258&lt;=기준일,1,0)</f>
        <v/>
      </c>
      <c r="S1258" s="2">
        <f>J1258*H1258</f>
        <v/>
      </c>
      <c r="T1258" s="5">
        <f>IF(AND(F1258&gt;=표본시작,F1258&lt;=표본종료),1,0)</f>
        <v/>
      </c>
      <c r="U1258" s="5">
        <f>IF(AND(G1258&gt;=조회시작,G1258&lt;=조회종료),1,0)</f>
        <v/>
      </c>
    </row>
    <row r="1259">
      <c r="A1259" s="2">
        <f>ROW()-1</f>
        <v/>
      </c>
      <c r="B1259" s="5">
        <f>INDEX(상호범위,D1259)</f>
        <v/>
      </c>
      <c r="C1259" s="5">
        <f>INDEX(플랫폼명범위,E1259)</f>
        <v/>
      </c>
      <c r="D1259" s="2">
        <f>MOD(INT((A1259-1)/4),8)+1</f>
        <v/>
      </c>
      <c r="E1259" s="2">
        <f>MOD(A1259-1,4)+1</f>
        <v/>
      </c>
      <c r="F1259" s="20">
        <f>축시작+INT((A1259-1)/32)</f>
        <v/>
      </c>
      <c r="G1259" s="20">
        <f>F1259+H1259</f>
        <v/>
      </c>
      <c r="H1259" s="5" t="n">
        <v>3</v>
      </c>
      <c r="I1259" s="2">
        <f>ROUND(INDEX(가맹점!$P$2:$P$9,D1259)*INDEX(가맹점!$J$2:$M$9,D1259,E1259),0)</f>
        <v/>
      </c>
      <c r="J1259" s="2">
        <f>ROUND(I1259*(1-할인율),0)</f>
        <v/>
      </c>
      <c r="K1259" s="2">
        <f>ROUNDDOWN(I1259*할인율,0)</f>
        <v/>
      </c>
      <c r="L1259" s="2">
        <f>ROUND(I1259*INDEX(미지급률범위,E1259),0)</f>
        <v/>
      </c>
      <c r="M1259" s="2">
        <f>ROUND(I1259*INDEX(과지급률범위,E1259),0)</f>
        <v/>
      </c>
      <c r="N1259" s="2">
        <f>MAX(0,L1259-M1259)</f>
        <v/>
      </c>
      <c r="O1259" s="2">
        <f>K1259-N1259</f>
        <v/>
      </c>
      <c r="P1259" s="2">
        <f>I1259-N1259</f>
        <v/>
      </c>
      <c r="Q1259" s="5">
        <f>IF(G1259&gt;기준일,1,0)</f>
        <v/>
      </c>
      <c r="R1259" s="5">
        <f>IF(G1259&lt;=기준일,1,0)</f>
        <v/>
      </c>
      <c r="S1259" s="2">
        <f>J1259*H1259</f>
        <v/>
      </c>
      <c r="T1259" s="5">
        <f>IF(AND(F1259&gt;=표본시작,F1259&lt;=표본종료),1,0)</f>
        <v/>
      </c>
      <c r="U1259" s="5">
        <f>IF(AND(G1259&gt;=조회시작,G1259&lt;=조회종료),1,0)</f>
        <v/>
      </c>
    </row>
    <row r="1260">
      <c r="A1260" s="2">
        <f>ROW()-1</f>
        <v/>
      </c>
      <c r="B1260" s="5">
        <f>INDEX(상호범위,D1260)</f>
        <v/>
      </c>
      <c r="C1260" s="5">
        <f>INDEX(플랫폼명범위,E1260)</f>
        <v/>
      </c>
      <c r="D1260" s="2">
        <f>MOD(INT((A1260-1)/4),8)+1</f>
        <v/>
      </c>
      <c r="E1260" s="2">
        <f>MOD(A1260-1,4)+1</f>
        <v/>
      </c>
      <c r="F1260" s="20">
        <f>축시작+INT((A1260-1)/32)</f>
        <v/>
      </c>
      <c r="G1260" s="20">
        <f>F1260+H1260</f>
        <v/>
      </c>
      <c r="H1260" s="5" t="n">
        <v>4</v>
      </c>
      <c r="I1260" s="2">
        <f>ROUND(INDEX(가맹점!$P$2:$P$9,D1260)*INDEX(가맹점!$J$2:$M$9,D1260,E1260),0)</f>
        <v/>
      </c>
      <c r="J1260" s="2">
        <f>ROUND(I1260*(1-할인율),0)</f>
        <v/>
      </c>
      <c r="K1260" s="2">
        <f>ROUNDDOWN(I1260*할인율,0)</f>
        <v/>
      </c>
      <c r="L1260" s="2">
        <f>ROUND(I1260*INDEX(미지급률범위,E1260),0)</f>
        <v/>
      </c>
      <c r="M1260" s="2">
        <f>ROUND(I1260*INDEX(과지급률범위,E1260),0)</f>
        <v/>
      </c>
      <c r="N1260" s="2">
        <f>MAX(0,L1260-M1260)</f>
        <v/>
      </c>
      <c r="O1260" s="2">
        <f>K1260-N1260</f>
        <v/>
      </c>
      <c r="P1260" s="2">
        <f>I1260-N1260</f>
        <v/>
      </c>
      <c r="Q1260" s="5">
        <f>IF(G1260&gt;기준일,1,0)</f>
        <v/>
      </c>
      <c r="R1260" s="5">
        <f>IF(G1260&lt;=기준일,1,0)</f>
        <v/>
      </c>
      <c r="S1260" s="2">
        <f>J1260*H1260</f>
        <v/>
      </c>
      <c r="T1260" s="5">
        <f>IF(AND(F1260&gt;=표본시작,F1260&lt;=표본종료),1,0)</f>
        <v/>
      </c>
      <c r="U1260" s="5">
        <f>IF(AND(G1260&gt;=조회시작,G1260&lt;=조회종료),1,0)</f>
        <v/>
      </c>
    </row>
    <row r="1261">
      <c r="A1261" s="2">
        <f>ROW()-1</f>
        <v/>
      </c>
      <c r="B1261" s="5">
        <f>INDEX(상호범위,D1261)</f>
        <v/>
      </c>
      <c r="C1261" s="5">
        <f>INDEX(플랫폼명범위,E1261)</f>
        <v/>
      </c>
      <c r="D1261" s="2">
        <f>MOD(INT((A1261-1)/4),8)+1</f>
        <v/>
      </c>
      <c r="E1261" s="2">
        <f>MOD(A1261-1,4)+1</f>
        <v/>
      </c>
      <c r="F1261" s="20">
        <f>축시작+INT((A1261-1)/32)</f>
        <v/>
      </c>
      <c r="G1261" s="20">
        <f>F1261+H1261</f>
        <v/>
      </c>
      <c r="H1261" s="5" t="n">
        <v>6</v>
      </c>
      <c r="I1261" s="2">
        <f>ROUND(INDEX(가맹점!$P$2:$P$9,D1261)*INDEX(가맹점!$J$2:$M$9,D1261,E1261),0)</f>
        <v/>
      </c>
      <c r="J1261" s="2">
        <f>ROUND(I1261*(1-할인율),0)</f>
        <v/>
      </c>
      <c r="K1261" s="2">
        <f>ROUNDDOWN(I1261*할인율,0)</f>
        <v/>
      </c>
      <c r="L1261" s="2">
        <f>ROUND(I1261*INDEX(미지급률범위,E1261),0)</f>
        <v/>
      </c>
      <c r="M1261" s="2">
        <f>ROUND(I1261*INDEX(과지급률범위,E1261),0)</f>
        <v/>
      </c>
      <c r="N1261" s="2">
        <f>MAX(0,L1261-M1261)</f>
        <v/>
      </c>
      <c r="O1261" s="2">
        <f>K1261-N1261</f>
        <v/>
      </c>
      <c r="P1261" s="2">
        <f>I1261-N1261</f>
        <v/>
      </c>
      <c r="Q1261" s="5">
        <f>IF(G1261&gt;기준일,1,0)</f>
        <v/>
      </c>
      <c r="R1261" s="5">
        <f>IF(G1261&lt;=기준일,1,0)</f>
        <v/>
      </c>
      <c r="S1261" s="2">
        <f>J1261*H1261</f>
        <v/>
      </c>
      <c r="T1261" s="5">
        <f>IF(AND(F1261&gt;=표본시작,F1261&lt;=표본종료),1,0)</f>
        <v/>
      </c>
      <c r="U1261" s="5">
        <f>IF(AND(G1261&gt;=조회시작,G1261&lt;=조회종료),1,0)</f>
        <v/>
      </c>
    </row>
    <row r="1262">
      <c r="A1262" s="2">
        <f>ROW()-1</f>
        <v/>
      </c>
      <c r="B1262" s="5">
        <f>INDEX(상호범위,D1262)</f>
        <v/>
      </c>
      <c r="C1262" s="5">
        <f>INDEX(플랫폼명범위,E1262)</f>
        <v/>
      </c>
      <c r="D1262" s="2">
        <f>MOD(INT((A1262-1)/4),8)+1</f>
        <v/>
      </c>
      <c r="E1262" s="2">
        <f>MOD(A1262-1,4)+1</f>
        <v/>
      </c>
      <c r="F1262" s="20">
        <f>축시작+INT((A1262-1)/32)</f>
        <v/>
      </c>
      <c r="G1262" s="20">
        <f>F1262+H1262</f>
        <v/>
      </c>
      <c r="H1262" s="5" t="n">
        <v>3</v>
      </c>
      <c r="I1262" s="2">
        <f>ROUND(INDEX(가맹점!$P$2:$P$9,D1262)*INDEX(가맹점!$J$2:$M$9,D1262,E1262),0)</f>
        <v/>
      </c>
      <c r="J1262" s="2">
        <f>ROUND(I1262*(1-할인율),0)</f>
        <v/>
      </c>
      <c r="K1262" s="2">
        <f>ROUNDDOWN(I1262*할인율,0)</f>
        <v/>
      </c>
      <c r="L1262" s="2">
        <f>ROUND(I1262*INDEX(미지급률범위,E1262),0)</f>
        <v/>
      </c>
      <c r="M1262" s="2">
        <f>ROUND(I1262*INDEX(과지급률범위,E1262),0)</f>
        <v/>
      </c>
      <c r="N1262" s="2">
        <f>MAX(0,L1262-M1262)</f>
        <v/>
      </c>
      <c r="O1262" s="2">
        <f>K1262-N1262</f>
        <v/>
      </c>
      <c r="P1262" s="2">
        <f>I1262-N1262</f>
        <v/>
      </c>
      <c r="Q1262" s="5">
        <f>IF(G1262&gt;기준일,1,0)</f>
        <v/>
      </c>
      <c r="R1262" s="5">
        <f>IF(G1262&lt;=기준일,1,0)</f>
        <v/>
      </c>
      <c r="S1262" s="2">
        <f>J1262*H1262</f>
        <v/>
      </c>
      <c r="T1262" s="5">
        <f>IF(AND(F1262&gt;=표본시작,F1262&lt;=표본종료),1,0)</f>
        <v/>
      </c>
      <c r="U1262" s="5">
        <f>IF(AND(G1262&gt;=조회시작,G1262&lt;=조회종료),1,0)</f>
        <v/>
      </c>
    </row>
    <row r="1263">
      <c r="A1263" s="2">
        <f>ROW()-1</f>
        <v/>
      </c>
      <c r="B1263" s="5">
        <f>INDEX(상호범위,D1263)</f>
        <v/>
      </c>
      <c r="C1263" s="5">
        <f>INDEX(플랫폼명범위,E1263)</f>
        <v/>
      </c>
      <c r="D1263" s="2">
        <f>MOD(INT((A1263-1)/4),8)+1</f>
        <v/>
      </c>
      <c r="E1263" s="2">
        <f>MOD(A1263-1,4)+1</f>
        <v/>
      </c>
      <c r="F1263" s="20">
        <f>축시작+INT((A1263-1)/32)</f>
        <v/>
      </c>
      <c r="G1263" s="20">
        <f>F1263+H1263</f>
        <v/>
      </c>
      <c r="H1263" s="5" t="n">
        <v>4</v>
      </c>
      <c r="I1263" s="2">
        <f>ROUND(INDEX(가맹점!$P$2:$P$9,D1263)*INDEX(가맹점!$J$2:$M$9,D1263,E1263),0)</f>
        <v/>
      </c>
      <c r="J1263" s="2">
        <f>ROUND(I1263*(1-할인율),0)</f>
        <v/>
      </c>
      <c r="K1263" s="2">
        <f>ROUNDDOWN(I1263*할인율,0)</f>
        <v/>
      </c>
      <c r="L1263" s="2">
        <f>ROUND(I1263*INDEX(미지급률범위,E1263),0)</f>
        <v/>
      </c>
      <c r="M1263" s="2">
        <f>ROUND(I1263*INDEX(과지급률범위,E1263),0)</f>
        <v/>
      </c>
      <c r="N1263" s="2">
        <f>MAX(0,L1263-M1263)</f>
        <v/>
      </c>
      <c r="O1263" s="2">
        <f>K1263-N1263</f>
        <v/>
      </c>
      <c r="P1263" s="2">
        <f>I1263-N1263</f>
        <v/>
      </c>
      <c r="Q1263" s="5">
        <f>IF(G1263&gt;기준일,1,0)</f>
        <v/>
      </c>
      <c r="R1263" s="5">
        <f>IF(G1263&lt;=기준일,1,0)</f>
        <v/>
      </c>
      <c r="S1263" s="2">
        <f>J1263*H1263</f>
        <v/>
      </c>
      <c r="T1263" s="5">
        <f>IF(AND(F1263&gt;=표본시작,F1263&lt;=표본종료),1,0)</f>
        <v/>
      </c>
      <c r="U1263" s="5">
        <f>IF(AND(G1263&gt;=조회시작,G1263&lt;=조회종료),1,0)</f>
        <v/>
      </c>
    </row>
    <row r="1264">
      <c r="A1264" s="2">
        <f>ROW()-1</f>
        <v/>
      </c>
      <c r="B1264" s="5">
        <f>INDEX(상호범위,D1264)</f>
        <v/>
      </c>
      <c r="C1264" s="5">
        <f>INDEX(플랫폼명범위,E1264)</f>
        <v/>
      </c>
      <c r="D1264" s="2">
        <f>MOD(INT((A1264-1)/4),8)+1</f>
        <v/>
      </c>
      <c r="E1264" s="2">
        <f>MOD(A1264-1,4)+1</f>
        <v/>
      </c>
      <c r="F1264" s="20">
        <f>축시작+INT((A1264-1)/32)</f>
        <v/>
      </c>
      <c r="G1264" s="20">
        <f>F1264+H1264</f>
        <v/>
      </c>
      <c r="H1264" s="5" t="n">
        <v>5</v>
      </c>
      <c r="I1264" s="2">
        <f>ROUND(INDEX(가맹점!$P$2:$P$9,D1264)*INDEX(가맹점!$J$2:$M$9,D1264,E1264),0)</f>
        <v/>
      </c>
      <c r="J1264" s="2">
        <f>ROUND(I1264*(1-할인율),0)</f>
        <v/>
      </c>
      <c r="K1264" s="2">
        <f>ROUNDDOWN(I1264*할인율,0)</f>
        <v/>
      </c>
      <c r="L1264" s="2">
        <f>ROUND(I1264*INDEX(미지급률범위,E1264),0)</f>
        <v/>
      </c>
      <c r="M1264" s="2">
        <f>ROUND(I1264*INDEX(과지급률범위,E1264),0)</f>
        <v/>
      </c>
      <c r="N1264" s="2">
        <f>MAX(0,L1264-M1264)</f>
        <v/>
      </c>
      <c r="O1264" s="2">
        <f>K1264-N1264</f>
        <v/>
      </c>
      <c r="P1264" s="2">
        <f>I1264-N1264</f>
        <v/>
      </c>
      <c r="Q1264" s="5">
        <f>IF(G1264&gt;기준일,1,0)</f>
        <v/>
      </c>
      <c r="R1264" s="5">
        <f>IF(G1264&lt;=기준일,1,0)</f>
        <v/>
      </c>
      <c r="S1264" s="2">
        <f>J1264*H1264</f>
        <v/>
      </c>
      <c r="T1264" s="5">
        <f>IF(AND(F1264&gt;=표본시작,F1264&lt;=표본종료),1,0)</f>
        <v/>
      </c>
      <c r="U1264" s="5">
        <f>IF(AND(G1264&gt;=조회시작,G1264&lt;=조회종료),1,0)</f>
        <v/>
      </c>
    </row>
    <row r="1265">
      <c r="A1265" s="2">
        <f>ROW()-1</f>
        <v/>
      </c>
      <c r="B1265" s="5">
        <f>INDEX(상호범위,D1265)</f>
        <v/>
      </c>
      <c r="C1265" s="5">
        <f>INDEX(플랫폼명범위,E1265)</f>
        <v/>
      </c>
      <c r="D1265" s="2">
        <f>MOD(INT((A1265-1)/4),8)+1</f>
        <v/>
      </c>
      <c r="E1265" s="2">
        <f>MOD(A1265-1,4)+1</f>
        <v/>
      </c>
      <c r="F1265" s="20">
        <f>축시작+INT((A1265-1)/32)</f>
        <v/>
      </c>
      <c r="G1265" s="20">
        <f>F1265+H1265</f>
        <v/>
      </c>
      <c r="H1265" s="5" t="n">
        <v>6</v>
      </c>
      <c r="I1265" s="2">
        <f>ROUND(INDEX(가맹점!$P$2:$P$9,D1265)*INDEX(가맹점!$J$2:$M$9,D1265,E1265),0)</f>
        <v/>
      </c>
      <c r="J1265" s="2">
        <f>ROUND(I1265*(1-할인율),0)</f>
        <v/>
      </c>
      <c r="K1265" s="2">
        <f>ROUNDDOWN(I1265*할인율,0)</f>
        <v/>
      </c>
      <c r="L1265" s="2">
        <f>ROUND(I1265*INDEX(미지급률범위,E1265),0)</f>
        <v/>
      </c>
      <c r="M1265" s="2">
        <f>ROUND(I1265*INDEX(과지급률범위,E1265),0)</f>
        <v/>
      </c>
      <c r="N1265" s="2">
        <f>MAX(0,L1265-M1265)</f>
        <v/>
      </c>
      <c r="O1265" s="2">
        <f>K1265-N1265</f>
        <v/>
      </c>
      <c r="P1265" s="2">
        <f>I1265-N1265</f>
        <v/>
      </c>
      <c r="Q1265" s="5">
        <f>IF(G1265&gt;기준일,1,0)</f>
        <v/>
      </c>
      <c r="R1265" s="5">
        <f>IF(G1265&lt;=기준일,1,0)</f>
        <v/>
      </c>
      <c r="S1265" s="2">
        <f>J1265*H1265</f>
        <v/>
      </c>
      <c r="T1265" s="5">
        <f>IF(AND(F1265&gt;=표본시작,F1265&lt;=표본종료),1,0)</f>
        <v/>
      </c>
      <c r="U1265" s="5">
        <f>IF(AND(G1265&gt;=조회시작,G1265&lt;=조회종료),1,0)</f>
        <v/>
      </c>
    </row>
    <row r="1266">
      <c r="A1266" s="2">
        <f>ROW()-1</f>
        <v/>
      </c>
      <c r="B1266" s="5">
        <f>INDEX(상호범위,D1266)</f>
        <v/>
      </c>
      <c r="C1266" s="5">
        <f>INDEX(플랫폼명범위,E1266)</f>
        <v/>
      </c>
      <c r="D1266" s="2">
        <f>MOD(INT((A1266-1)/4),8)+1</f>
        <v/>
      </c>
      <c r="E1266" s="2">
        <f>MOD(A1266-1,4)+1</f>
        <v/>
      </c>
      <c r="F1266" s="20">
        <f>축시작+INT((A1266-1)/32)</f>
        <v/>
      </c>
      <c r="G1266" s="20">
        <f>F1266+H1266</f>
        <v/>
      </c>
      <c r="H1266" s="5" t="n">
        <v>2</v>
      </c>
      <c r="I1266" s="2">
        <f>ROUND(INDEX(가맹점!$P$2:$P$9,D1266)*INDEX(가맹점!$J$2:$M$9,D1266,E1266),0)</f>
        <v/>
      </c>
      <c r="J1266" s="2">
        <f>ROUND(I1266*(1-할인율),0)</f>
        <v/>
      </c>
      <c r="K1266" s="2">
        <f>ROUNDDOWN(I1266*할인율,0)</f>
        <v/>
      </c>
      <c r="L1266" s="2">
        <f>ROUND(I1266*INDEX(미지급률범위,E1266),0)</f>
        <v/>
      </c>
      <c r="M1266" s="2">
        <f>ROUND(I1266*INDEX(과지급률범위,E1266),0)</f>
        <v/>
      </c>
      <c r="N1266" s="2">
        <f>MAX(0,L1266-M1266)</f>
        <v/>
      </c>
      <c r="O1266" s="2">
        <f>K1266-N1266</f>
        <v/>
      </c>
      <c r="P1266" s="2">
        <f>I1266-N1266</f>
        <v/>
      </c>
      <c r="Q1266" s="5">
        <f>IF(G1266&gt;기준일,1,0)</f>
        <v/>
      </c>
      <c r="R1266" s="5">
        <f>IF(G1266&lt;=기준일,1,0)</f>
        <v/>
      </c>
      <c r="S1266" s="2">
        <f>J1266*H1266</f>
        <v/>
      </c>
      <c r="T1266" s="5">
        <f>IF(AND(F1266&gt;=표본시작,F1266&lt;=표본종료),1,0)</f>
        <v/>
      </c>
      <c r="U1266" s="5">
        <f>IF(AND(G1266&gt;=조회시작,G1266&lt;=조회종료),1,0)</f>
        <v/>
      </c>
    </row>
    <row r="1267">
      <c r="A1267" s="2">
        <f>ROW()-1</f>
        <v/>
      </c>
      <c r="B1267" s="5">
        <f>INDEX(상호범위,D1267)</f>
        <v/>
      </c>
      <c r="C1267" s="5">
        <f>INDEX(플랫폼명범위,E1267)</f>
        <v/>
      </c>
      <c r="D1267" s="2">
        <f>MOD(INT((A1267-1)/4),8)+1</f>
        <v/>
      </c>
      <c r="E1267" s="2">
        <f>MOD(A1267-1,4)+1</f>
        <v/>
      </c>
      <c r="F1267" s="20">
        <f>축시작+INT((A1267-1)/32)</f>
        <v/>
      </c>
      <c r="G1267" s="20">
        <f>F1267+H1267</f>
        <v/>
      </c>
      <c r="H1267" s="5" t="n">
        <v>4</v>
      </c>
      <c r="I1267" s="2">
        <f>ROUND(INDEX(가맹점!$P$2:$P$9,D1267)*INDEX(가맹점!$J$2:$M$9,D1267,E1267),0)</f>
        <v/>
      </c>
      <c r="J1267" s="2">
        <f>ROUND(I1267*(1-할인율),0)</f>
        <v/>
      </c>
      <c r="K1267" s="2">
        <f>ROUNDDOWN(I1267*할인율,0)</f>
        <v/>
      </c>
      <c r="L1267" s="2">
        <f>ROUND(I1267*INDEX(미지급률범위,E1267),0)</f>
        <v/>
      </c>
      <c r="M1267" s="2">
        <f>ROUND(I1267*INDEX(과지급률범위,E1267),0)</f>
        <v/>
      </c>
      <c r="N1267" s="2">
        <f>MAX(0,L1267-M1267)</f>
        <v/>
      </c>
      <c r="O1267" s="2">
        <f>K1267-N1267</f>
        <v/>
      </c>
      <c r="P1267" s="2">
        <f>I1267-N1267</f>
        <v/>
      </c>
      <c r="Q1267" s="5">
        <f>IF(G1267&gt;기준일,1,0)</f>
        <v/>
      </c>
      <c r="R1267" s="5">
        <f>IF(G1267&lt;=기준일,1,0)</f>
        <v/>
      </c>
      <c r="S1267" s="2">
        <f>J1267*H1267</f>
        <v/>
      </c>
      <c r="T1267" s="5">
        <f>IF(AND(F1267&gt;=표본시작,F1267&lt;=표본종료),1,0)</f>
        <v/>
      </c>
      <c r="U1267" s="5">
        <f>IF(AND(G1267&gt;=조회시작,G1267&lt;=조회종료),1,0)</f>
        <v/>
      </c>
    </row>
    <row r="1268">
      <c r="A1268" s="2">
        <f>ROW()-1</f>
        <v/>
      </c>
      <c r="B1268" s="5">
        <f>INDEX(상호범위,D1268)</f>
        <v/>
      </c>
      <c r="C1268" s="5">
        <f>INDEX(플랫폼명범위,E1268)</f>
        <v/>
      </c>
      <c r="D1268" s="2">
        <f>MOD(INT((A1268-1)/4),8)+1</f>
        <v/>
      </c>
      <c r="E1268" s="2">
        <f>MOD(A1268-1,4)+1</f>
        <v/>
      </c>
      <c r="F1268" s="20">
        <f>축시작+INT((A1268-1)/32)</f>
        <v/>
      </c>
      <c r="G1268" s="20">
        <f>F1268+H1268</f>
        <v/>
      </c>
      <c r="H1268" s="5" t="n">
        <v>4</v>
      </c>
      <c r="I1268" s="2">
        <f>ROUND(INDEX(가맹점!$P$2:$P$9,D1268)*INDEX(가맹점!$J$2:$M$9,D1268,E1268),0)</f>
        <v/>
      </c>
      <c r="J1268" s="2">
        <f>ROUND(I1268*(1-할인율),0)</f>
        <v/>
      </c>
      <c r="K1268" s="2">
        <f>ROUNDDOWN(I1268*할인율,0)</f>
        <v/>
      </c>
      <c r="L1268" s="2">
        <f>ROUND(I1268*INDEX(미지급률범위,E1268),0)</f>
        <v/>
      </c>
      <c r="M1268" s="2">
        <f>ROUND(I1268*INDEX(과지급률범위,E1268),0)</f>
        <v/>
      </c>
      <c r="N1268" s="2">
        <f>MAX(0,L1268-M1268)</f>
        <v/>
      </c>
      <c r="O1268" s="2">
        <f>K1268-N1268</f>
        <v/>
      </c>
      <c r="P1268" s="2">
        <f>I1268-N1268</f>
        <v/>
      </c>
      <c r="Q1268" s="5">
        <f>IF(G1268&gt;기준일,1,0)</f>
        <v/>
      </c>
      <c r="R1268" s="5">
        <f>IF(G1268&lt;=기준일,1,0)</f>
        <v/>
      </c>
      <c r="S1268" s="2">
        <f>J1268*H1268</f>
        <v/>
      </c>
      <c r="T1268" s="5">
        <f>IF(AND(F1268&gt;=표본시작,F1268&lt;=표본종료),1,0)</f>
        <v/>
      </c>
      <c r="U1268" s="5">
        <f>IF(AND(G1268&gt;=조회시작,G1268&lt;=조회종료),1,0)</f>
        <v/>
      </c>
    </row>
    <row r="1269">
      <c r="A1269" s="2">
        <f>ROW()-1</f>
        <v/>
      </c>
      <c r="B1269" s="5">
        <f>INDEX(상호범위,D1269)</f>
        <v/>
      </c>
      <c r="C1269" s="5">
        <f>INDEX(플랫폼명범위,E1269)</f>
        <v/>
      </c>
      <c r="D1269" s="2">
        <f>MOD(INT((A1269-1)/4),8)+1</f>
        <v/>
      </c>
      <c r="E1269" s="2">
        <f>MOD(A1269-1,4)+1</f>
        <v/>
      </c>
      <c r="F1269" s="20">
        <f>축시작+INT((A1269-1)/32)</f>
        <v/>
      </c>
      <c r="G1269" s="20">
        <f>F1269+H1269</f>
        <v/>
      </c>
      <c r="H1269" s="5" t="n">
        <v>6</v>
      </c>
      <c r="I1269" s="2">
        <f>ROUND(INDEX(가맹점!$P$2:$P$9,D1269)*INDEX(가맹점!$J$2:$M$9,D1269,E1269),0)</f>
        <v/>
      </c>
      <c r="J1269" s="2">
        <f>ROUND(I1269*(1-할인율),0)</f>
        <v/>
      </c>
      <c r="K1269" s="2">
        <f>ROUNDDOWN(I1269*할인율,0)</f>
        <v/>
      </c>
      <c r="L1269" s="2">
        <f>ROUND(I1269*INDEX(미지급률범위,E1269),0)</f>
        <v/>
      </c>
      <c r="M1269" s="2">
        <f>ROUND(I1269*INDEX(과지급률범위,E1269),0)</f>
        <v/>
      </c>
      <c r="N1269" s="2">
        <f>MAX(0,L1269-M1269)</f>
        <v/>
      </c>
      <c r="O1269" s="2">
        <f>K1269-N1269</f>
        <v/>
      </c>
      <c r="P1269" s="2">
        <f>I1269-N1269</f>
        <v/>
      </c>
      <c r="Q1269" s="5">
        <f>IF(G1269&gt;기준일,1,0)</f>
        <v/>
      </c>
      <c r="R1269" s="5">
        <f>IF(G1269&lt;=기준일,1,0)</f>
        <v/>
      </c>
      <c r="S1269" s="2">
        <f>J1269*H1269</f>
        <v/>
      </c>
      <c r="T1269" s="5">
        <f>IF(AND(F1269&gt;=표본시작,F1269&lt;=표본종료),1,0)</f>
        <v/>
      </c>
      <c r="U1269" s="5">
        <f>IF(AND(G1269&gt;=조회시작,G1269&lt;=조회종료),1,0)</f>
        <v/>
      </c>
    </row>
    <row r="1270">
      <c r="A1270" s="2">
        <f>ROW()-1</f>
        <v/>
      </c>
      <c r="B1270" s="5">
        <f>INDEX(상호범위,D1270)</f>
        <v/>
      </c>
      <c r="C1270" s="5">
        <f>INDEX(플랫폼명범위,E1270)</f>
        <v/>
      </c>
      <c r="D1270" s="2">
        <f>MOD(INT((A1270-1)/4),8)+1</f>
        <v/>
      </c>
      <c r="E1270" s="2">
        <f>MOD(A1270-1,4)+1</f>
        <v/>
      </c>
      <c r="F1270" s="20">
        <f>축시작+INT((A1270-1)/32)</f>
        <v/>
      </c>
      <c r="G1270" s="20">
        <f>F1270+H1270</f>
        <v/>
      </c>
      <c r="H1270" s="5" t="n">
        <v>2</v>
      </c>
      <c r="I1270" s="2">
        <f>ROUND(INDEX(가맹점!$P$2:$P$9,D1270)*INDEX(가맹점!$J$2:$M$9,D1270,E1270),0)</f>
        <v/>
      </c>
      <c r="J1270" s="2">
        <f>ROUND(I1270*(1-할인율),0)</f>
        <v/>
      </c>
      <c r="K1270" s="2">
        <f>ROUNDDOWN(I1270*할인율,0)</f>
        <v/>
      </c>
      <c r="L1270" s="2">
        <f>ROUND(I1270*INDEX(미지급률범위,E1270),0)</f>
        <v/>
      </c>
      <c r="M1270" s="2">
        <f>ROUND(I1270*INDEX(과지급률범위,E1270),0)</f>
        <v/>
      </c>
      <c r="N1270" s="2">
        <f>MAX(0,L1270-M1270)</f>
        <v/>
      </c>
      <c r="O1270" s="2">
        <f>K1270-N1270</f>
        <v/>
      </c>
      <c r="P1270" s="2">
        <f>I1270-N1270</f>
        <v/>
      </c>
      <c r="Q1270" s="5">
        <f>IF(G1270&gt;기준일,1,0)</f>
        <v/>
      </c>
      <c r="R1270" s="5">
        <f>IF(G1270&lt;=기준일,1,0)</f>
        <v/>
      </c>
      <c r="S1270" s="2">
        <f>J1270*H1270</f>
        <v/>
      </c>
      <c r="T1270" s="5">
        <f>IF(AND(F1270&gt;=표본시작,F1270&lt;=표본종료),1,0)</f>
        <v/>
      </c>
      <c r="U1270" s="5">
        <f>IF(AND(G1270&gt;=조회시작,G1270&lt;=조회종료),1,0)</f>
        <v/>
      </c>
    </row>
    <row r="1271">
      <c r="A1271" s="2">
        <f>ROW()-1</f>
        <v/>
      </c>
      <c r="B1271" s="5">
        <f>INDEX(상호범위,D1271)</f>
        <v/>
      </c>
      <c r="C1271" s="5">
        <f>INDEX(플랫폼명범위,E1271)</f>
        <v/>
      </c>
      <c r="D1271" s="2">
        <f>MOD(INT((A1271-1)/4),8)+1</f>
        <v/>
      </c>
      <c r="E1271" s="2">
        <f>MOD(A1271-1,4)+1</f>
        <v/>
      </c>
      <c r="F1271" s="20">
        <f>축시작+INT((A1271-1)/32)</f>
        <v/>
      </c>
      <c r="G1271" s="20">
        <f>F1271+H1271</f>
        <v/>
      </c>
      <c r="H1271" s="5" t="n">
        <v>4</v>
      </c>
      <c r="I1271" s="2">
        <f>ROUND(INDEX(가맹점!$P$2:$P$9,D1271)*INDEX(가맹점!$J$2:$M$9,D1271,E1271),0)</f>
        <v/>
      </c>
      <c r="J1271" s="2">
        <f>ROUND(I1271*(1-할인율),0)</f>
        <v/>
      </c>
      <c r="K1271" s="2">
        <f>ROUNDDOWN(I1271*할인율,0)</f>
        <v/>
      </c>
      <c r="L1271" s="2">
        <f>ROUND(I1271*INDEX(미지급률범위,E1271),0)</f>
        <v/>
      </c>
      <c r="M1271" s="2">
        <f>ROUND(I1271*INDEX(과지급률범위,E1271),0)</f>
        <v/>
      </c>
      <c r="N1271" s="2">
        <f>MAX(0,L1271-M1271)</f>
        <v/>
      </c>
      <c r="O1271" s="2">
        <f>K1271-N1271</f>
        <v/>
      </c>
      <c r="P1271" s="2">
        <f>I1271-N1271</f>
        <v/>
      </c>
      <c r="Q1271" s="5">
        <f>IF(G1271&gt;기준일,1,0)</f>
        <v/>
      </c>
      <c r="R1271" s="5">
        <f>IF(G1271&lt;=기준일,1,0)</f>
        <v/>
      </c>
      <c r="S1271" s="2">
        <f>J1271*H1271</f>
        <v/>
      </c>
      <c r="T1271" s="5">
        <f>IF(AND(F1271&gt;=표본시작,F1271&lt;=표본종료),1,0)</f>
        <v/>
      </c>
      <c r="U1271" s="5">
        <f>IF(AND(G1271&gt;=조회시작,G1271&lt;=조회종료),1,0)</f>
        <v/>
      </c>
    </row>
    <row r="1272">
      <c r="A1272" s="2">
        <f>ROW()-1</f>
        <v/>
      </c>
      <c r="B1272" s="5">
        <f>INDEX(상호범위,D1272)</f>
        <v/>
      </c>
      <c r="C1272" s="5">
        <f>INDEX(플랫폼명범위,E1272)</f>
        <v/>
      </c>
      <c r="D1272" s="2">
        <f>MOD(INT((A1272-1)/4),8)+1</f>
        <v/>
      </c>
      <c r="E1272" s="2">
        <f>MOD(A1272-1,4)+1</f>
        <v/>
      </c>
      <c r="F1272" s="20">
        <f>축시작+INT((A1272-1)/32)</f>
        <v/>
      </c>
      <c r="G1272" s="20">
        <f>F1272+H1272</f>
        <v/>
      </c>
      <c r="H1272" s="5" t="n">
        <v>4</v>
      </c>
      <c r="I1272" s="2">
        <f>ROUND(INDEX(가맹점!$P$2:$P$9,D1272)*INDEX(가맹점!$J$2:$M$9,D1272,E1272),0)</f>
        <v/>
      </c>
      <c r="J1272" s="2">
        <f>ROUND(I1272*(1-할인율),0)</f>
        <v/>
      </c>
      <c r="K1272" s="2">
        <f>ROUNDDOWN(I1272*할인율,0)</f>
        <v/>
      </c>
      <c r="L1272" s="2">
        <f>ROUND(I1272*INDEX(미지급률범위,E1272),0)</f>
        <v/>
      </c>
      <c r="M1272" s="2">
        <f>ROUND(I1272*INDEX(과지급률범위,E1272),0)</f>
        <v/>
      </c>
      <c r="N1272" s="2">
        <f>MAX(0,L1272-M1272)</f>
        <v/>
      </c>
      <c r="O1272" s="2">
        <f>K1272-N1272</f>
        <v/>
      </c>
      <c r="P1272" s="2">
        <f>I1272-N1272</f>
        <v/>
      </c>
      <c r="Q1272" s="5">
        <f>IF(G1272&gt;기준일,1,0)</f>
        <v/>
      </c>
      <c r="R1272" s="5">
        <f>IF(G1272&lt;=기준일,1,0)</f>
        <v/>
      </c>
      <c r="S1272" s="2">
        <f>J1272*H1272</f>
        <v/>
      </c>
      <c r="T1272" s="5">
        <f>IF(AND(F1272&gt;=표본시작,F1272&lt;=표본종료),1,0)</f>
        <v/>
      </c>
      <c r="U1272" s="5">
        <f>IF(AND(G1272&gt;=조회시작,G1272&lt;=조회종료),1,0)</f>
        <v/>
      </c>
    </row>
    <row r="1273">
      <c r="A1273" s="2">
        <f>ROW()-1</f>
        <v/>
      </c>
      <c r="B1273" s="5">
        <f>INDEX(상호범위,D1273)</f>
        <v/>
      </c>
      <c r="C1273" s="5">
        <f>INDEX(플랫폼명범위,E1273)</f>
        <v/>
      </c>
      <c r="D1273" s="2">
        <f>MOD(INT((A1273-1)/4),8)+1</f>
        <v/>
      </c>
      <c r="E1273" s="2">
        <f>MOD(A1273-1,4)+1</f>
        <v/>
      </c>
      <c r="F1273" s="20">
        <f>축시작+INT((A1273-1)/32)</f>
        <v/>
      </c>
      <c r="G1273" s="20">
        <f>F1273+H1273</f>
        <v/>
      </c>
      <c r="H1273" s="5" t="n">
        <v>6</v>
      </c>
      <c r="I1273" s="2">
        <f>ROUND(INDEX(가맹점!$P$2:$P$9,D1273)*INDEX(가맹점!$J$2:$M$9,D1273,E1273),0)</f>
        <v/>
      </c>
      <c r="J1273" s="2">
        <f>ROUND(I1273*(1-할인율),0)</f>
        <v/>
      </c>
      <c r="K1273" s="2">
        <f>ROUNDDOWN(I1273*할인율,0)</f>
        <v/>
      </c>
      <c r="L1273" s="2">
        <f>ROUND(I1273*INDEX(미지급률범위,E1273),0)</f>
        <v/>
      </c>
      <c r="M1273" s="2">
        <f>ROUND(I1273*INDEX(과지급률범위,E1273),0)</f>
        <v/>
      </c>
      <c r="N1273" s="2">
        <f>MAX(0,L1273-M1273)</f>
        <v/>
      </c>
      <c r="O1273" s="2">
        <f>K1273-N1273</f>
        <v/>
      </c>
      <c r="P1273" s="2">
        <f>I1273-N1273</f>
        <v/>
      </c>
      <c r="Q1273" s="5">
        <f>IF(G1273&gt;기준일,1,0)</f>
        <v/>
      </c>
      <c r="R1273" s="5">
        <f>IF(G1273&lt;=기준일,1,0)</f>
        <v/>
      </c>
      <c r="S1273" s="2">
        <f>J1273*H1273</f>
        <v/>
      </c>
      <c r="T1273" s="5">
        <f>IF(AND(F1273&gt;=표본시작,F1273&lt;=표본종료),1,0)</f>
        <v/>
      </c>
      <c r="U1273" s="5">
        <f>IF(AND(G1273&gt;=조회시작,G1273&lt;=조회종료),1,0)</f>
        <v/>
      </c>
    </row>
    <row r="1274">
      <c r="A1274" s="2">
        <f>ROW()-1</f>
        <v/>
      </c>
      <c r="B1274" s="5">
        <f>INDEX(상호범위,D1274)</f>
        <v/>
      </c>
      <c r="C1274" s="5">
        <f>INDEX(플랫폼명범위,E1274)</f>
        <v/>
      </c>
      <c r="D1274" s="2">
        <f>MOD(INT((A1274-1)/4),8)+1</f>
        <v/>
      </c>
      <c r="E1274" s="2">
        <f>MOD(A1274-1,4)+1</f>
        <v/>
      </c>
      <c r="F1274" s="20">
        <f>축시작+INT((A1274-1)/32)</f>
        <v/>
      </c>
      <c r="G1274" s="20">
        <f>F1274+H1274</f>
        <v/>
      </c>
      <c r="H1274" s="5" t="n">
        <v>3</v>
      </c>
      <c r="I1274" s="2">
        <f>ROUND(INDEX(가맹점!$P$2:$P$9,D1274)*INDEX(가맹점!$J$2:$M$9,D1274,E1274),0)</f>
        <v/>
      </c>
      <c r="J1274" s="2">
        <f>ROUND(I1274*(1-할인율),0)</f>
        <v/>
      </c>
      <c r="K1274" s="2">
        <f>ROUNDDOWN(I1274*할인율,0)</f>
        <v/>
      </c>
      <c r="L1274" s="2">
        <f>ROUND(I1274*INDEX(미지급률범위,E1274),0)</f>
        <v/>
      </c>
      <c r="M1274" s="2">
        <f>ROUND(I1274*INDEX(과지급률범위,E1274),0)</f>
        <v/>
      </c>
      <c r="N1274" s="2">
        <f>MAX(0,L1274-M1274)</f>
        <v/>
      </c>
      <c r="O1274" s="2">
        <f>K1274-N1274</f>
        <v/>
      </c>
      <c r="P1274" s="2">
        <f>I1274-N1274</f>
        <v/>
      </c>
      <c r="Q1274" s="5">
        <f>IF(G1274&gt;기준일,1,0)</f>
        <v/>
      </c>
      <c r="R1274" s="5">
        <f>IF(G1274&lt;=기준일,1,0)</f>
        <v/>
      </c>
      <c r="S1274" s="2">
        <f>J1274*H1274</f>
        <v/>
      </c>
      <c r="T1274" s="5">
        <f>IF(AND(F1274&gt;=표본시작,F1274&lt;=표본종료),1,0)</f>
        <v/>
      </c>
      <c r="U1274" s="5">
        <f>IF(AND(G1274&gt;=조회시작,G1274&lt;=조회종료),1,0)</f>
        <v/>
      </c>
    </row>
    <row r="1275">
      <c r="A1275" s="2">
        <f>ROW()-1</f>
        <v/>
      </c>
      <c r="B1275" s="5">
        <f>INDEX(상호범위,D1275)</f>
        <v/>
      </c>
      <c r="C1275" s="5">
        <f>INDEX(플랫폼명범위,E1275)</f>
        <v/>
      </c>
      <c r="D1275" s="2">
        <f>MOD(INT((A1275-1)/4),8)+1</f>
        <v/>
      </c>
      <c r="E1275" s="2">
        <f>MOD(A1275-1,4)+1</f>
        <v/>
      </c>
      <c r="F1275" s="20">
        <f>축시작+INT((A1275-1)/32)</f>
        <v/>
      </c>
      <c r="G1275" s="20">
        <f>F1275+H1275</f>
        <v/>
      </c>
      <c r="H1275" s="5" t="n">
        <v>4</v>
      </c>
      <c r="I1275" s="2">
        <f>ROUND(INDEX(가맹점!$P$2:$P$9,D1275)*INDEX(가맹점!$J$2:$M$9,D1275,E1275),0)</f>
        <v/>
      </c>
      <c r="J1275" s="2">
        <f>ROUND(I1275*(1-할인율),0)</f>
        <v/>
      </c>
      <c r="K1275" s="2">
        <f>ROUNDDOWN(I1275*할인율,0)</f>
        <v/>
      </c>
      <c r="L1275" s="2">
        <f>ROUND(I1275*INDEX(미지급률범위,E1275),0)</f>
        <v/>
      </c>
      <c r="M1275" s="2">
        <f>ROUND(I1275*INDEX(과지급률범위,E1275),0)</f>
        <v/>
      </c>
      <c r="N1275" s="2">
        <f>MAX(0,L1275-M1275)</f>
        <v/>
      </c>
      <c r="O1275" s="2">
        <f>K1275-N1275</f>
        <v/>
      </c>
      <c r="P1275" s="2">
        <f>I1275-N1275</f>
        <v/>
      </c>
      <c r="Q1275" s="5">
        <f>IF(G1275&gt;기준일,1,0)</f>
        <v/>
      </c>
      <c r="R1275" s="5">
        <f>IF(G1275&lt;=기준일,1,0)</f>
        <v/>
      </c>
      <c r="S1275" s="2">
        <f>J1275*H1275</f>
        <v/>
      </c>
      <c r="T1275" s="5">
        <f>IF(AND(F1275&gt;=표본시작,F1275&lt;=표본종료),1,0)</f>
        <v/>
      </c>
      <c r="U1275" s="5">
        <f>IF(AND(G1275&gt;=조회시작,G1275&lt;=조회종료),1,0)</f>
        <v/>
      </c>
    </row>
    <row r="1276">
      <c r="A1276" s="2">
        <f>ROW()-1</f>
        <v/>
      </c>
      <c r="B1276" s="5">
        <f>INDEX(상호범위,D1276)</f>
        <v/>
      </c>
      <c r="C1276" s="5">
        <f>INDEX(플랫폼명범위,E1276)</f>
        <v/>
      </c>
      <c r="D1276" s="2">
        <f>MOD(INT((A1276-1)/4),8)+1</f>
        <v/>
      </c>
      <c r="E1276" s="2">
        <f>MOD(A1276-1,4)+1</f>
        <v/>
      </c>
      <c r="F1276" s="20">
        <f>축시작+INT((A1276-1)/32)</f>
        <v/>
      </c>
      <c r="G1276" s="20">
        <f>F1276+H1276</f>
        <v/>
      </c>
      <c r="H1276" s="5" t="n">
        <v>5</v>
      </c>
      <c r="I1276" s="2">
        <f>ROUND(INDEX(가맹점!$P$2:$P$9,D1276)*INDEX(가맹점!$J$2:$M$9,D1276,E1276),0)</f>
        <v/>
      </c>
      <c r="J1276" s="2">
        <f>ROUND(I1276*(1-할인율),0)</f>
        <v/>
      </c>
      <c r="K1276" s="2">
        <f>ROUNDDOWN(I1276*할인율,0)</f>
        <v/>
      </c>
      <c r="L1276" s="2">
        <f>ROUND(I1276*INDEX(미지급률범위,E1276),0)</f>
        <v/>
      </c>
      <c r="M1276" s="2">
        <f>ROUND(I1276*INDEX(과지급률범위,E1276),0)</f>
        <v/>
      </c>
      <c r="N1276" s="2">
        <f>MAX(0,L1276-M1276)</f>
        <v/>
      </c>
      <c r="O1276" s="2">
        <f>K1276-N1276</f>
        <v/>
      </c>
      <c r="P1276" s="2">
        <f>I1276-N1276</f>
        <v/>
      </c>
      <c r="Q1276" s="5">
        <f>IF(G1276&gt;기준일,1,0)</f>
        <v/>
      </c>
      <c r="R1276" s="5">
        <f>IF(G1276&lt;=기준일,1,0)</f>
        <v/>
      </c>
      <c r="S1276" s="2">
        <f>J1276*H1276</f>
        <v/>
      </c>
      <c r="T1276" s="5">
        <f>IF(AND(F1276&gt;=표본시작,F1276&lt;=표본종료),1,0)</f>
        <v/>
      </c>
      <c r="U1276" s="5">
        <f>IF(AND(G1276&gt;=조회시작,G1276&lt;=조회종료),1,0)</f>
        <v/>
      </c>
    </row>
    <row r="1277">
      <c r="A1277" s="2">
        <f>ROW()-1</f>
        <v/>
      </c>
      <c r="B1277" s="5">
        <f>INDEX(상호범위,D1277)</f>
        <v/>
      </c>
      <c r="C1277" s="5">
        <f>INDEX(플랫폼명범위,E1277)</f>
        <v/>
      </c>
      <c r="D1277" s="2">
        <f>MOD(INT((A1277-1)/4),8)+1</f>
        <v/>
      </c>
      <c r="E1277" s="2">
        <f>MOD(A1277-1,4)+1</f>
        <v/>
      </c>
      <c r="F1277" s="20">
        <f>축시작+INT((A1277-1)/32)</f>
        <v/>
      </c>
      <c r="G1277" s="20">
        <f>F1277+H1277</f>
        <v/>
      </c>
      <c r="H1277" s="5" t="n">
        <v>6</v>
      </c>
      <c r="I1277" s="2">
        <f>ROUND(INDEX(가맹점!$P$2:$P$9,D1277)*INDEX(가맹점!$J$2:$M$9,D1277,E1277),0)</f>
        <v/>
      </c>
      <c r="J1277" s="2">
        <f>ROUND(I1277*(1-할인율),0)</f>
        <v/>
      </c>
      <c r="K1277" s="2">
        <f>ROUNDDOWN(I1277*할인율,0)</f>
        <v/>
      </c>
      <c r="L1277" s="2">
        <f>ROUND(I1277*INDEX(미지급률범위,E1277),0)</f>
        <v/>
      </c>
      <c r="M1277" s="2">
        <f>ROUND(I1277*INDEX(과지급률범위,E1277),0)</f>
        <v/>
      </c>
      <c r="N1277" s="2">
        <f>MAX(0,L1277-M1277)</f>
        <v/>
      </c>
      <c r="O1277" s="2">
        <f>K1277-N1277</f>
        <v/>
      </c>
      <c r="P1277" s="2">
        <f>I1277-N1277</f>
        <v/>
      </c>
      <c r="Q1277" s="5">
        <f>IF(G1277&gt;기준일,1,0)</f>
        <v/>
      </c>
      <c r="R1277" s="5">
        <f>IF(G1277&lt;=기준일,1,0)</f>
        <v/>
      </c>
      <c r="S1277" s="2">
        <f>J1277*H1277</f>
        <v/>
      </c>
      <c r="T1277" s="5">
        <f>IF(AND(F1277&gt;=표본시작,F1277&lt;=표본종료),1,0)</f>
        <v/>
      </c>
      <c r="U1277" s="5">
        <f>IF(AND(G1277&gt;=조회시작,G1277&lt;=조회종료),1,0)</f>
        <v/>
      </c>
    </row>
    <row r="1278">
      <c r="A1278" s="2">
        <f>ROW()-1</f>
        <v/>
      </c>
      <c r="B1278" s="5">
        <f>INDEX(상호범위,D1278)</f>
        <v/>
      </c>
      <c r="C1278" s="5">
        <f>INDEX(플랫폼명범위,E1278)</f>
        <v/>
      </c>
      <c r="D1278" s="2">
        <f>MOD(INT((A1278-1)/4),8)+1</f>
        <v/>
      </c>
      <c r="E1278" s="2">
        <f>MOD(A1278-1,4)+1</f>
        <v/>
      </c>
      <c r="F1278" s="20">
        <f>축시작+INT((A1278-1)/32)</f>
        <v/>
      </c>
      <c r="G1278" s="20">
        <f>F1278+H1278</f>
        <v/>
      </c>
      <c r="H1278" s="5" t="n">
        <v>2</v>
      </c>
      <c r="I1278" s="2">
        <f>ROUND(INDEX(가맹점!$P$2:$P$9,D1278)*INDEX(가맹점!$J$2:$M$9,D1278,E1278),0)</f>
        <v/>
      </c>
      <c r="J1278" s="2">
        <f>ROUND(I1278*(1-할인율),0)</f>
        <v/>
      </c>
      <c r="K1278" s="2">
        <f>ROUNDDOWN(I1278*할인율,0)</f>
        <v/>
      </c>
      <c r="L1278" s="2">
        <f>ROUND(I1278*INDEX(미지급률범위,E1278),0)</f>
        <v/>
      </c>
      <c r="M1278" s="2">
        <f>ROUND(I1278*INDEX(과지급률범위,E1278),0)</f>
        <v/>
      </c>
      <c r="N1278" s="2">
        <f>MAX(0,L1278-M1278)</f>
        <v/>
      </c>
      <c r="O1278" s="2">
        <f>K1278-N1278</f>
        <v/>
      </c>
      <c r="P1278" s="2">
        <f>I1278-N1278</f>
        <v/>
      </c>
      <c r="Q1278" s="5">
        <f>IF(G1278&gt;기준일,1,0)</f>
        <v/>
      </c>
      <c r="R1278" s="5">
        <f>IF(G1278&lt;=기준일,1,0)</f>
        <v/>
      </c>
      <c r="S1278" s="2">
        <f>J1278*H1278</f>
        <v/>
      </c>
      <c r="T1278" s="5">
        <f>IF(AND(F1278&gt;=표본시작,F1278&lt;=표본종료),1,0)</f>
        <v/>
      </c>
      <c r="U1278" s="5">
        <f>IF(AND(G1278&gt;=조회시작,G1278&lt;=조회종료),1,0)</f>
        <v/>
      </c>
    </row>
    <row r="1279">
      <c r="A1279" s="2">
        <f>ROW()-1</f>
        <v/>
      </c>
      <c r="B1279" s="5">
        <f>INDEX(상호범위,D1279)</f>
        <v/>
      </c>
      <c r="C1279" s="5">
        <f>INDEX(플랫폼명범위,E1279)</f>
        <v/>
      </c>
      <c r="D1279" s="2">
        <f>MOD(INT((A1279-1)/4),8)+1</f>
        <v/>
      </c>
      <c r="E1279" s="2">
        <f>MOD(A1279-1,4)+1</f>
        <v/>
      </c>
      <c r="F1279" s="20">
        <f>축시작+INT((A1279-1)/32)</f>
        <v/>
      </c>
      <c r="G1279" s="20">
        <f>F1279+H1279</f>
        <v/>
      </c>
      <c r="H1279" s="5" t="n">
        <v>4</v>
      </c>
      <c r="I1279" s="2">
        <f>ROUND(INDEX(가맹점!$P$2:$P$9,D1279)*INDEX(가맹점!$J$2:$M$9,D1279,E1279),0)</f>
        <v/>
      </c>
      <c r="J1279" s="2">
        <f>ROUND(I1279*(1-할인율),0)</f>
        <v/>
      </c>
      <c r="K1279" s="2">
        <f>ROUNDDOWN(I1279*할인율,0)</f>
        <v/>
      </c>
      <c r="L1279" s="2">
        <f>ROUND(I1279*INDEX(미지급률범위,E1279),0)</f>
        <v/>
      </c>
      <c r="M1279" s="2">
        <f>ROUND(I1279*INDEX(과지급률범위,E1279),0)</f>
        <v/>
      </c>
      <c r="N1279" s="2">
        <f>MAX(0,L1279-M1279)</f>
        <v/>
      </c>
      <c r="O1279" s="2">
        <f>K1279-N1279</f>
        <v/>
      </c>
      <c r="P1279" s="2">
        <f>I1279-N1279</f>
        <v/>
      </c>
      <c r="Q1279" s="5">
        <f>IF(G1279&gt;기준일,1,0)</f>
        <v/>
      </c>
      <c r="R1279" s="5">
        <f>IF(G1279&lt;=기준일,1,0)</f>
        <v/>
      </c>
      <c r="S1279" s="2">
        <f>J1279*H1279</f>
        <v/>
      </c>
      <c r="T1279" s="5">
        <f>IF(AND(F1279&gt;=표본시작,F1279&lt;=표본종료),1,0)</f>
        <v/>
      </c>
      <c r="U1279" s="5">
        <f>IF(AND(G1279&gt;=조회시작,G1279&lt;=조회종료),1,0)</f>
        <v/>
      </c>
    </row>
    <row r="1280">
      <c r="A1280" s="2">
        <f>ROW()-1</f>
        <v/>
      </c>
      <c r="B1280" s="5">
        <f>INDEX(상호범위,D1280)</f>
        <v/>
      </c>
      <c r="C1280" s="5">
        <f>INDEX(플랫폼명범위,E1280)</f>
        <v/>
      </c>
      <c r="D1280" s="2">
        <f>MOD(INT((A1280-1)/4),8)+1</f>
        <v/>
      </c>
      <c r="E1280" s="2">
        <f>MOD(A1280-1,4)+1</f>
        <v/>
      </c>
      <c r="F1280" s="20">
        <f>축시작+INT((A1280-1)/32)</f>
        <v/>
      </c>
      <c r="G1280" s="20">
        <f>F1280+H1280</f>
        <v/>
      </c>
      <c r="H1280" s="5" t="n">
        <v>5</v>
      </c>
      <c r="I1280" s="2">
        <f>ROUND(INDEX(가맹점!$P$2:$P$9,D1280)*INDEX(가맹점!$J$2:$M$9,D1280,E1280),0)</f>
        <v/>
      </c>
      <c r="J1280" s="2">
        <f>ROUND(I1280*(1-할인율),0)</f>
        <v/>
      </c>
      <c r="K1280" s="2">
        <f>ROUNDDOWN(I1280*할인율,0)</f>
        <v/>
      </c>
      <c r="L1280" s="2">
        <f>ROUND(I1280*INDEX(미지급률범위,E1280),0)</f>
        <v/>
      </c>
      <c r="M1280" s="2">
        <f>ROUND(I1280*INDEX(과지급률범위,E1280),0)</f>
        <v/>
      </c>
      <c r="N1280" s="2">
        <f>MAX(0,L1280-M1280)</f>
        <v/>
      </c>
      <c r="O1280" s="2">
        <f>K1280-N1280</f>
        <v/>
      </c>
      <c r="P1280" s="2">
        <f>I1280-N1280</f>
        <v/>
      </c>
      <c r="Q1280" s="5">
        <f>IF(G1280&gt;기준일,1,0)</f>
        <v/>
      </c>
      <c r="R1280" s="5">
        <f>IF(G1280&lt;=기준일,1,0)</f>
        <v/>
      </c>
      <c r="S1280" s="2">
        <f>J1280*H1280</f>
        <v/>
      </c>
      <c r="T1280" s="5">
        <f>IF(AND(F1280&gt;=표본시작,F1280&lt;=표본종료),1,0)</f>
        <v/>
      </c>
      <c r="U1280" s="5">
        <f>IF(AND(G1280&gt;=조회시작,G1280&lt;=조회종료),1,0)</f>
        <v/>
      </c>
    </row>
    <row r="1281">
      <c r="A1281" s="2">
        <f>ROW()-1</f>
        <v/>
      </c>
      <c r="B1281" s="5">
        <f>INDEX(상호범위,D1281)</f>
        <v/>
      </c>
      <c r="C1281" s="5">
        <f>INDEX(플랫폼명범위,E1281)</f>
        <v/>
      </c>
      <c r="D1281" s="2">
        <f>MOD(INT((A1281-1)/4),8)+1</f>
        <v/>
      </c>
      <c r="E1281" s="2">
        <f>MOD(A1281-1,4)+1</f>
        <v/>
      </c>
      <c r="F1281" s="20">
        <f>축시작+INT((A1281-1)/32)</f>
        <v/>
      </c>
      <c r="G1281" s="20">
        <f>F1281+H1281</f>
        <v/>
      </c>
      <c r="H1281" s="5" t="n">
        <v>5</v>
      </c>
      <c r="I1281" s="2">
        <f>ROUND(INDEX(가맹점!$P$2:$P$9,D1281)*INDEX(가맹점!$J$2:$M$9,D1281,E1281),0)</f>
        <v/>
      </c>
      <c r="J1281" s="2">
        <f>ROUND(I1281*(1-할인율),0)</f>
        <v/>
      </c>
      <c r="K1281" s="2">
        <f>ROUNDDOWN(I1281*할인율,0)</f>
        <v/>
      </c>
      <c r="L1281" s="2">
        <f>ROUND(I1281*INDEX(미지급률범위,E1281),0)</f>
        <v/>
      </c>
      <c r="M1281" s="2">
        <f>ROUND(I1281*INDEX(과지급률범위,E1281),0)</f>
        <v/>
      </c>
      <c r="N1281" s="2">
        <f>MAX(0,L1281-M1281)</f>
        <v/>
      </c>
      <c r="O1281" s="2">
        <f>K1281-N1281</f>
        <v/>
      </c>
      <c r="P1281" s="2">
        <f>I1281-N1281</f>
        <v/>
      </c>
      <c r="Q1281" s="5">
        <f>IF(G1281&gt;기준일,1,0)</f>
        <v/>
      </c>
      <c r="R1281" s="5">
        <f>IF(G1281&lt;=기준일,1,0)</f>
        <v/>
      </c>
      <c r="S1281" s="2">
        <f>J1281*H1281</f>
        <v/>
      </c>
      <c r="T1281" s="5">
        <f>IF(AND(F1281&gt;=표본시작,F1281&lt;=표본종료),1,0)</f>
        <v/>
      </c>
      <c r="U1281" s="5">
        <f>IF(AND(G1281&gt;=조회시작,G1281&lt;=조회종료),1,0)</f>
        <v/>
      </c>
    </row>
  </sheetData>
  <autoFilter ref="A1:U12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7" customWidth="1" min="4" max="4"/>
    <col width="20" customWidth="1" min="5" max="5"/>
    <col width="24" customWidth="1" min="6" max="6"/>
    <col width="16" customWidth="1" min="7" max="7"/>
    <col width="16" customWidth="1" min="8" max="8"/>
    <col width="12" customWidth="1" min="9" max="9"/>
    <col width="18" customWidth="1" min="10" max="10"/>
    <col width="16" customWidth="1" min="11" max="11"/>
    <col width="13" customWidth="1" min="12" max="12"/>
    <col width="15" customWidth="1" min="13" max="13"/>
    <col width="62" customWidth="1" min="14" max="14"/>
  </cols>
  <sheetData>
    <row r="1" ht="30" customHeight="1">
      <c r="A1" s="1" t="inlineStr">
        <is>
          <t>정산예정일</t>
        </is>
      </c>
      <c r="B1" s="1" t="inlineStr">
        <is>
          <t>건수</t>
        </is>
      </c>
      <c r="C1" s="1" t="inlineStr">
        <is>
          <t>B(d-1) 상환액</t>
        </is>
      </c>
      <c r="D1" s="1" t="inlineStr">
        <is>
          <t>A(d-1) 투자실행금</t>
        </is>
      </c>
      <c r="E1" s="1" t="inlineStr">
        <is>
          <t>M(d-1) 투자수익 (화면 표시값)</t>
        </is>
      </c>
      <c r="F1" s="1" t="inlineStr">
        <is>
          <t>M(d-1) 투자수익(차감 제외 · 참고)</t>
        </is>
      </c>
      <c r="G1" s="1" t="inlineStr">
        <is>
          <t>MR(d-1) 투자수익율(%)</t>
        </is>
      </c>
      <c r="H1" s="1" t="inlineStr">
        <is>
          <t>wD(d-1) W금융일수</t>
        </is>
      </c>
      <c r="I1" s="1" t="inlineStr">
        <is>
          <t>ty수익율(%)</t>
        </is>
      </c>
      <c r="J1" s="1" t="inlineStr">
        <is>
          <t>EC 순현금 (미확정)</t>
        </is>
      </c>
      <c r="K1" s="1" t="inlineStr">
        <is>
          <t>Σ(Ai x Di)</t>
        </is>
      </c>
      <c r="L1" s="1" t="inlineStr">
        <is>
          <t>부족액 차감</t>
        </is>
      </c>
      <c r="M1" s="1" t="inlineStr">
        <is>
          <t>차감/수수료(%)</t>
        </is>
      </c>
      <c r="N1" s="4" t="inlineStr">
        <is>
          <t>미확정 — EC 는 전일자 마감시점(자정) 잔액. 일별 EC 원장이 없어 J2:J28 27칸 전부 조회시점 순현금(입력 C8)을 그대로 놓았다. 그래서 PEC 는 순현금 x 조회 일수다.</t>
        </is>
      </c>
    </row>
    <row r="2">
      <c r="A2" s="20">
        <f>일별시작+0</f>
        <v/>
      </c>
      <c r="B2" s="2">
        <f>COUNTIFS(채권!$G$2:$G$1281,$A2)</f>
        <v/>
      </c>
      <c r="C2" s="2">
        <f>SUMIFS(채권!$P$2:$P$1281,채권!$G$2:$G$1281,$A2)</f>
        <v/>
      </c>
      <c r="D2" s="2">
        <f>SUMIFS(채권!$J$2:$J$1281,채권!$G$2:$G$1281,$A2)</f>
        <v/>
      </c>
      <c r="E2" s="2">
        <f>SUMIFS(채권!$O$2:$O$1281,채권!$G$2:$G$1281,$A2)</f>
        <v/>
      </c>
      <c r="F2" s="2">
        <f>SUMIFS(채권!$K$2:$K$1281,채권!$G$2:$G$1281,$A2)</f>
        <v/>
      </c>
      <c r="G2" s="10">
        <f>IF(D2=0,0,ROUND(E2/D2*100,6))</f>
        <v/>
      </c>
      <c r="H2" s="10">
        <f>IF(D2=0,0,ROUND(K2/D2,6))</f>
        <v/>
      </c>
      <c r="I2" s="7">
        <f>IF(H2=0,0,ROUND(G2*연일수/H2,6))</f>
        <v/>
      </c>
      <c r="J2" s="2">
        <f>순현금</f>
        <v/>
      </c>
      <c r="K2" s="2">
        <f>SUMIFS(채권!$S$2:$S$1281,채권!$G$2:$G$1281,$A2)</f>
        <v/>
      </c>
      <c r="L2" s="2">
        <f>SUMIFS(채권!$N$2:$N$1281,채권!$G$2:$G$1281,$A2)</f>
        <v/>
      </c>
      <c r="M2" s="7">
        <f>IF(F2=0,0,L2/F2*100)</f>
        <v/>
      </c>
    </row>
    <row r="3">
      <c r="A3" s="20">
        <f>일별시작+1</f>
        <v/>
      </c>
      <c r="B3" s="2">
        <f>COUNTIFS(채권!$G$2:$G$1281,$A3)</f>
        <v/>
      </c>
      <c r="C3" s="2">
        <f>SUMIFS(채권!$P$2:$P$1281,채권!$G$2:$G$1281,$A3)</f>
        <v/>
      </c>
      <c r="D3" s="2">
        <f>SUMIFS(채권!$J$2:$J$1281,채권!$G$2:$G$1281,$A3)</f>
        <v/>
      </c>
      <c r="E3" s="2">
        <f>SUMIFS(채권!$O$2:$O$1281,채권!$G$2:$G$1281,$A3)</f>
        <v/>
      </c>
      <c r="F3" s="2">
        <f>SUMIFS(채권!$K$2:$K$1281,채권!$G$2:$G$1281,$A3)</f>
        <v/>
      </c>
      <c r="G3" s="10">
        <f>IF(D3=0,0,ROUND(E3/D3*100,6))</f>
        <v/>
      </c>
      <c r="H3" s="10">
        <f>IF(D3=0,0,ROUND(K3/D3,6))</f>
        <v/>
      </c>
      <c r="I3" s="7">
        <f>IF(H3=0,0,ROUND(G3*연일수/H3,6))</f>
        <v/>
      </c>
      <c r="J3" s="2">
        <f>순현금</f>
        <v/>
      </c>
      <c r="K3" s="2">
        <f>SUMIFS(채권!$S$2:$S$1281,채권!$G$2:$G$1281,$A3)</f>
        <v/>
      </c>
      <c r="L3" s="2">
        <f>SUMIFS(채권!$N$2:$N$1281,채권!$G$2:$G$1281,$A3)</f>
        <v/>
      </c>
      <c r="M3" s="7">
        <f>IF(F3=0,0,L3/F3*100)</f>
        <v/>
      </c>
    </row>
    <row r="4">
      <c r="A4" s="20">
        <f>일별시작+2</f>
        <v/>
      </c>
      <c r="B4" s="2">
        <f>COUNTIFS(채권!$G$2:$G$1281,$A4)</f>
        <v/>
      </c>
      <c r="C4" s="2">
        <f>SUMIFS(채권!$P$2:$P$1281,채권!$G$2:$G$1281,$A4)</f>
        <v/>
      </c>
      <c r="D4" s="2">
        <f>SUMIFS(채권!$J$2:$J$1281,채권!$G$2:$G$1281,$A4)</f>
        <v/>
      </c>
      <c r="E4" s="2">
        <f>SUMIFS(채권!$O$2:$O$1281,채권!$G$2:$G$1281,$A4)</f>
        <v/>
      </c>
      <c r="F4" s="2">
        <f>SUMIFS(채권!$K$2:$K$1281,채권!$G$2:$G$1281,$A4)</f>
        <v/>
      </c>
      <c r="G4" s="10">
        <f>IF(D4=0,0,ROUND(E4/D4*100,6))</f>
        <v/>
      </c>
      <c r="H4" s="10">
        <f>IF(D4=0,0,ROUND(K4/D4,6))</f>
        <v/>
      </c>
      <c r="I4" s="7">
        <f>IF(H4=0,0,ROUND(G4*연일수/H4,6))</f>
        <v/>
      </c>
      <c r="J4" s="2">
        <f>순현금</f>
        <v/>
      </c>
      <c r="K4" s="2">
        <f>SUMIFS(채권!$S$2:$S$1281,채권!$G$2:$G$1281,$A4)</f>
        <v/>
      </c>
      <c r="L4" s="2">
        <f>SUMIFS(채권!$N$2:$N$1281,채권!$G$2:$G$1281,$A4)</f>
        <v/>
      </c>
      <c r="M4" s="7">
        <f>IF(F4=0,0,L4/F4*100)</f>
        <v/>
      </c>
    </row>
    <row r="5">
      <c r="A5" s="20">
        <f>일별시작+3</f>
        <v/>
      </c>
      <c r="B5" s="2">
        <f>COUNTIFS(채권!$G$2:$G$1281,$A5)</f>
        <v/>
      </c>
      <c r="C5" s="2">
        <f>SUMIFS(채권!$P$2:$P$1281,채권!$G$2:$G$1281,$A5)</f>
        <v/>
      </c>
      <c r="D5" s="2">
        <f>SUMIFS(채권!$J$2:$J$1281,채권!$G$2:$G$1281,$A5)</f>
        <v/>
      </c>
      <c r="E5" s="2">
        <f>SUMIFS(채권!$O$2:$O$1281,채권!$G$2:$G$1281,$A5)</f>
        <v/>
      </c>
      <c r="F5" s="2">
        <f>SUMIFS(채권!$K$2:$K$1281,채권!$G$2:$G$1281,$A5)</f>
        <v/>
      </c>
      <c r="G5" s="10">
        <f>IF(D5=0,0,ROUND(E5/D5*100,6))</f>
        <v/>
      </c>
      <c r="H5" s="10">
        <f>IF(D5=0,0,ROUND(K5/D5,6))</f>
        <v/>
      </c>
      <c r="I5" s="7">
        <f>IF(H5=0,0,ROUND(G5*연일수/H5,6))</f>
        <v/>
      </c>
      <c r="J5" s="2">
        <f>순현금</f>
        <v/>
      </c>
      <c r="K5" s="2">
        <f>SUMIFS(채권!$S$2:$S$1281,채권!$G$2:$G$1281,$A5)</f>
        <v/>
      </c>
      <c r="L5" s="2">
        <f>SUMIFS(채권!$N$2:$N$1281,채권!$G$2:$G$1281,$A5)</f>
        <v/>
      </c>
      <c r="M5" s="7">
        <f>IF(F5=0,0,L5/F5*100)</f>
        <v/>
      </c>
    </row>
    <row r="6">
      <c r="A6" s="20">
        <f>일별시작+4</f>
        <v/>
      </c>
      <c r="B6" s="2">
        <f>COUNTIFS(채권!$G$2:$G$1281,$A6)</f>
        <v/>
      </c>
      <c r="C6" s="2">
        <f>SUMIFS(채권!$P$2:$P$1281,채권!$G$2:$G$1281,$A6)</f>
        <v/>
      </c>
      <c r="D6" s="2">
        <f>SUMIFS(채권!$J$2:$J$1281,채권!$G$2:$G$1281,$A6)</f>
        <v/>
      </c>
      <c r="E6" s="2">
        <f>SUMIFS(채권!$O$2:$O$1281,채권!$G$2:$G$1281,$A6)</f>
        <v/>
      </c>
      <c r="F6" s="2">
        <f>SUMIFS(채권!$K$2:$K$1281,채권!$G$2:$G$1281,$A6)</f>
        <v/>
      </c>
      <c r="G6" s="10">
        <f>IF(D6=0,0,ROUND(E6/D6*100,6))</f>
        <v/>
      </c>
      <c r="H6" s="10">
        <f>IF(D6=0,0,ROUND(K6/D6,6))</f>
        <v/>
      </c>
      <c r="I6" s="7">
        <f>IF(H6=0,0,ROUND(G6*연일수/H6,6))</f>
        <v/>
      </c>
      <c r="J6" s="2">
        <f>순현금</f>
        <v/>
      </c>
      <c r="K6" s="2">
        <f>SUMIFS(채권!$S$2:$S$1281,채권!$G$2:$G$1281,$A6)</f>
        <v/>
      </c>
      <c r="L6" s="2">
        <f>SUMIFS(채권!$N$2:$N$1281,채권!$G$2:$G$1281,$A6)</f>
        <v/>
      </c>
      <c r="M6" s="7">
        <f>IF(F6=0,0,L6/F6*100)</f>
        <v/>
      </c>
    </row>
    <row r="7">
      <c r="A7" s="20">
        <f>일별시작+5</f>
        <v/>
      </c>
      <c r="B7" s="2">
        <f>COUNTIFS(채권!$G$2:$G$1281,$A7)</f>
        <v/>
      </c>
      <c r="C7" s="2">
        <f>SUMIFS(채권!$P$2:$P$1281,채권!$G$2:$G$1281,$A7)</f>
        <v/>
      </c>
      <c r="D7" s="2">
        <f>SUMIFS(채권!$J$2:$J$1281,채권!$G$2:$G$1281,$A7)</f>
        <v/>
      </c>
      <c r="E7" s="2">
        <f>SUMIFS(채권!$O$2:$O$1281,채권!$G$2:$G$1281,$A7)</f>
        <v/>
      </c>
      <c r="F7" s="2">
        <f>SUMIFS(채권!$K$2:$K$1281,채권!$G$2:$G$1281,$A7)</f>
        <v/>
      </c>
      <c r="G7" s="10">
        <f>IF(D7=0,0,ROUND(E7/D7*100,6))</f>
        <v/>
      </c>
      <c r="H7" s="10">
        <f>IF(D7=0,0,ROUND(K7/D7,6))</f>
        <v/>
      </c>
      <c r="I7" s="7">
        <f>IF(H7=0,0,ROUND(G7*연일수/H7,6))</f>
        <v/>
      </c>
      <c r="J7" s="2">
        <f>순현금</f>
        <v/>
      </c>
      <c r="K7" s="2">
        <f>SUMIFS(채권!$S$2:$S$1281,채권!$G$2:$G$1281,$A7)</f>
        <v/>
      </c>
      <c r="L7" s="2">
        <f>SUMIFS(채권!$N$2:$N$1281,채권!$G$2:$G$1281,$A7)</f>
        <v/>
      </c>
      <c r="M7" s="7">
        <f>IF(F7=0,0,L7/F7*100)</f>
        <v/>
      </c>
    </row>
    <row r="8">
      <c r="A8" s="20">
        <f>일별시작+6</f>
        <v/>
      </c>
      <c r="B8" s="2">
        <f>COUNTIFS(채권!$G$2:$G$1281,$A8)</f>
        <v/>
      </c>
      <c r="C8" s="2">
        <f>SUMIFS(채권!$P$2:$P$1281,채권!$G$2:$G$1281,$A8)</f>
        <v/>
      </c>
      <c r="D8" s="2">
        <f>SUMIFS(채권!$J$2:$J$1281,채권!$G$2:$G$1281,$A8)</f>
        <v/>
      </c>
      <c r="E8" s="2">
        <f>SUMIFS(채권!$O$2:$O$1281,채권!$G$2:$G$1281,$A8)</f>
        <v/>
      </c>
      <c r="F8" s="2">
        <f>SUMIFS(채권!$K$2:$K$1281,채권!$G$2:$G$1281,$A8)</f>
        <v/>
      </c>
      <c r="G8" s="10">
        <f>IF(D8=0,0,ROUND(E8/D8*100,6))</f>
        <v/>
      </c>
      <c r="H8" s="10">
        <f>IF(D8=0,0,ROUND(K8/D8,6))</f>
        <v/>
      </c>
      <c r="I8" s="7">
        <f>IF(H8=0,0,ROUND(G8*연일수/H8,6))</f>
        <v/>
      </c>
      <c r="J8" s="2">
        <f>순현금</f>
        <v/>
      </c>
      <c r="K8" s="2">
        <f>SUMIFS(채권!$S$2:$S$1281,채권!$G$2:$G$1281,$A8)</f>
        <v/>
      </c>
      <c r="L8" s="2">
        <f>SUMIFS(채권!$N$2:$N$1281,채권!$G$2:$G$1281,$A8)</f>
        <v/>
      </c>
      <c r="M8" s="7">
        <f>IF(F8=0,0,L8/F8*100)</f>
        <v/>
      </c>
    </row>
    <row r="9">
      <c r="A9" s="20">
        <f>일별시작+7</f>
        <v/>
      </c>
      <c r="B9" s="2">
        <f>COUNTIFS(채권!$G$2:$G$1281,$A9)</f>
        <v/>
      </c>
      <c r="C9" s="2">
        <f>SUMIFS(채권!$P$2:$P$1281,채권!$G$2:$G$1281,$A9)</f>
        <v/>
      </c>
      <c r="D9" s="2">
        <f>SUMIFS(채권!$J$2:$J$1281,채권!$G$2:$G$1281,$A9)</f>
        <v/>
      </c>
      <c r="E9" s="2">
        <f>SUMIFS(채권!$O$2:$O$1281,채권!$G$2:$G$1281,$A9)</f>
        <v/>
      </c>
      <c r="F9" s="2">
        <f>SUMIFS(채권!$K$2:$K$1281,채권!$G$2:$G$1281,$A9)</f>
        <v/>
      </c>
      <c r="G9" s="10">
        <f>IF(D9=0,0,ROUND(E9/D9*100,6))</f>
        <v/>
      </c>
      <c r="H9" s="10">
        <f>IF(D9=0,0,ROUND(K9/D9,6))</f>
        <v/>
      </c>
      <c r="I9" s="7">
        <f>IF(H9=0,0,ROUND(G9*연일수/H9,6))</f>
        <v/>
      </c>
      <c r="J9" s="2">
        <f>순현금</f>
        <v/>
      </c>
      <c r="K9" s="2">
        <f>SUMIFS(채권!$S$2:$S$1281,채권!$G$2:$G$1281,$A9)</f>
        <v/>
      </c>
      <c r="L9" s="2">
        <f>SUMIFS(채권!$N$2:$N$1281,채권!$G$2:$G$1281,$A9)</f>
        <v/>
      </c>
      <c r="M9" s="7">
        <f>IF(F9=0,0,L9/F9*100)</f>
        <v/>
      </c>
    </row>
    <row r="10">
      <c r="A10" s="20">
        <f>일별시작+8</f>
        <v/>
      </c>
      <c r="B10" s="2">
        <f>COUNTIFS(채권!$G$2:$G$1281,$A10)</f>
        <v/>
      </c>
      <c r="C10" s="2">
        <f>SUMIFS(채권!$P$2:$P$1281,채권!$G$2:$G$1281,$A10)</f>
        <v/>
      </c>
      <c r="D10" s="2">
        <f>SUMIFS(채권!$J$2:$J$1281,채권!$G$2:$G$1281,$A10)</f>
        <v/>
      </c>
      <c r="E10" s="2">
        <f>SUMIFS(채권!$O$2:$O$1281,채권!$G$2:$G$1281,$A10)</f>
        <v/>
      </c>
      <c r="F10" s="2">
        <f>SUMIFS(채권!$K$2:$K$1281,채권!$G$2:$G$1281,$A10)</f>
        <v/>
      </c>
      <c r="G10" s="10">
        <f>IF(D10=0,0,ROUND(E10/D10*100,6))</f>
        <v/>
      </c>
      <c r="H10" s="10">
        <f>IF(D10=0,0,ROUND(K10/D10,6))</f>
        <v/>
      </c>
      <c r="I10" s="7">
        <f>IF(H10=0,0,ROUND(G10*연일수/H10,6))</f>
        <v/>
      </c>
      <c r="J10" s="2">
        <f>순현금</f>
        <v/>
      </c>
      <c r="K10" s="2">
        <f>SUMIFS(채권!$S$2:$S$1281,채권!$G$2:$G$1281,$A10)</f>
        <v/>
      </c>
      <c r="L10" s="2">
        <f>SUMIFS(채권!$N$2:$N$1281,채권!$G$2:$G$1281,$A10)</f>
        <v/>
      </c>
      <c r="M10" s="7">
        <f>IF(F10=0,0,L10/F10*100)</f>
        <v/>
      </c>
    </row>
    <row r="11">
      <c r="A11" s="20">
        <f>일별시작+9</f>
        <v/>
      </c>
      <c r="B11" s="2">
        <f>COUNTIFS(채권!$G$2:$G$1281,$A11)</f>
        <v/>
      </c>
      <c r="C11" s="2">
        <f>SUMIFS(채권!$P$2:$P$1281,채권!$G$2:$G$1281,$A11)</f>
        <v/>
      </c>
      <c r="D11" s="2">
        <f>SUMIFS(채권!$J$2:$J$1281,채권!$G$2:$G$1281,$A11)</f>
        <v/>
      </c>
      <c r="E11" s="2">
        <f>SUMIFS(채권!$O$2:$O$1281,채권!$G$2:$G$1281,$A11)</f>
        <v/>
      </c>
      <c r="F11" s="2">
        <f>SUMIFS(채권!$K$2:$K$1281,채권!$G$2:$G$1281,$A11)</f>
        <v/>
      </c>
      <c r="G11" s="10">
        <f>IF(D11=0,0,ROUND(E11/D11*100,6))</f>
        <v/>
      </c>
      <c r="H11" s="10">
        <f>IF(D11=0,0,ROUND(K11/D11,6))</f>
        <v/>
      </c>
      <c r="I11" s="7">
        <f>IF(H11=0,0,ROUND(G11*연일수/H11,6))</f>
        <v/>
      </c>
      <c r="J11" s="2">
        <f>순현금</f>
        <v/>
      </c>
      <c r="K11" s="2">
        <f>SUMIFS(채권!$S$2:$S$1281,채권!$G$2:$G$1281,$A11)</f>
        <v/>
      </c>
      <c r="L11" s="2">
        <f>SUMIFS(채권!$N$2:$N$1281,채권!$G$2:$G$1281,$A11)</f>
        <v/>
      </c>
      <c r="M11" s="7">
        <f>IF(F11=0,0,L11/F11*100)</f>
        <v/>
      </c>
    </row>
    <row r="12">
      <c r="A12" s="20">
        <f>일별시작+10</f>
        <v/>
      </c>
      <c r="B12" s="2">
        <f>COUNTIFS(채권!$G$2:$G$1281,$A12)</f>
        <v/>
      </c>
      <c r="C12" s="2">
        <f>SUMIFS(채권!$P$2:$P$1281,채권!$G$2:$G$1281,$A12)</f>
        <v/>
      </c>
      <c r="D12" s="2">
        <f>SUMIFS(채권!$J$2:$J$1281,채권!$G$2:$G$1281,$A12)</f>
        <v/>
      </c>
      <c r="E12" s="2">
        <f>SUMIFS(채권!$O$2:$O$1281,채권!$G$2:$G$1281,$A12)</f>
        <v/>
      </c>
      <c r="F12" s="2">
        <f>SUMIFS(채권!$K$2:$K$1281,채권!$G$2:$G$1281,$A12)</f>
        <v/>
      </c>
      <c r="G12" s="10">
        <f>IF(D12=0,0,ROUND(E12/D12*100,6))</f>
        <v/>
      </c>
      <c r="H12" s="10">
        <f>IF(D12=0,0,ROUND(K12/D12,6))</f>
        <v/>
      </c>
      <c r="I12" s="7">
        <f>IF(H12=0,0,ROUND(G12*연일수/H12,6))</f>
        <v/>
      </c>
      <c r="J12" s="2">
        <f>순현금</f>
        <v/>
      </c>
      <c r="K12" s="2">
        <f>SUMIFS(채권!$S$2:$S$1281,채권!$G$2:$G$1281,$A12)</f>
        <v/>
      </c>
      <c r="L12" s="2">
        <f>SUMIFS(채권!$N$2:$N$1281,채권!$G$2:$G$1281,$A12)</f>
        <v/>
      </c>
      <c r="M12" s="7">
        <f>IF(F12=0,0,L12/F12*100)</f>
        <v/>
      </c>
    </row>
    <row r="13">
      <c r="A13" s="20">
        <f>일별시작+11</f>
        <v/>
      </c>
      <c r="B13" s="2">
        <f>COUNTIFS(채권!$G$2:$G$1281,$A13)</f>
        <v/>
      </c>
      <c r="C13" s="2">
        <f>SUMIFS(채권!$P$2:$P$1281,채권!$G$2:$G$1281,$A13)</f>
        <v/>
      </c>
      <c r="D13" s="2">
        <f>SUMIFS(채권!$J$2:$J$1281,채권!$G$2:$G$1281,$A13)</f>
        <v/>
      </c>
      <c r="E13" s="2">
        <f>SUMIFS(채권!$O$2:$O$1281,채권!$G$2:$G$1281,$A13)</f>
        <v/>
      </c>
      <c r="F13" s="2">
        <f>SUMIFS(채권!$K$2:$K$1281,채권!$G$2:$G$1281,$A13)</f>
        <v/>
      </c>
      <c r="G13" s="10">
        <f>IF(D13=0,0,ROUND(E13/D13*100,6))</f>
        <v/>
      </c>
      <c r="H13" s="10">
        <f>IF(D13=0,0,ROUND(K13/D13,6))</f>
        <v/>
      </c>
      <c r="I13" s="7">
        <f>IF(H13=0,0,ROUND(G13*연일수/H13,6))</f>
        <v/>
      </c>
      <c r="J13" s="2">
        <f>순현금</f>
        <v/>
      </c>
      <c r="K13" s="2">
        <f>SUMIFS(채권!$S$2:$S$1281,채권!$G$2:$G$1281,$A13)</f>
        <v/>
      </c>
      <c r="L13" s="2">
        <f>SUMIFS(채권!$N$2:$N$1281,채권!$G$2:$G$1281,$A13)</f>
        <v/>
      </c>
      <c r="M13" s="7">
        <f>IF(F13=0,0,L13/F13*100)</f>
        <v/>
      </c>
    </row>
    <row r="14">
      <c r="A14" s="20">
        <f>일별시작+12</f>
        <v/>
      </c>
      <c r="B14" s="2">
        <f>COUNTIFS(채권!$G$2:$G$1281,$A14)</f>
        <v/>
      </c>
      <c r="C14" s="2">
        <f>SUMIFS(채권!$P$2:$P$1281,채권!$G$2:$G$1281,$A14)</f>
        <v/>
      </c>
      <c r="D14" s="2">
        <f>SUMIFS(채권!$J$2:$J$1281,채권!$G$2:$G$1281,$A14)</f>
        <v/>
      </c>
      <c r="E14" s="2">
        <f>SUMIFS(채권!$O$2:$O$1281,채권!$G$2:$G$1281,$A14)</f>
        <v/>
      </c>
      <c r="F14" s="2">
        <f>SUMIFS(채권!$K$2:$K$1281,채권!$G$2:$G$1281,$A14)</f>
        <v/>
      </c>
      <c r="G14" s="10">
        <f>IF(D14=0,0,ROUND(E14/D14*100,6))</f>
        <v/>
      </c>
      <c r="H14" s="10">
        <f>IF(D14=0,0,ROUND(K14/D14,6))</f>
        <v/>
      </c>
      <c r="I14" s="7">
        <f>IF(H14=0,0,ROUND(G14*연일수/H14,6))</f>
        <v/>
      </c>
      <c r="J14" s="2">
        <f>순현금</f>
        <v/>
      </c>
      <c r="K14" s="2">
        <f>SUMIFS(채권!$S$2:$S$1281,채권!$G$2:$G$1281,$A14)</f>
        <v/>
      </c>
      <c r="L14" s="2">
        <f>SUMIFS(채권!$N$2:$N$1281,채권!$G$2:$G$1281,$A14)</f>
        <v/>
      </c>
      <c r="M14" s="7">
        <f>IF(F14=0,0,L14/F14*100)</f>
        <v/>
      </c>
    </row>
    <row r="15">
      <c r="A15" s="20">
        <f>일별시작+13</f>
        <v/>
      </c>
      <c r="B15" s="2">
        <f>COUNTIFS(채권!$G$2:$G$1281,$A15)</f>
        <v/>
      </c>
      <c r="C15" s="2">
        <f>SUMIFS(채권!$P$2:$P$1281,채권!$G$2:$G$1281,$A15)</f>
        <v/>
      </c>
      <c r="D15" s="2">
        <f>SUMIFS(채권!$J$2:$J$1281,채권!$G$2:$G$1281,$A15)</f>
        <v/>
      </c>
      <c r="E15" s="2">
        <f>SUMIFS(채권!$O$2:$O$1281,채권!$G$2:$G$1281,$A15)</f>
        <v/>
      </c>
      <c r="F15" s="2">
        <f>SUMIFS(채권!$K$2:$K$1281,채권!$G$2:$G$1281,$A15)</f>
        <v/>
      </c>
      <c r="G15" s="10">
        <f>IF(D15=0,0,ROUND(E15/D15*100,6))</f>
        <v/>
      </c>
      <c r="H15" s="10">
        <f>IF(D15=0,0,ROUND(K15/D15,6))</f>
        <v/>
      </c>
      <c r="I15" s="7">
        <f>IF(H15=0,0,ROUND(G15*연일수/H15,6))</f>
        <v/>
      </c>
      <c r="J15" s="2">
        <f>순현금</f>
        <v/>
      </c>
      <c r="K15" s="2">
        <f>SUMIFS(채권!$S$2:$S$1281,채권!$G$2:$G$1281,$A15)</f>
        <v/>
      </c>
      <c r="L15" s="2">
        <f>SUMIFS(채권!$N$2:$N$1281,채권!$G$2:$G$1281,$A15)</f>
        <v/>
      </c>
      <c r="M15" s="7">
        <f>IF(F15=0,0,L15/F15*100)</f>
        <v/>
      </c>
    </row>
    <row r="16">
      <c r="A16" s="20">
        <f>일별시작+14</f>
        <v/>
      </c>
      <c r="B16" s="2">
        <f>COUNTIFS(채권!$G$2:$G$1281,$A16)</f>
        <v/>
      </c>
      <c r="C16" s="2">
        <f>SUMIFS(채권!$P$2:$P$1281,채권!$G$2:$G$1281,$A16)</f>
        <v/>
      </c>
      <c r="D16" s="2">
        <f>SUMIFS(채권!$J$2:$J$1281,채권!$G$2:$G$1281,$A16)</f>
        <v/>
      </c>
      <c r="E16" s="2">
        <f>SUMIFS(채권!$O$2:$O$1281,채권!$G$2:$G$1281,$A16)</f>
        <v/>
      </c>
      <c r="F16" s="2">
        <f>SUMIFS(채권!$K$2:$K$1281,채권!$G$2:$G$1281,$A16)</f>
        <v/>
      </c>
      <c r="G16" s="10">
        <f>IF(D16=0,0,ROUND(E16/D16*100,6))</f>
        <v/>
      </c>
      <c r="H16" s="10">
        <f>IF(D16=0,0,ROUND(K16/D16,6))</f>
        <v/>
      </c>
      <c r="I16" s="7">
        <f>IF(H16=0,0,ROUND(G16*연일수/H16,6))</f>
        <v/>
      </c>
      <c r="J16" s="2">
        <f>순현금</f>
        <v/>
      </c>
      <c r="K16" s="2">
        <f>SUMIFS(채권!$S$2:$S$1281,채권!$G$2:$G$1281,$A16)</f>
        <v/>
      </c>
      <c r="L16" s="2">
        <f>SUMIFS(채권!$N$2:$N$1281,채권!$G$2:$G$1281,$A16)</f>
        <v/>
      </c>
      <c r="M16" s="7">
        <f>IF(F16=0,0,L16/F16*100)</f>
        <v/>
      </c>
    </row>
    <row r="17">
      <c r="A17" s="20">
        <f>일별시작+15</f>
        <v/>
      </c>
      <c r="B17" s="2">
        <f>COUNTIFS(채권!$G$2:$G$1281,$A17)</f>
        <v/>
      </c>
      <c r="C17" s="2">
        <f>SUMIFS(채권!$P$2:$P$1281,채권!$G$2:$G$1281,$A17)</f>
        <v/>
      </c>
      <c r="D17" s="2">
        <f>SUMIFS(채권!$J$2:$J$1281,채권!$G$2:$G$1281,$A17)</f>
        <v/>
      </c>
      <c r="E17" s="2">
        <f>SUMIFS(채권!$O$2:$O$1281,채권!$G$2:$G$1281,$A17)</f>
        <v/>
      </c>
      <c r="F17" s="2">
        <f>SUMIFS(채권!$K$2:$K$1281,채권!$G$2:$G$1281,$A17)</f>
        <v/>
      </c>
      <c r="G17" s="10">
        <f>IF(D17=0,0,ROUND(E17/D17*100,6))</f>
        <v/>
      </c>
      <c r="H17" s="10">
        <f>IF(D17=0,0,ROUND(K17/D17,6))</f>
        <v/>
      </c>
      <c r="I17" s="7">
        <f>IF(H17=0,0,ROUND(G17*연일수/H17,6))</f>
        <v/>
      </c>
      <c r="J17" s="2">
        <f>순현금</f>
        <v/>
      </c>
      <c r="K17" s="2">
        <f>SUMIFS(채권!$S$2:$S$1281,채권!$G$2:$G$1281,$A17)</f>
        <v/>
      </c>
      <c r="L17" s="2">
        <f>SUMIFS(채권!$N$2:$N$1281,채권!$G$2:$G$1281,$A17)</f>
        <v/>
      </c>
      <c r="M17" s="7">
        <f>IF(F17=0,0,L17/F17*100)</f>
        <v/>
      </c>
    </row>
    <row r="18">
      <c r="A18" s="20">
        <f>일별시작+16</f>
        <v/>
      </c>
      <c r="B18" s="2">
        <f>COUNTIFS(채권!$G$2:$G$1281,$A18)</f>
        <v/>
      </c>
      <c r="C18" s="2">
        <f>SUMIFS(채권!$P$2:$P$1281,채권!$G$2:$G$1281,$A18)</f>
        <v/>
      </c>
      <c r="D18" s="2">
        <f>SUMIFS(채권!$J$2:$J$1281,채권!$G$2:$G$1281,$A18)</f>
        <v/>
      </c>
      <c r="E18" s="2">
        <f>SUMIFS(채권!$O$2:$O$1281,채권!$G$2:$G$1281,$A18)</f>
        <v/>
      </c>
      <c r="F18" s="2">
        <f>SUMIFS(채권!$K$2:$K$1281,채권!$G$2:$G$1281,$A18)</f>
        <v/>
      </c>
      <c r="G18" s="10">
        <f>IF(D18=0,0,ROUND(E18/D18*100,6))</f>
        <v/>
      </c>
      <c r="H18" s="10">
        <f>IF(D18=0,0,ROUND(K18/D18,6))</f>
        <v/>
      </c>
      <c r="I18" s="7">
        <f>IF(H18=0,0,ROUND(G18*연일수/H18,6))</f>
        <v/>
      </c>
      <c r="J18" s="2">
        <f>순현금</f>
        <v/>
      </c>
      <c r="K18" s="2">
        <f>SUMIFS(채권!$S$2:$S$1281,채권!$G$2:$G$1281,$A18)</f>
        <v/>
      </c>
      <c r="L18" s="2">
        <f>SUMIFS(채권!$N$2:$N$1281,채권!$G$2:$G$1281,$A18)</f>
        <v/>
      </c>
      <c r="M18" s="7">
        <f>IF(F18=0,0,L18/F18*100)</f>
        <v/>
      </c>
    </row>
    <row r="19">
      <c r="A19" s="20">
        <f>일별시작+17</f>
        <v/>
      </c>
      <c r="B19" s="2">
        <f>COUNTIFS(채권!$G$2:$G$1281,$A19)</f>
        <v/>
      </c>
      <c r="C19" s="2">
        <f>SUMIFS(채권!$P$2:$P$1281,채권!$G$2:$G$1281,$A19)</f>
        <v/>
      </c>
      <c r="D19" s="2">
        <f>SUMIFS(채권!$J$2:$J$1281,채권!$G$2:$G$1281,$A19)</f>
        <v/>
      </c>
      <c r="E19" s="2">
        <f>SUMIFS(채권!$O$2:$O$1281,채권!$G$2:$G$1281,$A19)</f>
        <v/>
      </c>
      <c r="F19" s="2">
        <f>SUMIFS(채권!$K$2:$K$1281,채권!$G$2:$G$1281,$A19)</f>
        <v/>
      </c>
      <c r="G19" s="10">
        <f>IF(D19=0,0,ROUND(E19/D19*100,6))</f>
        <v/>
      </c>
      <c r="H19" s="10">
        <f>IF(D19=0,0,ROUND(K19/D19,6))</f>
        <v/>
      </c>
      <c r="I19" s="7">
        <f>IF(H19=0,0,ROUND(G19*연일수/H19,6))</f>
        <v/>
      </c>
      <c r="J19" s="2">
        <f>순현금</f>
        <v/>
      </c>
      <c r="K19" s="2">
        <f>SUMIFS(채권!$S$2:$S$1281,채권!$G$2:$G$1281,$A19)</f>
        <v/>
      </c>
      <c r="L19" s="2">
        <f>SUMIFS(채권!$N$2:$N$1281,채권!$G$2:$G$1281,$A19)</f>
        <v/>
      </c>
      <c r="M19" s="7">
        <f>IF(F19=0,0,L19/F19*100)</f>
        <v/>
      </c>
    </row>
    <row r="20">
      <c r="A20" s="20">
        <f>일별시작+18</f>
        <v/>
      </c>
      <c r="B20" s="2">
        <f>COUNTIFS(채권!$G$2:$G$1281,$A20)</f>
        <v/>
      </c>
      <c r="C20" s="2">
        <f>SUMIFS(채권!$P$2:$P$1281,채권!$G$2:$G$1281,$A20)</f>
        <v/>
      </c>
      <c r="D20" s="2">
        <f>SUMIFS(채권!$J$2:$J$1281,채권!$G$2:$G$1281,$A20)</f>
        <v/>
      </c>
      <c r="E20" s="2">
        <f>SUMIFS(채권!$O$2:$O$1281,채권!$G$2:$G$1281,$A20)</f>
        <v/>
      </c>
      <c r="F20" s="2">
        <f>SUMIFS(채권!$K$2:$K$1281,채권!$G$2:$G$1281,$A20)</f>
        <v/>
      </c>
      <c r="G20" s="10">
        <f>IF(D20=0,0,ROUND(E20/D20*100,6))</f>
        <v/>
      </c>
      <c r="H20" s="10">
        <f>IF(D20=0,0,ROUND(K20/D20,6))</f>
        <v/>
      </c>
      <c r="I20" s="7">
        <f>IF(H20=0,0,ROUND(G20*연일수/H20,6))</f>
        <v/>
      </c>
      <c r="J20" s="2">
        <f>순현금</f>
        <v/>
      </c>
      <c r="K20" s="2">
        <f>SUMIFS(채권!$S$2:$S$1281,채권!$G$2:$G$1281,$A20)</f>
        <v/>
      </c>
      <c r="L20" s="2">
        <f>SUMIFS(채권!$N$2:$N$1281,채권!$G$2:$G$1281,$A20)</f>
        <v/>
      </c>
      <c r="M20" s="7">
        <f>IF(F20=0,0,L20/F20*100)</f>
        <v/>
      </c>
    </row>
    <row r="21">
      <c r="A21" s="20">
        <f>일별시작+19</f>
        <v/>
      </c>
      <c r="B21" s="2">
        <f>COUNTIFS(채권!$G$2:$G$1281,$A21)</f>
        <v/>
      </c>
      <c r="C21" s="2">
        <f>SUMIFS(채권!$P$2:$P$1281,채권!$G$2:$G$1281,$A21)</f>
        <v/>
      </c>
      <c r="D21" s="2">
        <f>SUMIFS(채권!$J$2:$J$1281,채권!$G$2:$G$1281,$A21)</f>
        <v/>
      </c>
      <c r="E21" s="2">
        <f>SUMIFS(채권!$O$2:$O$1281,채권!$G$2:$G$1281,$A21)</f>
        <v/>
      </c>
      <c r="F21" s="2">
        <f>SUMIFS(채권!$K$2:$K$1281,채권!$G$2:$G$1281,$A21)</f>
        <v/>
      </c>
      <c r="G21" s="10">
        <f>IF(D21=0,0,ROUND(E21/D21*100,6))</f>
        <v/>
      </c>
      <c r="H21" s="10">
        <f>IF(D21=0,0,ROUND(K21/D21,6))</f>
        <v/>
      </c>
      <c r="I21" s="7">
        <f>IF(H21=0,0,ROUND(G21*연일수/H21,6))</f>
        <v/>
      </c>
      <c r="J21" s="2">
        <f>순현금</f>
        <v/>
      </c>
      <c r="K21" s="2">
        <f>SUMIFS(채권!$S$2:$S$1281,채권!$G$2:$G$1281,$A21)</f>
        <v/>
      </c>
      <c r="L21" s="2">
        <f>SUMIFS(채권!$N$2:$N$1281,채권!$G$2:$G$1281,$A21)</f>
        <v/>
      </c>
      <c r="M21" s="7">
        <f>IF(F21=0,0,L21/F21*100)</f>
        <v/>
      </c>
    </row>
    <row r="22">
      <c r="A22" s="20">
        <f>일별시작+20</f>
        <v/>
      </c>
      <c r="B22" s="2">
        <f>COUNTIFS(채권!$G$2:$G$1281,$A22)</f>
        <v/>
      </c>
      <c r="C22" s="2">
        <f>SUMIFS(채권!$P$2:$P$1281,채권!$G$2:$G$1281,$A22)</f>
        <v/>
      </c>
      <c r="D22" s="2">
        <f>SUMIFS(채권!$J$2:$J$1281,채권!$G$2:$G$1281,$A22)</f>
        <v/>
      </c>
      <c r="E22" s="2">
        <f>SUMIFS(채권!$O$2:$O$1281,채권!$G$2:$G$1281,$A22)</f>
        <v/>
      </c>
      <c r="F22" s="2">
        <f>SUMIFS(채권!$K$2:$K$1281,채권!$G$2:$G$1281,$A22)</f>
        <v/>
      </c>
      <c r="G22" s="10">
        <f>IF(D22=0,0,ROUND(E22/D22*100,6))</f>
        <v/>
      </c>
      <c r="H22" s="10">
        <f>IF(D22=0,0,ROUND(K22/D22,6))</f>
        <v/>
      </c>
      <c r="I22" s="7">
        <f>IF(H22=0,0,ROUND(G22*연일수/H22,6))</f>
        <v/>
      </c>
      <c r="J22" s="2">
        <f>순현금</f>
        <v/>
      </c>
      <c r="K22" s="2">
        <f>SUMIFS(채권!$S$2:$S$1281,채권!$G$2:$G$1281,$A22)</f>
        <v/>
      </c>
      <c r="L22" s="2">
        <f>SUMIFS(채권!$N$2:$N$1281,채권!$G$2:$G$1281,$A22)</f>
        <v/>
      </c>
      <c r="M22" s="7">
        <f>IF(F22=0,0,L22/F22*100)</f>
        <v/>
      </c>
    </row>
    <row r="23">
      <c r="A23" s="20">
        <f>일별시작+21</f>
        <v/>
      </c>
      <c r="B23" s="2">
        <f>COUNTIFS(채권!$G$2:$G$1281,$A23)</f>
        <v/>
      </c>
      <c r="C23" s="2">
        <f>SUMIFS(채권!$P$2:$P$1281,채권!$G$2:$G$1281,$A23)</f>
        <v/>
      </c>
      <c r="D23" s="2">
        <f>SUMIFS(채권!$J$2:$J$1281,채권!$G$2:$G$1281,$A23)</f>
        <v/>
      </c>
      <c r="E23" s="2">
        <f>SUMIFS(채권!$O$2:$O$1281,채권!$G$2:$G$1281,$A23)</f>
        <v/>
      </c>
      <c r="F23" s="2">
        <f>SUMIFS(채권!$K$2:$K$1281,채권!$G$2:$G$1281,$A23)</f>
        <v/>
      </c>
      <c r="G23" s="10">
        <f>IF(D23=0,0,ROUND(E23/D23*100,6))</f>
        <v/>
      </c>
      <c r="H23" s="10">
        <f>IF(D23=0,0,ROUND(K23/D23,6))</f>
        <v/>
      </c>
      <c r="I23" s="7">
        <f>IF(H23=0,0,ROUND(G23*연일수/H23,6))</f>
        <v/>
      </c>
      <c r="J23" s="2">
        <f>순현금</f>
        <v/>
      </c>
      <c r="K23" s="2">
        <f>SUMIFS(채권!$S$2:$S$1281,채권!$G$2:$G$1281,$A23)</f>
        <v/>
      </c>
      <c r="L23" s="2">
        <f>SUMIFS(채권!$N$2:$N$1281,채권!$G$2:$G$1281,$A23)</f>
        <v/>
      </c>
      <c r="M23" s="7">
        <f>IF(F23=0,0,L23/F23*100)</f>
        <v/>
      </c>
    </row>
    <row r="24">
      <c r="A24" s="20">
        <f>일별시작+22</f>
        <v/>
      </c>
      <c r="B24" s="2">
        <f>COUNTIFS(채권!$G$2:$G$1281,$A24)</f>
        <v/>
      </c>
      <c r="C24" s="2">
        <f>SUMIFS(채권!$P$2:$P$1281,채권!$G$2:$G$1281,$A24)</f>
        <v/>
      </c>
      <c r="D24" s="2">
        <f>SUMIFS(채권!$J$2:$J$1281,채권!$G$2:$G$1281,$A24)</f>
        <v/>
      </c>
      <c r="E24" s="2">
        <f>SUMIFS(채권!$O$2:$O$1281,채권!$G$2:$G$1281,$A24)</f>
        <v/>
      </c>
      <c r="F24" s="2">
        <f>SUMIFS(채권!$K$2:$K$1281,채권!$G$2:$G$1281,$A24)</f>
        <v/>
      </c>
      <c r="G24" s="10">
        <f>IF(D24=0,0,ROUND(E24/D24*100,6))</f>
        <v/>
      </c>
      <c r="H24" s="10">
        <f>IF(D24=0,0,ROUND(K24/D24,6))</f>
        <v/>
      </c>
      <c r="I24" s="7">
        <f>IF(H24=0,0,ROUND(G24*연일수/H24,6))</f>
        <v/>
      </c>
      <c r="J24" s="2">
        <f>순현금</f>
        <v/>
      </c>
      <c r="K24" s="2">
        <f>SUMIFS(채권!$S$2:$S$1281,채권!$G$2:$G$1281,$A24)</f>
        <v/>
      </c>
      <c r="L24" s="2">
        <f>SUMIFS(채권!$N$2:$N$1281,채권!$G$2:$G$1281,$A24)</f>
        <v/>
      </c>
      <c r="M24" s="7">
        <f>IF(F24=0,0,L24/F24*100)</f>
        <v/>
      </c>
    </row>
    <row r="25">
      <c r="A25" s="20">
        <f>일별시작+23</f>
        <v/>
      </c>
      <c r="B25" s="2">
        <f>COUNTIFS(채권!$G$2:$G$1281,$A25)</f>
        <v/>
      </c>
      <c r="C25" s="2">
        <f>SUMIFS(채권!$P$2:$P$1281,채권!$G$2:$G$1281,$A25)</f>
        <v/>
      </c>
      <c r="D25" s="2">
        <f>SUMIFS(채권!$J$2:$J$1281,채권!$G$2:$G$1281,$A25)</f>
        <v/>
      </c>
      <c r="E25" s="2">
        <f>SUMIFS(채권!$O$2:$O$1281,채권!$G$2:$G$1281,$A25)</f>
        <v/>
      </c>
      <c r="F25" s="2">
        <f>SUMIFS(채권!$K$2:$K$1281,채권!$G$2:$G$1281,$A25)</f>
        <v/>
      </c>
      <c r="G25" s="10">
        <f>IF(D25=0,0,ROUND(E25/D25*100,6))</f>
        <v/>
      </c>
      <c r="H25" s="10">
        <f>IF(D25=0,0,ROUND(K25/D25,6))</f>
        <v/>
      </c>
      <c r="I25" s="7">
        <f>IF(H25=0,0,ROUND(G25*연일수/H25,6))</f>
        <v/>
      </c>
      <c r="J25" s="2">
        <f>순현금</f>
        <v/>
      </c>
      <c r="K25" s="2">
        <f>SUMIFS(채권!$S$2:$S$1281,채권!$G$2:$G$1281,$A25)</f>
        <v/>
      </c>
      <c r="L25" s="2">
        <f>SUMIFS(채권!$N$2:$N$1281,채권!$G$2:$G$1281,$A25)</f>
        <v/>
      </c>
      <c r="M25" s="7">
        <f>IF(F25=0,0,L25/F25*100)</f>
        <v/>
      </c>
    </row>
    <row r="26">
      <c r="A26" s="20">
        <f>일별시작+24</f>
        <v/>
      </c>
      <c r="B26" s="2">
        <f>COUNTIFS(채권!$G$2:$G$1281,$A26)</f>
        <v/>
      </c>
      <c r="C26" s="2">
        <f>SUMIFS(채권!$P$2:$P$1281,채권!$G$2:$G$1281,$A26)</f>
        <v/>
      </c>
      <c r="D26" s="2">
        <f>SUMIFS(채권!$J$2:$J$1281,채권!$G$2:$G$1281,$A26)</f>
        <v/>
      </c>
      <c r="E26" s="2">
        <f>SUMIFS(채권!$O$2:$O$1281,채권!$G$2:$G$1281,$A26)</f>
        <v/>
      </c>
      <c r="F26" s="2">
        <f>SUMIFS(채권!$K$2:$K$1281,채권!$G$2:$G$1281,$A26)</f>
        <v/>
      </c>
      <c r="G26" s="10">
        <f>IF(D26=0,0,ROUND(E26/D26*100,6))</f>
        <v/>
      </c>
      <c r="H26" s="10">
        <f>IF(D26=0,0,ROUND(K26/D26,6))</f>
        <v/>
      </c>
      <c r="I26" s="7">
        <f>IF(H26=0,0,ROUND(G26*연일수/H26,6))</f>
        <v/>
      </c>
      <c r="J26" s="2">
        <f>순현금</f>
        <v/>
      </c>
      <c r="K26" s="2">
        <f>SUMIFS(채권!$S$2:$S$1281,채권!$G$2:$G$1281,$A26)</f>
        <v/>
      </c>
      <c r="L26" s="2">
        <f>SUMIFS(채권!$N$2:$N$1281,채권!$G$2:$G$1281,$A26)</f>
        <v/>
      </c>
      <c r="M26" s="7">
        <f>IF(F26=0,0,L26/F26*100)</f>
        <v/>
      </c>
    </row>
    <row r="27">
      <c r="A27" s="20">
        <f>일별시작+25</f>
        <v/>
      </c>
      <c r="B27" s="2">
        <f>COUNTIFS(채권!$G$2:$G$1281,$A27)</f>
        <v/>
      </c>
      <c r="C27" s="2">
        <f>SUMIFS(채권!$P$2:$P$1281,채권!$G$2:$G$1281,$A27)</f>
        <v/>
      </c>
      <c r="D27" s="2">
        <f>SUMIFS(채권!$J$2:$J$1281,채권!$G$2:$G$1281,$A27)</f>
        <v/>
      </c>
      <c r="E27" s="2">
        <f>SUMIFS(채권!$O$2:$O$1281,채권!$G$2:$G$1281,$A27)</f>
        <v/>
      </c>
      <c r="F27" s="2">
        <f>SUMIFS(채권!$K$2:$K$1281,채권!$G$2:$G$1281,$A27)</f>
        <v/>
      </c>
      <c r="G27" s="10">
        <f>IF(D27=0,0,ROUND(E27/D27*100,6))</f>
        <v/>
      </c>
      <c r="H27" s="10">
        <f>IF(D27=0,0,ROUND(K27/D27,6))</f>
        <v/>
      </c>
      <c r="I27" s="7">
        <f>IF(H27=0,0,ROUND(G27*연일수/H27,6))</f>
        <v/>
      </c>
      <c r="J27" s="2">
        <f>순현금</f>
        <v/>
      </c>
      <c r="K27" s="2">
        <f>SUMIFS(채권!$S$2:$S$1281,채권!$G$2:$G$1281,$A27)</f>
        <v/>
      </c>
      <c r="L27" s="2">
        <f>SUMIFS(채권!$N$2:$N$1281,채권!$G$2:$G$1281,$A27)</f>
        <v/>
      </c>
      <c r="M27" s="7">
        <f>IF(F27=0,0,L27/F27*100)</f>
        <v/>
      </c>
    </row>
    <row r="28">
      <c r="A28" s="20">
        <f>일별시작+26</f>
        <v/>
      </c>
      <c r="B28" s="2">
        <f>COUNTIFS(채권!$G$2:$G$1281,$A28)</f>
        <v/>
      </c>
      <c r="C28" s="2">
        <f>SUMIFS(채권!$P$2:$P$1281,채권!$G$2:$G$1281,$A28)</f>
        <v/>
      </c>
      <c r="D28" s="2">
        <f>SUMIFS(채권!$J$2:$J$1281,채권!$G$2:$G$1281,$A28)</f>
        <v/>
      </c>
      <c r="E28" s="2">
        <f>SUMIFS(채권!$O$2:$O$1281,채권!$G$2:$G$1281,$A28)</f>
        <v/>
      </c>
      <c r="F28" s="2">
        <f>SUMIFS(채권!$K$2:$K$1281,채권!$G$2:$G$1281,$A28)</f>
        <v/>
      </c>
      <c r="G28" s="10">
        <f>IF(D28=0,0,ROUND(E28/D28*100,6))</f>
        <v/>
      </c>
      <c r="H28" s="10">
        <f>IF(D28=0,0,ROUND(K28/D28,6))</f>
        <v/>
      </c>
      <c r="I28" s="7">
        <f>IF(H28=0,0,ROUND(G28*연일수/H28,6))</f>
        <v/>
      </c>
      <c r="J28" s="2">
        <f>순현금</f>
        <v/>
      </c>
      <c r="K28" s="2">
        <f>SUMIFS(채권!$S$2:$S$1281,채권!$G$2:$G$1281,$A28)</f>
        <v/>
      </c>
      <c r="L28" s="2">
        <f>SUMIFS(채권!$N$2:$N$1281,채권!$G$2:$G$1281,$A28)</f>
        <v/>
      </c>
      <c r="M28" s="7">
        <f>IF(F28=0,0,L28/F28*100)</f>
        <v/>
      </c>
    </row>
    <row r="29">
      <c r="A29" s="3" t="inlineStr">
        <is>
          <t>합계</t>
        </is>
      </c>
      <c r="B29" s="18">
        <f>SUM(B2:B28)</f>
        <v/>
      </c>
      <c r="C29" s="18">
        <f>SUM(C2:C28)</f>
        <v/>
      </c>
      <c r="D29" s="18">
        <f>SUM(D2:D28)</f>
        <v/>
      </c>
      <c r="E29" s="18">
        <f>SUM(E2:E28)</f>
        <v/>
      </c>
      <c r="F29" s="18">
        <f>SUM(F2:F28)</f>
        <v/>
      </c>
      <c r="J29" s="18">
        <f>SUM(J2:J28)</f>
        <v/>
      </c>
      <c r="K29" s="18">
        <f>SUM(K2:K28)</f>
        <v/>
      </c>
      <c r="L29" s="18">
        <f>SUM(L2:L28)</f>
        <v/>
      </c>
      <c r="M29" s="31">
        <f>IF(F29=0,0,L29/F29*100)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  <col width="40" customWidth="1" min="4" max="4"/>
    <col width="11" customWidth="1" min="5" max="5"/>
  </cols>
  <sheetData>
    <row r="1" ht="30" customHeight="1">
      <c r="A1" s="1" t="inlineStr">
        <is>
          <t>항목</t>
        </is>
      </c>
      <c r="B1" s="1" t="inlineStr">
        <is>
          <t>값</t>
        </is>
      </c>
      <c r="C1" s="1" t="inlineStr">
        <is>
          <t>산식</t>
        </is>
      </c>
      <c r="D1" s="1" t="inlineStr">
        <is>
          <t>출처</t>
        </is>
      </c>
      <c r="E1" s="1" t="inlineStr">
        <is>
          <t>화면 반영</t>
        </is>
      </c>
    </row>
    <row r="2">
      <c r="A2" s="3" t="inlineStr">
        <is>
          <t>조회기간 시작</t>
        </is>
      </c>
      <c r="B2" s="15">
        <f>조회시작</f>
        <v/>
      </c>
      <c r="C2" s="5" t="inlineStr">
        <is>
          <t>입력</t>
        </is>
      </c>
      <c r="D2" s="5" t="inlineStr"/>
      <c r="E2" s="5" t="inlineStr"/>
    </row>
    <row r="3">
      <c r="A3" s="3" t="inlineStr">
        <is>
          <t>조회기간 종료</t>
        </is>
      </c>
      <c r="B3" s="15">
        <f>조회종료</f>
        <v/>
      </c>
      <c r="C3" s="5" t="inlineStr">
        <is>
          <t>입력</t>
        </is>
      </c>
      <c r="D3" s="5" t="inlineStr"/>
      <c r="E3" s="5" t="inlineStr"/>
    </row>
    <row r="4">
      <c r="A4" s="3" t="inlineStr">
        <is>
          <t>조회 일수</t>
        </is>
      </c>
      <c r="B4" s="8">
        <f>조회종료-조회시작+1</f>
        <v/>
      </c>
      <c r="C4" s="5" t="inlineStr">
        <is>
          <t>종료 - 시작 + 1</t>
        </is>
      </c>
      <c r="D4" s="5" t="inlineStr"/>
      <c r="E4" s="5" t="inlineStr"/>
    </row>
    <row r="5">
      <c r="A5" s="3" t="inlineStr">
        <is>
          <t>PA 투자실행금</t>
        </is>
      </c>
      <c r="B5" s="8">
        <f>SUMIFS(일별!$D$2:$D$28,일별!$A$2:$A$28,"&gt;="&amp;조회시작,일별!$A$2:$A$28,"&lt;="&amp;조회종료)</f>
        <v/>
      </c>
      <c r="C5" s="5" t="inlineStr">
        <is>
          <t>Σ A(d-1)</t>
        </is>
      </c>
      <c r="D5" s="5" t="inlineStr">
        <is>
          <t>ceo_definitions.md [2번] 투자 실행금(PA)</t>
        </is>
      </c>
      <c r="E5" s="32" t="inlineStr">
        <is>
          <t>정본</t>
        </is>
      </c>
    </row>
    <row r="6">
      <c r="A6" s="3" t="inlineStr">
        <is>
          <t>PM 투자수익 (정의 · 차감 반영)</t>
        </is>
      </c>
      <c r="B6" s="8">
        <f>SUMIFS(일별!$E$2:$E$28,일별!$A$2:$A$28,"&gt;="&amp;조회시작,일별!$A$2:$A$28,"&lt;="&amp;조회종료)</f>
        <v/>
      </c>
      <c r="C6" s="5" t="inlineStr">
        <is>
          <t>Σ M(d-1) = Σ(수수료 - max(0,미지급-과지급))</t>
        </is>
      </c>
      <c r="D6" s="5" t="inlineStr">
        <is>
          <t>ceo_definitions.md [2번] Mi</t>
        </is>
      </c>
      <c r="E6" s="32" t="inlineStr">
        <is>
          <t>정본</t>
        </is>
      </c>
    </row>
    <row r="7">
      <c r="A7" s="3" t="inlineStr">
        <is>
          <t>PM 투자수익 (차감 제외)</t>
        </is>
      </c>
      <c r="B7" s="8">
        <f>SUMIFS(일별!$F$2:$F$28,일별!$A$2:$A$28,"&gt;="&amp;조회시작,일별!$A$2:$A$28,"&lt;="&amp;조회종료)</f>
        <v/>
      </c>
      <c r="C7" s="5" t="inlineStr">
        <is>
          <t>Σ 채권매입수수료</t>
        </is>
      </c>
      <c r="D7" s="5" t="inlineStr">
        <is>
          <t>현행 daily_ledger.py:298</t>
        </is>
      </c>
      <c r="E7" s="5" t="inlineStr">
        <is>
          <t>참고</t>
        </is>
      </c>
    </row>
    <row r="8">
      <c r="A8" s="3" t="inlineStr">
        <is>
          <t>② 상환액</t>
        </is>
      </c>
      <c r="B8" s="8">
        <f>SUMIFS(일별!$C$2:$C$28,일별!$A$2:$A$28,"&gt;="&amp;조회시작,일별!$A$2:$A$28,"&lt;="&amp;조회종료)</f>
        <v/>
      </c>
      <c r="C8" s="5" t="inlineStr">
        <is>
          <t>Σ B(d-1)</t>
        </is>
      </c>
      <c r="D8" s="5" t="inlineStr">
        <is>
          <t>ceo_definitions.md [2번] 이미지의 ②</t>
        </is>
      </c>
      <c r="E8" s="32" t="inlineStr">
        <is>
          <t>정본</t>
        </is>
      </c>
    </row>
    <row r="9">
      <c r="A9" s="3" t="inlineStr">
        <is>
          <t>Σ(Ai x Di)</t>
        </is>
      </c>
      <c r="B9" s="8">
        <f>SUMIFS(일별!$K$2:$K$28,일별!$A$2:$A$28,"&gt;="&amp;조회시작,일별!$A$2:$A$28,"&lt;="&amp;조회종료)</f>
        <v/>
      </c>
      <c r="C9" s="5" t="inlineStr">
        <is>
          <t>Σ 일별 Σ(Ai x Di)</t>
        </is>
      </c>
      <c r="D9" s="5" t="inlineStr"/>
      <c r="E9" s="5" t="inlineStr"/>
    </row>
    <row r="10">
      <c r="A10" s="3" t="inlineStr">
        <is>
          <t>PMR (정의)(%)</t>
        </is>
      </c>
      <c r="B10" s="9">
        <f>IF(B5=0,0,ROUND(B6/B5*100,6))</f>
        <v/>
      </c>
      <c r="C10" s="5" t="inlineStr">
        <is>
          <t>ROUND(PM / PA x 100, 6)</t>
        </is>
      </c>
      <c r="D10" s="5" t="inlineStr">
        <is>
          <t>ceo_definitions.md [2번] PMR</t>
        </is>
      </c>
      <c r="E10" s="32" t="inlineStr">
        <is>
          <t>정본</t>
        </is>
      </c>
    </row>
    <row r="11">
      <c r="A11" s="3" t="inlineStr">
        <is>
          <t>PMR (차감 제외)(%)</t>
        </is>
      </c>
      <c r="B11" s="9">
        <f>IF(B5=0,0,ROUND(B7/B5*100,6))</f>
        <v/>
      </c>
      <c r="C11" s="5" t="inlineStr">
        <is>
          <t>ROUND(PM(차감 제외) / PA x 100, 6)</t>
        </is>
      </c>
      <c r="D11" s="5" t="inlineStr"/>
      <c r="E11" s="5" t="inlineStr">
        <is>
          <t>참고</t>
        </is>
      </c>
    </row>
    <row r="12">
      <c r="A12" s="3" t="inlineStr">
        <is>
          <t>PwD</t>
        </is>
      </c>
      <c r="B12" s="9">
        <f>IF(B5=0,0,ROUND(B9/B5,6))</f>
        <v/>
      </c>
      <c r="C12" s="5" t="inlineStr">
        <is>
          <t>ROUND(Σ(Ai x Di) / PA, 6)</t>
        </is>
      </c>
      <c r="D12" s="5" t="inlineStr">
        <is>
          <t>ceo_definitions.md [2번] PwD</t>
        </is>
      </c>
      <c r="E12" s="32" t="inlineStr">
        <is>
          <t>정본</t>
        </is>
      </c>
    </row>
    <row r="13">
      <c r="A13" s="3" t="inlineStr">
        <is>
          <t>④ 투자실행금액 대비 ty수익율 (정의)</t>
        </is>
      </c>
      <c r="B13" s="6">
        <f>IF(B12=0,0,ROUND(B10*연일수/B12,6))</f>
        <v/>
      </c>
      <c r="C13" s="5" t="inlineStr">
        <is>
          <t>ROUND(PMR(%) x 365 / PwD, 6)</t>
        </is>
      </c>
      <c r="D13" s="5" t="inlineStr">
        <is>
          <t>ceo_definitions.md [2번] 이미지의 ④</t>
        </is>
      </c>
      <c r="E13" s="32" t="inlineStr">
        <is>
          <t>정본</t>
        </is>
      </c>
    </row>
    <row r="14">
      <c r="A14" s="3" t="inlineStr">
        <is>
          <t>④ (차감 제외)</t>
        </is>
      </c>
      <c r="B14" s="6">
        <f>IF(B12=0,0,ROUND(B11*연일수/B12,6))</f>
        <v/>
      </c>
      <c r="C14" s="5" t="inlineStr">
        <is>
          <t>ROUND(PMR(차감 제외)(%) x 365 / PwD, 6)</t>
        </is>
      </c>
      <c r="D14" s="5" t="inlineStr"/>
      <c r="E14" s="5" t="inlineStr">
        <is>
          <t>참고</t>
        </is>
      </c>
    </row>
    <row r="15">
      <c r="A15" s="3" t="inlineStr">
        <is>
          <t>PEC 순현금 합</t>
        </is>
      </c>
      <c r="B15" s="8">
        <f>SUMIFS(일별!$J$2:$J$28,일별!$A$2:$A$28,"&gt;="&amp;조회시작,일별!$A$2:$A$28,"&lt;="&amp;조회종료)</f>
        <v/>
      </c>
      <c r="C15" s="5" t="inlineStr">
        <is>
          <t>Σ EC</t>
        </is>
      </c>
      <c r="D15" s="5" t="inlineStr">
        <is>
          <t>ceo_definitions.md [2번] PEC</t>
        </is>
      </c>
      <c r="E15" s="32" t="inlineStr">
        <is>
          <t>정본</t>
        </is>
      </c>
    </row>
    <row r="16">
      <c r="A16" s="3" t="inlineStr">
        <is>
          <t>평균순현금</t>
        </is>
      </c>
      <c r="B16" s="8" t="n"/>
      <c r="C16" s="5" t="inlineStr">
        <is>
          <t>미확정 — 워드에 이름만 있고 정의 없음</t>
        </is>
      </c>
      <c r="D16" s="5" t="inlineStr">
        <is>
          <t>ceo_definitions.md [2번] 첫 줄</t>
        </is>
      </c>
      <c r="E16" s="33" t="inlineStr">
        <is>
          <t>미확정</t>
        </is>
      </c>
    </row>
    <row r="17">
      <c r="A17" s="3" t="inlineStr">
        <is>
          <t>⑤ wPYMR 투자자산 대비 연환산수익률 (정의)</t>
        </is>
      </c>
      <c r="B17" s="6">
        <f>입력!C19</f>
        <v/>
      </c>
      <c r="C17" s="5" t="inlineStr">
        <is>
          <t>입력 C19</t>
        </is>
      </c>
      <c r="D17" s="5" t="inlineStr">
        <is>
          <t>ceo_definitions.md [2번] 이미지의 ⑤ — 대표 재작성 대기 (A-01)</t>
        </is>
      </c>
      <c r="E17" s="33" t="inlineStr">
        <is>
          <t>미확정</t>
        </is>
      </c>
    </row>
    <row r="18">
      <c r="A18" s="3" t="inlineStr">
        <is>
          <t>⑥ 투자실행금액 대비 ty수익율 (정의)</t>
        </is>
      </c>
      <c r="B18" s="6">
        <f>IF(COUNT(입력!C18)=0,"미확정",B13/입력!C18*연일수/B17)</f>
        <v/>
      </c>
      <c r="C18" s="5" t="inlineStr">
        <is>
          <t>(④ / ③) x 365 / ⑤ — ③ 은 입력 C18, ⑤ 는 B17</t>
        </is>
      </c>
      <c r="D18" s="5" t="inlineStr">
        <is>
          <t>ceo_definitions.md [2번] 이미지의 ⑥ — 대표 주석 「계산식 다시 확인해볼것」 (TP-66 · F-23)</t>
        </is>
      </c>
      <c r="E18" s="33" t="inlineStr">
        <is>
          <t>미확정</t>
        </is>
      </c>
    </row>
    <row r="19">
      <c r="A19" s="3" t="inlineStr">
        <is>
          <t>부족액 차감 합</t>
        </is>
      </c>
      <c r="B19" s="8">
        <f>SUMIFS(일별!$L$2:$L$28,일별!$A$2:$A$28,"&gt;="&amp;조회시작,일별!$A$2:$A$28,"&lt;="&amp;조회종료)</f>
        <v/>
      </c>
      <c r="C19" s="5" t="inlineStr">
        <is>
          <t>Σ max(0, 미지급금 - 과지급금)</t>
        </is>
      </c>
      <c r="D19" s="5" t="inlineStr">
        <is>
          <t>ceo_definitions.md [2번] Mi</t>
        </is>
      </c>
      <c r="E19" s="32" t="inlineStr">
        <is>
          <t>정본</t>
        </is>
      </c>
    </row>
    <row r="20">
      <c r="A20" s="3" t="inlineStr">
        <is>
          <t>차감 / 채권매입수수료(%)</t>
        </is>
      </c>
      <c r="B20" s="6">
        <f>IF(B7=0,0,B19/B7*100)</f>
        <v/>
      </c>
      <c r="C20" s="5" t="inlineStr">
        <is>
          <t>부족액 차감 합 / Σ 수수료</t>
        </is>
      </c>
      <c r="D20" s="5" t="inlineStr"/>
      <c r="E20" s="5" t="inlineStr"/>
    </row>
    <row r="21">
      <c r="A21" s="3" t="inlineStr">
        <is>
          <t>검산 — 수수료 - 차감 - PM(정의)</t>
        </is>
      </c>
      <c r="B21" s="8">
        <f>B7-B19-B6</f>
        <v/>
      </c>
      <c r="C21" s="5" t="inlineStr">
        <is>
          <t>0 이면 정의대로다</t>
        </is>
      </c>
      <c r="D21" s="5" t="inlineStr"/>
      <c r="E21" s="5" t="inlineStr"/>
    </row>
    <row r="22">
      <c r="A22" s="3" t="inlineStr">
        <is>
          <t>DM 16:45 (가) 대표 근사식(%)</t>
        </is>
      </c>
      <c r="B22" s="9">
        <f>(할인율-IF(B5=0,0,B19/B5))*100</f>
        <v/>
      </c>
      <c r="C22" s="5" t="inlineStr">
        <is>
          <t>(할인율 - Σ max(0, 미지급금-과지급금) / PA) x 100</t>
        </is>
      </c>
      <c r="D22" s="5" t="inlineStr">
        <is>
          <t>대표 DM 2026-08-31 16:45</t>
        </is>
      </c>
      <c r="E22" s="5" t="inlineStr"/>
    </row>
    <row r="23">
      <c r="A23" s="3" t="inlineStr">
        <is>
          <t>DM 16:45 (나) 원식 PMR(%)</t>
        </is>
      </c>
      <c r="B23" s="9">
        <f>B10</f>
        <v/>
      </c>
      <c r="C23" s="5" t="inlineStr">
        <is>
          <t>PM / PA x 100 — 분모가 투자실행액이라 순지급액 기준보다 1/(1-할인율) 배</t>
        </is>
      </c>
      <c r="D23" s="5" t="inlineStr">
        <is>
          <t>대표 DM 2026-08-31 16:45</t>
        </is>
      </c>
      <c r="E23" s="5" t="inlineStr"/>
    </row>
    <row r="24">
      <c r="A24" s="3" t="inlineStr">
        <is>
          <t>DM 16:45 (나) - (가) (%p)</t>
        </is>
      </c>
      <c r="B24" s="14">
        <f>B23-B22</f>
        <v/>
      </c>
      <c r="C24" s="5" t="inlineStr">
        <is>
          <t>(나) - (가)</t>
        </is>
      </c>
      <c r="D24" s="5" t="inlineStr">
        <is>
          <t>대표 DM 2026-08-31 16:45</t>
        </is>
      </c>
      <c r="E24" s="5" t="inlineStr"/>
    </row>
    <row r="25">
      <c r="A25" s="3" t="inlineStr">
        <is>
          <t>DM 16:45 (나) / (가) (배)</t>
        </is>
      </c>
      <c r="B25" s="14">
        <f>IF(B22=0,0,B23/B22)</f>
        <v/>
      </c>
      <c r="C25" s="5" t="inlineStr">
        <is>
          <t>(나) / (가)</t>
        </is>
      </c>
      <c r="D25" s="5" t="inlineStr">
        <is>
          <t>대표 DM 2026-08-31 16:45</t>
        </is>
      </c>
      <c r="E25" s="5" t="inlineStr"/>
    </row>
    <row r="26">
      <c r="A26" s="3" t="inlineStr">
        <is>
          <t>DM 16:45 1 / (1 - 할인율) (배)</t>
        </is>
      </c>
      <c r="B26" s="14">
        <f>1/(1-할인율)</f>
        <v/>
      </c>
      <c r="C26" s="5" t="inlineStr">
        <is>
          <t>이론 갈림 배수</t>
        </is>
      </c>
      <c r="D26" s="5" t="inlineStr">
        <is>
          <t>대표 DM 2026-08-31 16:45</t>
        </is>
      </c>
      <c r="E26" s="5" t="inlineStr"/>
    </row>
    <row r="27">
      <c r="A27" s="3" t="inlineStr">
        <is>
          <t>DM 16:45 차감합</t>
        </is>
      </c>
      <c r="B27" s="8">
        <f>B19</f>
        <v/>
      </c>
      <c r="C27" s="5" t="inlineStr">
        <is>
          <t>Σ max(0, 미지급금-과지급금). 0 이면 (가) 가 할인율 그대로다</t>
        </is>
      </c>
      <c r="D27" s="5" t="inlineStr">
        <is>
          <t>대표 DM 2026-08-31 16:45</t>
        </is>
      </c>
      <c r="E27" s="5" t="inlineStr"/>
    </row>
    <row r="28">
      <c r="A28" s="3" t="inlineStr">
        <is>
          <t>DM 16:45 차감합 0 일 때 (가) (%)</t>
        </is>
      </c>
      <c r="B28" s="9">
        <f>할인율*100</f>
        <v/>
      </c>
      <c r="C28" s="5" t="inlineStr">
        <is>
          <t>할인율</t>
        </is>
      </c>
      <c r="D28" s="5" t="inlineStr">
        <is>
          <t>대표 DM 2026-08-31 16:45</t>
        </is>
      </c>
      <c r="E28" s="5" t="inlineStr"/>
    </row>
    <row r="29">
      <c r="A29" s="3" t="inlineStr">
        <is>
          <t>DM 16:45 차감합 0 일 때 (나) (%)</t>
        </is>
      </c>
      <c r="B29" s="9">
        <f>할인율/(1-할인율)*100</f>
        <v/>
      </c>
      <c r="C29" s="5" t="inlineStr">
        <is>
          <t>할인율 / (1 - 할인율) — 원식은 분모가 순지급액이 아니라 투자실행액이다</t>
        </is>
      </c>
      <c r="D29" s="5" t="inlineStr">
        <is>
          <t>대표 DM 2026-08-31 16:45</t>
        </is>
      </c>
      <c r="E29" s="5" t="inlineStr"/>
    </row>
    <row r="31" ht="30" customHeight="1">
      <c r="A31" s="11" t="inlineStr">
        <is>
          <t>항목</t>
        </is>
      </c>
      <c r="B31" s="11" t="inlineStr">
        <is>
          <t>값</t>
        </is>
      </c>
      <c r="C31" s="11" t="inlineStr">
        <is>
          <t>산식</t>
        </is>
      </c>
      <c r="D31" s="11" t="inlineStr">
        <is>
          <t>출처</t>
        </is>
      </c>
    </row>
    <row r="32">
      <c r="A32" s="3" t="inlineStr">
        <is>
          <t>대상정산금채권 Σ Ai</t>
        </is>
      </c>
      <c r="B32" s="8">
        <f>SUM(채권!$J$2:$J$1281)</f>
        <v/>
      </c>
      <c r="C32" s="5" t="inlineStr">
        <is>
          <t>Σ Ai (선정산일 축 전량)</t>
        </is>
      </c>
      <c r="D32" s="5" t="inlineStr"/>
    </row>
    <row r="33">
      <c r="A33" s="3" t="inlineStr">
        <is>
          <t>대상정산금채권 Σ(Ai x Di)</t>
        </is>
      </c>
      <c r="B33" s="8">
        <f>SUM(채권!$S$2:$S$1281)</f>
        <v/>
      </c>
      <c r="C33" s="5" t="inlineStr">
        <is>
          <t>Σ Ai x Di</t>
        </is>
      </c>
      <c r="D33" s="5" t="inlineStr"/>
    </row>
    <row r="34">
      <c r="A34" s="3" t="inlineStr">
        <is>
          <t>W금융일수 — 대상정산금채권 전체</t>
        </is>
      </c>
      <c r="B34" s="14">
        <f>ROUND(B33/B32,6)</f>
        <v/>
      </c>
      <c r="C34" s="5" t="inlineStr">
        <is>
          <t>ROUND(Σ(Ai x Di) / Σ Ai, 6)</t>
        </is>
      </c>
      <c r="D34" s="5" t="inlineStr">
        <is>
          <t>ceo_definitions.md [1번] w금융일수</t>
        </is>
      </c>
    </row>
    <row r="35">
      <c r="A35" s="3" t="inlineStr">
        <is>
          <t>만기 도래분 Σ Ai</t>
        </is>
      </c>
      <c r="B35" s="8">
        <f>SUMPRODUCT(채권!$J$2:$J$1281,채권!$R$2:$R$1281)</f>
        <v/>
      </c>
      <c r="C35" s="5" t="inlineStr">
        <is>
          <t>Σ Ai x 도래</t>
        </is>
      </c>
      <c r="D35" s="5" t="inlineStr">
        <is>
          <t>조어 — 원문 대응 낱말 없음</t>
        </is>
      </c>
    </row>
    <row r="36">
      <c r="A36" s="3" t="inlineStr">
        <is>
          <t>만기 도래분 Σ(Ai x Di)</t>
        </is>
      </c>
      <c r="B36" s="8">
        <f>SUMPRODUCT(채권!$S$2:$S$1281,채권!$R$2:$R$1281)</f>
        <v/>
      </c>
      <c r="C36" s="5" t="inlineStr"/>
      <c r="D36" s="5" t="inlineStr">
        <is>
          <t>조어 — 원문 대응 낱말 없음</t>
        </is>
      </c>
    </row>
    <row r="37">
      <c r="A37" s="3" t="inlineStr">
        <is>
          <t>W금융일수 — 만기 도래분만</t>
        </is>
      </c>
      <c r="B37" s="14">
        <f>IF(B35=0,0,ROUND(B36/B35,6))</f>
        <v/>
      </c>
      <c r="C37" s="5" t="inlineStr"/>
      <c r="D37" s="5" t="inlineStr">
        <is>
          <t>조어 — 원문 대응 낱말 없음</t>
        </is>
      </c>
    </row>
    <row r="38">
      <c r="A38" s="3" t="inlineStr">
        <is>
          <t>미회수 Σ Ai</t>
        </is>
      </c>
      <c r="B38" s="8">
        <f>SUMPRODUCT(채권!$J$2:$J$1281,채권!$Q$2:$Q$1281)</f>
        <v/>
      </c>
      <c r="C38" s="5" t="inlineStr">
        <is>
          <t>Σ Ai x 미회수</t>
        </is>
      </c>
      <c r="D38" s="5" t="inlineStr">
        <is>
          <t>ceo_definitions.md [1번] 투자 실행액</t>
        </is>
      </c>
    </row>
    <row r="39">
      <c r="A39" s="3" t="inlineStr">
        <is>
          <t>미회수 Σ(Ai x Di)</t>
        </is>
      </c>
      <c r="B39" s="8">
        <f>SUMPRODUCT(채권!$S$2:$S$1281,채권!$Q$2:$Q$1281)</f>
        <v/>
      </c>
      <c r="C39" s="5" t="inlineStr"/>
      <c r="D39" s="5" t="inlineStr"/>
    </row>
    <row r="40">
      <c r="A40" s="3" t="inlineStr">
        <is>
          <t>W금융일수 — 미회수 잔량만</t>
        </is>
      </c>
      <c r="B40" s="14">
        <f>IF(B38=0,0,ROUND(B39/B38,6))</f>
        <v/>
      </c>
      <c r="C40" s="5" t="inlineStr"/>
      <c r="D40" s="5" t="inlineStr"/>
    </row>
    <row r="41">
      <c r="A41" s="3" t="inlineStr">
        <is>
          <t>W금융일수 raw (스위치 ① 적용)</t>
        </is>
      </c>
      <c r="B41" s="14">
        <f>IF(SW_모집단="미회수 잔량만",B40,IF(SW_모집단="만기 도래분만",B37,B34))</f>
        <v/>
      </c>
      <c r="C41" s="5" t="inlineStr">
        <is>
          <t>스위치 ①</t>
        </is>
      </c>
      <c r="D41" s="5" t="inlineStr"/>
    </row>
    <row r="42">
      <c r="A42" s="3" t="inlineStr">
        <is>
          <t>W금융일수 표기 (스위치 ② 적용)</t>
        </is>
      </c>
      <c r="B42" s="13">
        <f>ROUND(B41,SW_자릿수)</f>
        <v/>
      </c>
      <c r="C42" s="5" t="inlineStr">
        <is>
          <t>스위치 ②</t>
        </is>
      </c>
      <c r="D42" s="5" t="inlineStr"/>
    </row>
    <row r="43">
      <c r="A43" s="3" t="inlineStr">
        <is>
          <t>Ty수익율(%)</t>
        </is>
      </c>
      <c r="B43" s="6">
        <f>ROUND(할인율퍼센트*연일수/B42,6)</f>
        <v/>
      </c>
      <c r="C43" s="5" t="inlineStr">
        <is>
          <t>ROUND(할인율 x 365 / 표기 W, 6)</t>
        </is>
      </c>
      <c r="D43" s="5" t="inlineStr">
        <is>
          <t>ceo_definitions.md [1번] ty수익율</t>
        </is>
      </c>
    </row>
    <row r="44">
      <c r="A44" s="3" t="inlineStr">
        <is>
          <t>투자실행액</t>
        </is>
      </c>
      <c r="B44" s="8">
        <f>B38</f>
        <v/>
      </c>
      <c r="C44" s="5" t="inlineStr">
        <is>
          <t>미회수 Σ Ai</t>
        </is>
      </c>
      <c r="D44" s="5" t="inlineStr"/>
    </row>
    <row r="45">
      <c r="A45" s="3" t="inlineStr">
        <is>
          <t>순현금</t>
        </is>
      </c>
      <c r="B45" s="8">
        <f>순현금</f>
        <v/>
      </c>
      <c r="C45" s="5" t="inlineStr">
        <is>
          <t>입력</t>
        </is>
      </c>
      <c r="D45" s="5" t="inlineStr">
        <is>
          <t>ceo_definitions.md [1번] 순현금</t>
        </is>
      </c>
    </row>
    <row r="46">
      <c r="A46" s="3" t="inlineStr">
        <is>
          <t>투자자산</t>
        </is>
      </c>
      <c r="B46" s="8">
        <f>B44+B45</f>
        <v/>
      </c>
      <c r="C46" s="5" t="inlineStr">
        <is>
          <t>투자실행액 + 순현금</t>
        </is>
      </c>
      <c r="D46" s="5" t="inlineStr"/>
    </row>
    <row r="47">
      <c r="A47" s="3" t="inlineStr">
        <is>
          <t>투자실행액 비중</t>
        </is>
      </c>
      <c r="B47" s="12">
        <f>B44/B46</f>
        <v/>
      </c>
      <c r="C47" s="5" t="inlineStr"/>
      <c r="D47" s="5" t="inlineStr"/>
    </row>
    <row r="48">
      <c r="A48" s="3" t="inlineStr">
        <is>
          <t>순현금 비중</t>
        </is>
      </c>
      <c r="B48" s="12">
        <f>B45/B46</f>
        <v/>
      </c>
      <c r="C48" s="5" t="inlineStr"/>
      <c r="D48" s="5" t="inlineStr"/>
    </row>
    <row r="49">
      <c r="A49" s="3" t="inlineStr">
        <is>
          <t>S표본 Σ(미지급-과지급)</t>
        </is>
      </c>
      <c r="B49" s="8">
        <f>SUMPRODUCT(채권!$L$2:$L$1281-채권!$M$2:$M$1281,채권!$T$2:$T$1281)</f>
        <v/>
      </c>
      <c r="C49" s="5" t="inlineStr">
        <is>
          <t>Σ Li</t>
        </is>
      </c>
      <c r="D49" s="5" t="inlineStr">
        <is>
          <t>ceo_definitions.md [1번] Li</t>
        </is>
      </c>
    </row>
    <row r="50">
      <c r="A50" s="3" t="inlineStr">
        <is>
          <t>S표본 Σ Ai</t>
        </is>
      </c>
      <c r="B50" s="8">
        <f>SUMPRODUCT(채권!$J$2:$J$1281,채권!$T$2:$T$1281)</f>
        <v/>
      </c>
      <c r="C50" s="5" t="inlineStr">
        <is>
          <t>Σ Ai</t>
        </is>
      </c>
      <c r="D50" s="5" t="inlineStr"/>
    </row>
    <row r="51">
      <c r="A51" s="3" t="inlineStr">
        <is>
          <t>S입금부족율(%)</t>
        </is>
      </c>
      <c r="B51" s="6">
        <f>IF(B50=0,0,ROUND(B49/B50*100,6))</f>
        <v/>
      </c>
      <c r="C51" s="5" t="inlineStr">
        <is>
          <t>ROUND(Σ Li / Σ Ai, 6)</t>
        </is>
      </c>
      <c r="D51" s="5" t="inlineStr">
        <is>
          <t>ceo_definitions.md [1번] S입금부족율</t>
        </is>
      </c>
    </row>
    <row r="52">
      <c r="A52" s="3" t="inlineStr">
        <is>
          <t>미회수 건수</t>
        </is>
      </c>
      <c r="B52" s="8">
        <f>SUM(채권!$Q$2:$Q$1281)</f>
        <v/>
      </c>
      <c r="C52" s="5" t="inlineStr"/>
      <c r="D52" s="5" t="inlineStr"/>
    </row>
    <row r="53">
      <c r="A53" s="3" t="inlineStr">
        <is>
          <t>채권 건수</t>
        </is>
      </c>
      <c r="B53" s="8">
        <f>COUNT(채권!$H$2:$H$1281)</f>
        <v/>
      </c>
      <c r="C53" s="5" t="inlineStr"/>
      <c r="D53" s="5" t="inlineStr"/>
    </row>
    <row r="54">
      <c r="A54" s="3" t="inlineStr">
        <is>
          <t>Ty — 대상정산금채권 전체(%)</t>
        </is>
      </c>
      <c r="B54" s="6">
        <f>ROUND(할인율퍼센트*연일수/ROUND(B34,SW_자릿수),6)</f>
        <v/>
      </c>
      <c r="C54" s="5" t="inlineStr">
        <is>
          <t>할인율 x 365 / ROUND(W전체)</t>
        </is>
      </c>
      <c r="D54" s="5" t="inlineStr"/>
    </row>
    <row r="55">
      <c r="A55" s="3" t="inlineStr">
        <is>
          <t>Ty — 만기 도래분만(%)</t>
        </is>
      </c>
      <c r="B55" s="6">
        <f>IF(B37=0,0,ROUND(할인율퍼센트*연일수/ROUND(B37,SW_자릿수),6))</f>
        <v/>
      </c>
      <c r="C55" s="5" t="inlineStr">
        <is>
          <t>할인율 x 365 / ROUND(W도래)</t>
        </is>
      </c>
      <c r="D55" s="5" t="inlineStr">
        <is>
          <t>조어 — 원문 대응 낱말 없음</t>
        </is>
      </c>
    </row>
    <row r="56">
      <c r="A56" s="3" t="inlineStr">
        <is>
          <t>Ty — 미회수 잔량만(%)</t>
        </is>
      </c>
      <c r="B56" s="6">
        <f>IF(B40=0,0,ROUND(할인율퍼센트*연일수/ROUND(B40,SW_자릿수),6))</f>
        <v/>
      </c>
      <c r="C56" s="5" t="inlineStr">
        <is>
          <t>할인율 x 365 / ROUND(W미회수)</t>
        </is>
      </c>
      <c r="D56" s="5" t="inlineStr"/>
    </row>
    <row r="57">
      <c r="A57" s="3" t="inlineStr">
        <is>
          <t>1년 회전수 (365 / 표기 W)</t>
        </is>
      </c>
      <c r="B57" s="9">
        <f>연일수/B42</f>
        <v/>
      </c>
      <c r="C57" s="5" t="inlineStr">
        <is>
          <t>365 / 표기 W</t>
        </is>
      </c>
      <c r="D57" s="5" t="inlineStr">
        <is>
          <t>대표 DM 2026-08-31 16:27</t>
        </is>
      </c>
    </row>
    <row r="58">
      <c r="A58" s="3" t="inlineStr">
        <is>
          <t>Ty수익율 — 연 환산(%)</t>
        </is>
      </c>
      <c r="B58" s="6">
        <f>B43</f>
        <v/>
      </c>
      <c r="C58" s="5" t="inlineStr">
        <is>
          <t>할인율 x 365 / 표기 W</t>
        </is>
      </c>
      <c r="D58" s="5" t="inlineStr">
        <is>
          <t>대표 DM 2026-08-31 16:27</t>
        </is>
      </c>
    </row>
    <row r="59">
      <c r="A59" s="3" t="inlineStr">
        <is>
          <t>Ty수익율 — 일 환산(%)</t>
        </is>
      </c>
      <c r="B59" s="9">
        <f>할인율퍼센트/B42</f>
        <v/>
      </c>
      <c r="C59" s="5" t="inlineStr">
        <is>
          <t>할인율 / 표기 W</t>
        </is>
      </c>
      <c r="D59" s="5" t="inlineStr">
        <is>
          <t>대표 DM 2026-08-31 16:27</t>
        </is>
      </c>
    </row>
    <row r="60">
      <c r="A60" s="3" t="inlineStr">
        <is>
          <t>검산 — 일 환산 x 365 = 연 환산</t>
        </is>
      </c>
      <c r="B60" s="14">
        <f>ROUND(할인율퍼센트/B42*연일수,6)-B43</f>
        <v/>
      </c>
      <c r="C60" s="5" t="inlineStr">
        <is>
          <t>0 이면 두 갈래가 같은 값에서 갈린다</t>
        </is>
      </c>
      <c r="D60" s="5" t="inlineStr">
        <is>
          <t>대표 DM 2026-08-31 16:27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46" customWidth="1" min="8" max="8"/>
    <col width="28" customWidth="1" min="9" max="9"/>
  </cols>
  <sheetData>
    <row r="1" ht="30" customHeight="1">
      <c r="A1" s="1" t="inlineStr">
        <is>
          <t>기준</t>
        </is>
      </c>
      <c r="B1" s="1" t="inlineStr">
        <is>
          <t>항목</t>
        </is>
      </c>
      <c r="C1" s="1" t="inlineStr">
        <is>
          <t>값</t>
        </is>
      </c>
      <c r="D1" s="1" t="inlineStr"/>
      <c r="E1" s="1" t="inlineStr"/>
      <c r="F1" s="1" t="inlineStr"/>
      <c r="G1" s="1" t="inlineStr"/>
      <c r="H1" s="1" t="inlineStr">
        <is>
          <t>출처</t>
        </is>
      </c>
    </row>
    <row r="2" ht="28" customHeight="1">
      <c r="A2" s="3" t="inlineStr">
        <is>
          <t>대표 워드</t>
        </is>
      </c>
      <c r="B2" s="3" t="inlineStr">
        <is>
          <t>w금융일수 산식</t>
        </is>
      </c>
      <c r="C2" s="4" t="inlineStr">
        <is>
          <t>w금융일수 = Σ Ai x Di / Σ Ai</t>
        </is>
      </c>
      <c r="D2" s="34" t="n"/>
      <c r="E2" s="34" t="n"/>
      <c r="F2" s="34" t="n"/>
      <c r="G2" s="35" t="n"/>
      <c r="H2" s="5" t="inlineStr">
        <is>
          <t>용어 정의.docx [1번 이미지] 4번 문단</t>
        </is>
      </c>
    </row>
    <row r="3">
      <c r="A3" s="3" t="inlineStr">
        <is>
          <t>대표 워드</t>
        </is>
      </c>
      <c r="B3" s="3" t="inlineStr">
        <is>
          <t>Ai 정의</t>
        </is>
      </c>
      <c r="C3" s="4" t="inlineStr">
        <is>
          <t>Ai = ID가 i인 대상정산금채권의 순지급액 x (1- 유동화투자자의 할인율)</t>
        </is>
      </c>
      <c r="D3" s="34" t="n"/>
      <c r="E3" s="34" t="n"/>
      <c r="F3" s="34" t="n"/>
      <c r="G3" s="35" t="n"/>
      <c r="H3" s="5" t="inlineStr">
        <is>
          <t>용어 정의.docx [1번 이미지] 5번 문단</t>
        </is>
      </c>
    </row>
    <row r="4">
      <c r="A4" s="3" t="inlineStr">
        <is>
          <t>대표 워드</t>
        </is>
      </c>
      <c r="B4" s="3" t="inlineStr">
        <is>
          <t>Di 정의</t>
        </is>
      </c>
      <c r="C4" s="4" t="inlineStr">
        <is>
          <t>Di = ID가 i인 다상정산금채권의 금융일수</t>
        </is>
      </c>
      <c r="D4" s="34" t="n"/>
      <c r="E4" s="34" t="n"/>
      <c r="F4" s="34" t="n"/>
      <c r="G4" s="35" t="n"/>
      <c r="H4" s="5" t="inlineStr">
        <is>
          <t>용어 정의.docx [1번 이미지] 6번 문단</t>
        </is>
      </c>
    </row>
    <row r="5">
      <c r="A5" s="3" t="inlineStr">
        <is>
          <t>대표 워드</t>
        </is>
      </c>
      <c r="B5" s="3" t="inlineStr">
        <is>
          <t>가중치</t>
        </is>
      </c>
      <c r="C5" s="4" t="inlineStr">
        <is>
          <t>금액(Ai)</t>
        </is>
      </c>
      <c r="D5" s="34" t="n"/>
      <c r="E5" s="34" t="n"/>
      <c r="F5" s="34" t="n"/>
      <c r="G5" s="35" t="n"/>
      <c r="H5" s="5" t="inlineStr">
        <is>
          <t>Σ Ai x Di / Σ Ai 의 분모가 금액이다</t>
        </is>
      </c>
    </row>
    <row r="6">
      <c r="A6" s="3" t="inlineStr">
        <is>
          <t>대표 엑셀</t>
        </is>
      </c>
      <c r="B6" s="3" t="inlineStr">
        <is>
          <t>플랫폼 비중 근거</t>
        </is>
      </c>
      <c r="C6" s="4" t="inlineStr">
        <is>
          <t>MAU 기반 시장 점유율</t>
        </is>
      </c>
      <c r="D6" s="34" t="n"/>
      <c r="E6" s="34" t="n"/>
      <c r="F6" s="34" t="n"/>
      <c r="G6" s="35" t="n"/>
      <c r="H6" s="5" t="inlineStr">
        <is>
          <t>정산주기.xlsx 비중 시트</t>
        </is>
      </c>
    </row>
    <row r="7">
      <c r="A7" s="3" t="inlineStr">
        <is>
          <t>대표 엑셀</t>
        </is>
      </c>
      <c r="B7" s="3" t="inlineStr">
        <is>
          <t>가중치</t>
        </is>
      </c>
      <c r="C7" s="4" t="inlineStr">
        <is>
          <t>이용자 수</t>
        </is>
      </c>
      <c r="D7" s="34" t="n"/>
      <c r="E7" s="34" t="n"/>
      <c r="F7" s="34" t="n"/>
      <c r="G7" s="35" t="n"/>
      <c r="H7" s="5" t="inlineStr">
        <is>
          <t>정산주기.xlsx 비중 D4:F4</t>
        </is>
      </c>
    </row>
    <row r="8">
      <c r="A8" s="3" t="inlineStr">
        <is>
          <t>대표 엑셀</t>
        </is>
      </c>
      <c r="B8" s="3" t="inlineStr">
        <is>
          <t>MAU 배분</t>
        </is>
      </c>
      <c r="C8" s="4" t="inlineStr">
        <is>
          <t>배민 2,175 · 쿠팡이츠 1,044 · 요기요 486 → x 배달앱/전체, 카드 = 나머지</t>
        </is>
      </c>
      <c r="D8" s="34" t="n"/>
      <c r="E8" s="34" t="n"/>
      <c r="F8" s="34" t="n"/>
      <c r="G8" s="35" t="n"/>
      <c r="H8" s="5" t="inlineStr">
        <is>
          <t>정산주기.xlsx 비중 D4:H5</t>
        </is>
      </c>
    </row>
    <row r="9">
      <c r="A9" s="3" t="inlineStr">
        <is>
          <t>판정</t>
        </is>
      </c>
      <c r="B9" s="3" t="inlineStr">
        <is>
          <t>어느 쪽을 따르는가</t>
        </is>
      </c>
      <c r="C9" s="36" t="inlineStr">
        <is>
          <t>워드를 따른다 (2026-08-31 사용자 결정)</t>
        </is>
      </c>
      <c r="D9" s="34" t="n"/>
      <c r="E9" s="34" t="n"/>
      <c r="F9" s="34" t="n"/>
      <c r="G9" s="35" t="n"/>
      <c r="H9" s="5" t="inlineStr">
        <is>
          <t>“그럼 워드가 맞아 워드 방식으로 다시 계산해”</t>
        </is>
      </c>
    </row>
    <row r="11" ht="30" customHeight="1">
      <c r="A11" s="11" t="inlineStr">
        <is>
          <t>플랫폼</t>
        </is>
      </c>
      <c r="B11" s="11" t="inlineStr">
        <is>
          <t>평균 금융일수 E[d]</t>
        </is>
      </c>
      <c r="C11" s="11" t="inlineStr">
        <is>
          <t>(가) 금액 실측 (입력)</t>
        </is>
      </c>
      <c r="D11" s="11" t="inlineStr">
        <is>
          <t>(나) 엑셀 MAU</t>
        </is>
      </c>
      <c r="E11" s="11" t="inlineStr">
        <is>
          <t>(다) 로스터 금액가중</t>
        </is>
      </c>
      <c r="F11" s="11" t="inlineStr">
        <is>
          <t>(가) - (나)</t>
        </is>
      </c>
      <c r="G11" s="11" t="inlineStr">
        <is>
          <t>(다) - (가)</t>
        </is>
      </c>
      <c r="H11" s="11" t="inlineStr">
        <is>
          <t>출처</t>
        </is>
      </c>
    </row>
    <row r="12">
      <c r="A12" s="3" t="inlineStr">
        <is>
          <t>카드사</t>
        </is>
      </c>
      <c r="B12" s="17">
        <f>INDEX(평균금융일수범위,1)</f>
        <v/>
      </c>
      <c r="C12" s="14">
        <f>INDEX(구성비범위,1)</f>
        <v/>
      </c>
      <c r="D12" s="17">
        <f>1-배달앱비중</f>
        <v/>
      </c>
      <c r="E12" s="17">
        <f>가맹점!B28</f>
        <v/>
      </c>
      <c r="F12" s="14">
        <f>C12-D12</f>
        <v/>
      </c>
      <c r="G12" s="21">
        <f>E12-C12</f>
        <v/>
      </c>
      <c r="H12" s="5" t="inlineStr">
        <is>
          <t>입력 C28 (입력 셀) · 입력 B47 배달앱/전체 · 가맹점 B28</t>
        </is>
      </c>
    </row>
    <row r="13">
      <c r="A13" s="3" t="inlineStr">
        <is>
          <t>배달의민족</t>
        </is>
      </c>
      <c r="B13" s="17">
        <f>INDEX(평균금융일수범위,2)</f>
        <v/>
      </c>
      <c r="C13" s="14">
        <f>INDEX(구성비범위,2)</f>
        <v/>
      </c>
      <c r="D13" s="17">
        <f>배달앱비중*INDEX(MAU배분범위,1)</f>
        <v/>
      </c>
      <c r="E13" s="17">
        <f>가맹점!B29</f>
        <v/>
      </c>
      <c r="F13" s="14">
        <f>C13-D13</f>
        <v/>
      </c>
      <c r="G13" s="21">
        <f>E13-C13</f>
        <v/>
      </c>
      <c r="H13" s="5" t="inlineStr">
        <is>
          <t>입력 C29 (입력 셀) · 입력 C43 · 가맹점 B29</t>
        </is>
      </c>
    </row>
    <row r="14">
      <c r="A14" s="3" t="inlineStr">
        <is>
          <t>쿠팡이츠</t>
        </is>
      </c>
      <c r="B14" s="17">
        <f>INDEX(평균금융일수범위,3)</f>
        <v/>
      </c>
      <c r="C14" s="14">
        <f>INDEX(구성비범위,3)</f>
        <v/>
      </c>
      <c r="D14" s="17">
        <f>배달앱비중*INDEX(MAU배분범위,2)</f>
        <v/>
      </c>
      <c r="E14" s="17">
        <f>가맹점!B30</f>
        <v/>
      </c>
      <c r="F14" s="14">
        <f>C14-D14</f>
        <v/>
      </c>
      <c r="G14" s="21">
        <f>E14-C14</f>
        <v/>
      </c>
      <c r="H14" s="5" t="inlineStr">
        <is>
          <t>입력 C30 (입력 셀) · 입력 C44 · 가맹점 B30</t>
        </is>
      </c>
    </row>
    <row r="15">
      <c r="A15" s="3" t="inlineStr">
        <is>
          <t>요기요</t>
        </is>
      </c>
      <c r="B15" s="17">
        <f>INDEX(평균금융일수범위,4)</f>
        <v/>
      </c>
      <c r="C15" s="14">
        <f>INDEX(구성비범위,4)</f>
        <v/>
      </c>
      <c r="D15" s="17">
        <f>배달앱비중*INDEX(MAU배분범위,3)</f>
        <v/>
      </c>
      <c r="E15" s="17">
        <f>가맹점!B31</f>
        <v/>
      </c>
      <c r="F15" s="14">
        <f>C15-D15</f>
        <v/>
      </c>
      <c r="G15" s="21">
        <f>E15-C15</f>
        <v/>
      </c>
      <c r="H15" s="5" t="inlineStr">
        <is>
          <t>입력 C31 (입력 셀) · 입력 C45 · 가맹점 B31</t>
        </is>
      </c>
    </row>
    <row r="16">
      <c r="A16" s="3" t="inlineStr">
        <is>
          <t>합</t>
        </is>
      </c>
      <c r="C16" s="19">
        <f>SUM(C12:C15)</f>
        <v/>
      </c>
      <c r="D16" s="19">
        <f>SUM(D12:D15)</f>
        <v/>
      </c>
      <c r="E16" s="19">
        <f>SUM(E12:E15)</f>
        <v/>
      </c>
    </row>
    <row r="17">
      <c r="A17" s="3" t="inlineStr">
        <is>
          <t>W금융일수</t>
        </is>
      </c>
      <c r="B17" s="5" t="inlineStr">
        <is>
          <t>Σ 구성비 x 평균 금융일수</t>
        </is>
      </c>
      <c r="C17" s="37">
        <f>ROUND(SUMPRODUCT(평균금융일수범위,C12:C15),6)</f>
        <v/>
      </c>
      <c r="D17" s="37">
        <f>ROUND(SUMPRODUCT(평균금융일수범위,D12:D15),6)</f>
        <v/>
      </c>
      <c r="E17" s="37">
        <f>ROUND(SUMPRODUCT(평균금융일수범위,E12:E15),6)</f>
        <v/>
      </c>
      <c r="F17" s="9">
        <f>C17-D17</f>
        <v/>
      </c>
      <c r="G17" s="21">
        <f>E17-C17</f>
        <v/>
      </c>
    </row>
    <row r="18">
      <c r="A18" s="3" t="inlineStr">
        <is>
          <t>W금융일수 표기</t>
        </is>
      </c>
      <c r="B18" s="5" t="inlineStr">
        <is>
          <t>ROUND(W, 스위치 ②)</t>
        </is>
      </c>
      <c r="C18" s="31">
        <f>ROUND(C17,SW_자릿수)</f>
        <v/>
      </c>
      <c r="D18" s="31">
        <f>ROUND(D17,SW_자릿수)</f>
        <v/>
      </c>
      <c r="E18" s="31">
        <f>ROUND(E17,SW_자릿수)</f>
        <v/>
      </c>
    </row>
    <row r="19">
      <c r="A19" s="3" t="inlineStr">
        <is>
          <t>Ty수익율(%)</t>
        </is>
      </c>
      <c r="B19" s="5" t="inlineStr">
        <is>
          <t>할인율 x 365 / 표기 W</t>
        </is>
      </c>
      <c r="C19" s="38">
        <f>ROUND(할인율퍼센트*연일수/C18,6)</f>
        <v/>
      </c>
      <c r="D19" s="38">
        <f>ROUND(할인율퍼센트*연일수/D18,6)</f>
        <v/>
      </c>
      <c r="E19" s="38">
        <f>ROUND(할인율퍼센트*연일수/E18,6)</f>
        <v/>
      </c>
      <c r="F19" s="6">
        <f>C19-D19</f>
        <v/>
      </c>
      <c r="G19" s="6">
        <f>E19-C19</f>
        <v/>
      </c>
    </row>
    <row r="20">
      <c r="A20" s="3" t="inlineStr">
        <is>
          <t>미회수 잔량 W</t>
        </is>
      </c>
      <c r="B20" s="5" t="inlineStr">
        <is>
          <t>Σ 구성비 x E[d²] / W</t>
        </is>
      </c>
      <c r="C20" s="22">
        <f>ROUND(SUMPRODUCT(Ed2범위,C12:C15)/C17,6)</f>
        <v/>
      </c>
      <c r="D20" s="22">
        <f>ROUND(SUMPRODUCT(Ed2범위,D12:D15)/D17,6)</f>
        <v/>
      </c>
      <c r="E20" s="22">
        <f>ROUND(SUMPRODUCT(Ed2범위,E12:E15)/E17,6)</f>
        <v/>
      </c>
    </row>
    <row r="21">
      <c r="A21" s="3" t="inlineStr">
        <is>
          <t>미회수 잔량 Ty(%)</t>
        </is>
      </c>
      <c r="B21" s="5" t="inlineStr">
        <is>
          <t>할인율 x 365 / ROUND(미회수 W)</t>
        </is>
      </c>
      <c r="C21" s="31">
        <f>ROUND(할인율퍼센트*연일수/ROUND(C20,SW_자릿수),6)</f>
        <v/>
      </c>
      <c r="D21" s="31">
        <f>ROUND(할인율퍼센트*연일수/ROUND(D20,SW_자릿수),6)</f>
        <v/>
      </c>
      <c r="E21" s="31">
        <f>ROUND(할인율퍼센트*연일수/ROUND(E20,SW_자릿수),6)</f>
        <v/>
      </c>
    </row>
    <row r="23" ht="30" customHeight="1">
      <c r="A23" s="11" t="inlineStr">
        <is>
          <t>확인</t>
        </is>
      </c>
      <c r="B23" s="11" t="inlineStr">
        <is>
          <t>내용</t>
        </is>
      </c>
      <c r="C23" s="11" t="inlineStr"/>
      <c r="D23" s="11" t="inlineStr"/>
      <c r="E23" s="11" t="inlineStr"/>
      <c r="F23" s="11" t="inlineStr"/>
      <c r="G23" s="11" t="inlineStr"/>
      <c r="H23" s="11" t="inlineStr">
        <is>
          <t>출처</t>
        </is>
      </c>
    </row>
    <row r="24" ht="30" customHeight="1">
      <c r="A24" s="3" t="inlineStr">
        <is>
          <t>설계 사실</t>
        </is>
      </c>
      <c r="B24" s="4" t="inlineStr">
        <is>
          <t>로스터 8곳의 금액 구성비를 금액 실측(Figma 2782:5879 · 미리 받는 돈 상세 (analysis/figma_02_가맹점화면.md §3-2))과 같게 맞췄다. 그래서 (다)와 (가)의 차가 0 이다.</t>
        </is>
      </c>
      <c r="C24" s="34" t="n"/>
      <c r="D24" s="34" t="n"/>
      <c r="E24" s="34" t="n"/>
      <c r="F24" s="34" t="n"/>
      <c r="G24" s="35" t="n"/>
      <c r="H24" s="5" t="inlineStr">
        <is>
          <t>platform_duration.py BOOK_MIX · daily_ledger.py BOOKROWS</t>
        </is>
      </c>
    </row>
    <row r="25" ht="30" customHeight="1">
      <c r="A25" s="3" t="inlineStr">
        <is>
          <t>확인 문항 1</t>
        </is>
      </c>
      <c r="B25" s="4" t="inlineStr">
        <is>
          <t>엑셀의 플랫폼 비중은 시장 평균 참고값인가, 화면 계산에 쓰는 값인가. 워드는 금액으로 가중하라 하고 엑셀은 이용자 수로 가중돼 있어 둘이 다르다.</t>
        </is>
      </c>
      <c r="C25" s="34" t="n"/>
      <c r="D25" s="34" t="n"/>
      <c r="E25" s="34" t="n"/>
      <c r="F25" s="34" t="n"/>
      <c r="G25" s="35" t="n"/>
      <c r="H25" s="5" t="inlineStr">
        <is>
          <t>정산주기.xlsx 비중 시트 · 용어 정의.docx [1번 이미지] 4~5번 문단</t>
        </is>
      </c>
    </row>
    <row r="26" ht="30" customHeight="1">
      <c r="A26" s="3" t="inlineStr">
        <is>
          <t>확인 문항 2</t>
        </is>
      </c>
      <c r="B26" s="4" t="inlineStr">
        <is>
          <t>배달앱/전체 = 0.35 와 카드 65% 는 매출액 기준인가 이용자 수 기준인가.</t>
        </is>
      </c>
      <c r="C26" s="34" t="n"/>
      <c r="D26" s="34" t="n"/>
      <c r="E26" s="34" t="n"/>
      <c r="F26" s="34" t="n"/>
      <c r="G26" s="35" t="n"/>
      <c r="H26" s="5" t="inlineStr">
        <is>
          <t>정산주기.xlsx 비중 H5 · D4:F4</t>
        </is>
      </c>
    </row>
    <row r="28" ht="30" customHeight="1">
      <c r="A28" s="11" t="inlineStr">
        <is>
          <t>배달앱/전체</t>
        </is>
      </c>
      <c r="B28" s="11" t="inlineStr">
        <is>
          <t>카드</t>
        </is>
      </c>
      <c r="C28" s="11" t="inlineStr">
        <is>
          <t>배민</t>
        </is>
      </c>
      <c r="D28" s="11" t="inlineStr">
        <is>
          <t>쿠팡이츠</t>
        </is>
      </c>
      <c r="E28" s="11" t="inlineStr">
        <is>
          <t>요기요</t>
        </is>
      </c>
      <c r="F28" s="11" t="inlineStr">
        <is>
          <t>W금융일수</t>
        </is>
      </c>
      <c r="G28" s="11" t="inlineStr">
        <is>
          <t>Ty수익율(%)</t>
        </is>
      </c>
      <c r="H28" s="11" t="inlineStr">
        <is>
          <t>기준선(0.35) 대비</t>
        </is>
      </c>
      <c r="I28" s="11" t="inlineStr">
        <is>
          <t>비고</t>
        </is>
      </c>
    </row>
    <row r="29">
      <c r="A29" s="14" t="n">
        <v>0.3</v>
      </c>
      <c r="B29" s="17">
        <f>1-$A29</f>
        <v/>
      </c>
      <c r="C29" s="17">
        <f>$A29*INDEX(MAU배분범위,1)</f>
        <v/>
      </c>
      <c r="D29" s="17">
        <f>$A29*INDEX(MAU배분범위,2)</f>
        <v/>
      </c>
      <c r="E29" s="17">
        <f>$A29*INDEX(MAU배분범위,3)</f>
        <v/>
      </c>
      <c r="F29" s="22">
        <f>ROUND(B29*INDEX(평균금융일수범위,1)+C29*INDEX(평균금융일수범위,2)+D29*INDEX(평균금융일수범위,3)+E29*INDEX(평균금융일수범위,4),6)</f>
        <v/>
      </c>
      <c r="G29" s="31">
        <f>ROUND(할인율퍼센트*연일수/ROUND(F29,SW_자릿수),6)</f>
        <v/>
      </c>
      <c r="H29" s="5">
        <f>TEXT(F29-$F$30,"0.0000")&amp;"일 · "&amp;TEXT(G29-$G$30,"0.00")&amp;"%p"</f>
        <v/>
      </c>
      <c r="I29" s="5" t="inlineStr"/>
    </row>
    <row r="30">
      <c r="A30" s="14" t="n">
        <v>0.35</v>
      </c>
      <c r="B30" s="17">
        <f>1-$A30</f>
        <v/>
      </c>
      <c r="C30" s="17">
        <f>$A30*INDEX(MAU배분범위,1)</f>
        <v/>
      </c>
      <c r="D30" s="17">
        <f>$A30*INDEX(MAU배분범위,2)</f>
        <v/>
      </c>
      <c r="E30" s="17">
        <f>$A30*INDEX(MAU배분범위,3)</f>
        <v/>
      </c>
      <c r="F30" s="22">
        <f>ROUND(B30*INDEX(평균금융일수범위,1)+C30*INDEX(평균금융일수범위,2)+D30*INDEX(평균금융일수범위,3)+E30*INDEX(평균금융일수범위,4),6)</f>
        <v/>
      </c>
      <c r="G30" s="31">
        <f>ROUND(할인율퍼센트*연일수/ROUND(F30,SW_자릿수),6)</f>
        <v/>
      </c>
      <c r="H30" s="5">
        <f>TEXT(F30-$F$30,"0.0000")&amp;"일 · "&amp;TEXT(G30-$G$30,"0.00")&amp;"%p"</f>
        <v/>
      </c>
      <c r="I30" s="5" t="inlineStr"/>
    </row>
    <row r="31">
      <c r="A31" s="14" t="n">
        <v>0.4</v>
      </c>
      <c r="B31" s="17">
        <f>1-$A31</f>
        <v/>
      </c>
      <c r="C31" s="17">
        <f>$A31*INDEX(MAU배분범위,1)</f>
        <v/>
      </c>
      <c r="D31" s="17">
        <f>$A31*INDEX(MAU배분범위,2)</f>
        <v/>
      </c>
      <c r="E31" s="17">
        <f>$A31*INDEX(MAU배분범위,3)</f>
        <v/>
      </c>
      <c r="F31" s="22">
        <f>ROUND(B31*INDEX(평균금융일수범위,1)+C31*INDEX(평균금융일수범위,2)+D31*INDEX(평균금융일수범위,3)+E31*INDEX(평균금융일수범위,4),6)</f>
        <v/>
      </c>
      <c r="G31" s="31">
        <f>ROUND(할인율퍼센트*연일수/ROUND(F31,SW_자릿수),6)</f>
        <v/>
      </c>
      <c r="H31" s="5">
        <f>TEXT(F31-$F$30,"0.0000")&amp;"일 · "&amp;TEXT(G31-$G$30,"0.00")&amp;"%p"</f>
        <v/>
      </c>
      <c r="I31" s="5" t="inlineStr"/>
    </row>
    <row r="32">
      <c r="A32" s="17">
        <f>배달앱비중</f>
        <v/>
      </c>
      <c r="B32" s="17">
        <f>1-$A32</f>
        <v/>
      </c>
      <c r="C32" s="17">
        <f>$A32*INDEX(MAU배분범위,1)</f>
        <v/>
      </c>
      <c r="D32" s="17">
        <f>$A32*INDEX(MAU배분범위,2)</f>
        <v/>
      </c>
      <c r="E32" s="17">
        <f>$A32*INDEX(MAU배분범위,3)</f>
        <v/>
      </c>
      <c r="F32" s="22">
        <f>ROUND(B32*INDEX(평균금융일수범위,1)+C32*INDEX(평균금융일수범위,2)+D32*INDEX(평균금융일수범위,3)+E32*INDEX(평균금융일수범위,4),6)</f>
        <v/>
      </c>
      <c r="G32" s="31">
        <f>ROUND(할인율퍼센트*연일수/ROUND(F32,SW_자릿수),6)</f>
        <v/>
      </c>
      <c r="H32" s="5">
        <f>TEXT(F32-$F$30,"0.0000")&amp;"일 · "&amp;TEXT(G32-$G$30,"0.00")&amp;"%p"</f>
        <v/>
      </c>
      <c r="I32" s="5" t="inlineStr">
        <is>
          <t>현재 입력 (입력 B47)</t>
        </is>
      </c>
    </row>
    <row r="33">
      <c r="A33" s="17">
        <f>배달앱금액비중</f>
        <v/>
      </c>
      <c r="B33" s="17">
        <f>1-$A33</f>
        <v/>
      </c>
      <c r="C33" s="17">
        <f>$A33*INDEX(MAU배분범위,1)</f>
        <v/>
      </c>
      <c r="D33" s="17">
        <f>$A33*INDEX(MAU배분범위,2)</f>
        <v/>
      </c>
      <c r="E33" s="17">
        <f>$A33*INDEX(MAU배분범위,3)</f>
        <v/>
      </c>
      <c r="F33" s="22">
        <f>ROUND(B33*INDEX(평균금융일수범위,1)+C33*INDEX(평균금융일수범위,2)+D33*INDEX(평균금융일수범위,3)+E33*INDEX(평균금융일수범위,4),6)</f>
        <v/>
      </c>
      <c r="G33" s="31">
        <f>ROUND(할인율퍼센트*연일수/ROUND(F33,SW_자릿수),6)</f>
        <v/>
      </c>
      <c r="H33" s="5">
        <f>TEXT(F33-$F$30,"0.0000")&amp;"일 · "&amp;TEXT(G33-$G$30,"0.00")&amp;"%p"</f>
        <v/>
      </c>
      <c r="I33" s="5" t="inlineStr">
        <is>
          <t>금액 실측 배달앱/전체 (입력 C40)</t>
        </is>
      </c>
    </row>
    <row r="34">
      <c r="A34" s="3" t="inlineStr">
        <is>
          <t>배달 3사 내부 배분</t>
        </is>
      </c>
      <c r="B34" s="5">
        <f>TEXT(INDEX(MAU배분범위,1),"0.0000")&amp;" : "&amp;TEXT(INDEX(MAU배분범위,2),"0.0000")&amp;" : "&amp;TEXT(INDEX(MAU배분범위,3),"0.0000")</f>
        <v/>
      </c>
      <c r="H34" s="5" t="inlineStr">
        <is>
          <t>정산주기.xlsx 비중 D5:F5 (MAU 비)</t>
        </is>
      </c>
    </row>
  </sheetData>
  <mergeCells count="11">
    <mergeCell ref="B24:G24"/>
    <mergeCell ref="C4:G4"/>
    <mergeCell ref="C7:G7"/>
    <mergeCell ref="C6:G6"/>
    <mergeCell ref="C2:G2"/>
    <mergeCell ref="C5:G5"/>
    <mergeCell ref="B26:G26"/>
    <mergeCell ref="C8:G8"/>
    <mergeCell ref="C9:G9"/>
    <mergeCell ref="B25:G25"/>
    <mergeCell ref="C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34" customWidth="1" min="4" max="4"/>
    <col width="20" customWidth="1" min="5" max="5"/>
    <col width="16" customWidth="1" min="6" max="6"/>
    <col width="10" customWidth="1" min="7" max="7"/>
    <col width="60" customWidth="1" min="8" max="8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엑셀 값</t>
        </is>
      </c>
      <c r="D1" s="1" t="inlineStr">
        <is>
          <t>산출 경로</t>
        </is>
      </c>
      <c r="E1" s="1" t="inlineStr">
        <is>
          <t>화면 표시값</t>
        </is>
      </c>
      <c r="F1" s="1" t="inlineStr">
        <is>
          <t>차이</t>
        </is>
      </c>
      <c r="G1" s="1" t="inlineStr">
        <is>
          <t>판정</t>
        </is>
      </c>
      <c r="H1" s="1" t="inlineStr">
        <is>
          <t>출처</t>
        </is>
      </c>
    </row>
    <row r="2">
      <c r="A2" s="5" t="inlineStr">
        <is>
          <t>화면 표시값 원본</t>
        </is>
      </c>
      <c r="B2" s="3" t="inlineStr">
        <is>
          <t>투자실행액</t>
        </is>
      </c>
      <c r="D2" s="5" t="inlineStr">
        <is>
          <t>ledger_facts.json exec</t>
        </is>
      </c>
      <c r="E2" s="8" t="n">
        <v>80000000</v>
      </c>
      <c r="H2" s="5" t="inlineStr">
        <is>
          <t>ledger_facts.json</t>
        </is>
      </c>
    </row>
    <row r="3">
      <c r="A3" s="5" t="inlineStr">
        <is>
          <t>화면 표시값 원본</t>
        </is>
      </c>
      <c r="B3" s="3" t="inlineStr">
        <is>
          <t>순현금</t>
        </is>
      </c>
      <c r="D3" s="5" t="inlineStr">
        <is>
          <t>ledger_facts.json cash</t>
        </is>
      </c>
      <c r="E3" s="8" t="n">
        <v>20000000</v>
      </c>
      <c r="H3" s="5" t="inlineStr">
        <is>
          <t>ledger_facts.json</t>
        </is>
      </c>
    </row>
    <row r="4">
      <c r="A4" s="5" t="inlineStr">
        <is>
          <t>화면 표시값 원본</t>
        </is>
      </c>
      <c r="B4" s="3" t="inlineStr">
        <is>
          <t>투자자산</t>
        </is>
      </c>
      <c r="D4" s="5" t="inlineStr">
        <is>
          <t>ledger_facts.json total</t>
        </is>
      </c>
      <c r="E4" s="8" t="n">
        <v>100000000</v>
      </c>
      <c r="H4" s="5" t="inlineStr">
        <is>
          <t>ledger_facts.json</t>
        </is>
      </c>
    </row>
    <row r="5">
      <c r="A5" s="5" t="inlineStr">
        <is>
          <t>화면 표시값 원본</t>
        </is>
      </c>
      <c r="B5" s="3" t="inlineStr">
        <is>
          <t>투자실행액 비중(%)</t>
        </is>
      </c>
      <c r="D5" s="5" t="inlineStr">
        <is>
          <t>exec ÷ total (roster16_model EXEC_SHARE)</t>
        </is>
      </c>
      <c r="E5" s="25" t="n">
        <v>80</v>
      </c>
      <c r="H5" s="5" t="inlineStr">
        <is>
          <t>ledger_facts.json</t>
        </is>
      </c>
    </row>
    <row r="6">
      <c r="A6" s="5" t="inlineStr">
        <is>
          <t>화면 표시값 원본</t>
        </is>
      </c>
      <c r="B6" s="3" t="inlineStr">
        <is>
          <t>순현금 비중(%)</t>
        </is>
      </c>
      <c r="D6" s="5" t="inlineStr">
        <is>
          <t>cash ÷ total (roster16_model CASH_SHARE)</t>
        </is>
      </c>
      <c r="E6" s="25" t="n">
        <v>20</v>
      </c>
      <c r="H6" s="5" t="inlineStr">
        <is>
          <t>ledger_facts.json</t>
        </is>
      </c>
    </row>
    <row r="7">
      <c r="A7" s="5" t="inlineStr">
        <is>
          <t>화면 표시값 원본</t>
        </is>
      </c>
      <c r="B7" s="3" t="inlineStr">
        <is>
          <t>W금융일수 raw</t>
        </is>
      </c>
      <c r="D7" s="5" t="inlineStr">
        <is>
          <t>ledger_facts.json wRaw</t>
        </is>
      </c>
      <c r="E7" s="9" t="n">
        <v>3.039607</v>
      </c>
      <c r="H7" s="5" t="inlineStr">
        <is>
          <t>ledger_facts.json</t>
        </is>
      </c>
    </row>
    <row r="8">
      <c r="A8" s="5" t="inlineStr">
        <is>
          <t>화면 표시값 원본</t>
        </is>
      </c>
      <c r="B8" s="3" t="inlineStr">
        <is>
          <t>W금융일수 표기</t>
        </is>
      </c>
      <c r="D8" s="5" t="inlineStr">
        <is>
          <t>ledger_facts.json w</t>
        </is>
      </c>
      <c r="E8" s="6" t="n">
        <v>3.04</v>
      </c>
      <c r="H8" s="5" t="inlineStr">
        <is>
          <t>ledger_facts.json</t>
        </is>
      </c>
    </row>
    <row r="9">
      <c r="A9" s="5" t="inlineStr">
        <is>
          <t>화면 표시값 원본</t>
        </is>
      </c>
      <c r="B9" s="3" t="inlineStr">
        <is>
          <t>Ty수익율(%)</t>
        </is>
      </c>
      <c r="D9" s="5" t="inlineStr">
        <is>
          <t>ledger_facts.json ty</t>
        </is>
      </c>
      <c r="E9" s="6" t="n">
        <v>13.21</v>
      </c>
      <c r="H9" s="5" t="inlineStr">
        <is>
          <t>ledger_facts.json</t>
        </is>
      </c>
    </row>
    <row r="10">
      <c r="A10" s="5" t="inlineStr">
        <is>
          <t>화면 표시값 원본</t>
        </is>
      </c>
      <c r="B10" s="3" t="inlineStr">
        <is>
          <t>S입금부족율 raw(%)</t>
        </is>
      </c>
      <c r="D10" s="5" t="inlineStr">
        <is>
          <t>ledger_facts.json sRaw</t>
        </is>
      </c>
      <c r="E10" s="9" t="n">
        <v>0.07442799999999999</v>
      </c>
      <c r="H10" s="5" t="inlineStr">
        <is>
          <t>ledger_facts.json</t>
        </is>
      </c>
    </row>
    <row r="11">
      <c r="A11" s="5" t="inlineStr">
        <is>
          <t>화면 표시값 원본</t>
        </is>
      </c>
      <c r="B11" s="3" t="inlineStr">
        <is>
          <t>S입금부족율 표기(%)</t>
        </is>
      </c>
      <c r="D11" s="5" t="inlineStr">
        <is>
          <t>ledger_facts.json s</t>
        </is>
      </c>
      <c r="E11" s="6" t="n">
        <v>0.07000000000000001</v>
      </c>
      <c r="H11" s="5" t="inlineStr">
        <is>
          <t>ledger_facts.json</t>
        </is>
      </c>
    </row>
    <row r="12">
      <c r="A12" s="5" t="inlineStr">
        <is>
          <t>화면 표시값 원본</t>
        </is>
      </c>
      <c r="B12" s="3" t="inlineStr">
        <is>
          <t>할인율(%)</t>
        </is>
      </c>
      <c r="D12" s="5" t="inlineStr">
        <is>
          <t>ledger_facts.json rate</t>
        </is>
      </c>
      <c r="E12" s="6" t="n">
        <v>0.11</v>
      </c>
      <c r="H12" s="5" t="inlineStr">
        <is>
          <t>ledger_facts.json</t>
        </is>
      </c>
    </row>
    <row r="13">
      <c r="A13" s="5" t="inlineStr">
        <is>
          <t>화면 표시값 원본</t>
        </is>
      </c>
      <c r="B13" s="3" t="inlineStr">
        <is>
          <t>하루 평균 투자실행금</t>
        </is>
      </c>
      <c r="D13" s="5" t="inlineStr">
        <is>
          <t>ledger_facts.json dayAvg</t>
        </is>
      </c>
      <c r="E13" s="8" t="n">
        <v>26113907</v>
      </c>
      <c r="H13" s="5" t="inlineStr">
        <is>
          <t>ledger_facts.json</t>
        </is>
      </c>
    </row>
    <row r="14">
      <c r="A14" s="5" t="inlineStr">
        <is>
          <t>화면 표시값 원본</t>
        </is>
      </c>
      <c r="B14" s="3" t="inlineStr">
        <is>
          <t>원장 일수</t>
        </is>
      </c>
      <c r="D14" s="5" t="inlineStr">
        <is>
          <t>ledger_facts.json ledgerDays</t>
        </is>
      </c>
      <c r="E14" s="8" t="n">
        <v>180</v>
      </c>
      <c r="H14" s="5" t="inlineStr">
        <is>
          <t>ledger_facts.json</t>
        </is>
      </c>
    </row>
    <row r="15">
      <c r="A15" s="5" t="inlineStr">
        <is>
          <t>화면 표시값 원본</t>
        </is>
      </c>
      <c r="B15" s="3" t="inlineStr">
        <is>
          <t>채권 건수</t>
        </is>
      </c>
      <c r="D15" s="5" t="inlineStr">
        <is>
          <t>ledger_facts.json receivables</t>
        </is>
      </c>
      <c r="E15" s="8" t="n">
        <v>61760</v>
      </c>
      <c r="H15" s="5" t="inlineStr">
        <is>
          <t>ledger_facts.json</t>
        </is>
      </c>
    </row>
    <row r="16">
      <c r="A16" s="5" t="inlineStr">
        <is>
          <t>화면 표시값 원본</t>
        </is>
      </c>
      <c r="B16" s="3" t="inlineStr">
        <is>
          <t>미회수 채권 건수</t>
        </is>
      </c>
      <c r="D16" s="5" t="inlineStr">
        <is>
          <t>ledger_facts.json openReceivables</t>
        </is>
      </c>
      <c r="E16" s="8" t="n">
        <v>2240</v>
      </c>
      <c r="H16" s="5" t="inlineStr">
        <is>
          <t>ledger_facts.json</t>
        </is>
      </c>
    </row>
    <row r="17">
      <c r="A17" s="5" t="inlineStr">
        <is>
          <t>화면 표시값 원본</t>
        </is>
      </c>
      <c r="B17" s="3" t="inlineStr">
        <is>
          <t>채권 Di 최소</t>
        </is>
      </c>
      <c r="D17" s="5" t="inlineStr">
        <is>
          <t>ledger_facts.json diRange[0]</t>
        </is>
      </c>
      <c r="E17" s="8" t="n">
        <v>1</v>
      </c>
      <c r="H17" s="5" t="inlineStr">
        <is>
          <t>ledger_facts.json</t>
        </is>
      </c>
    </row>
    <row r="18">
      <c r="A18" s="5" t="inlineStr">
        <is>
          <t>화면 표시값 원본</t>
        </is>
      </c>
      <c r="B18" s="3" t="inlineStr">
        <is>
          <t>채권 Di 최대</t>
        </is>
      </c>
      <c r="D18" s="5" t="inlineStr">
        <is>
          <t>ledger_facts.json diRange[1]</t>
        </is>
      </c>
      <c r="E18" s="8" t="n">
        <v>13</v>
      </c>
      <c r="H18" s="5" t="inlineStr">
        <is>
          <t>ledger_facts.json</t>
        </is>
      </c>
    </row>
    <row r="19">
      <c r="A19" s="5" t="inlineStr">
        <is>
          <t>화면 표시값 원본</t>
        </is>
      </c>
      <c r="B19" s="3" t="inlineStr">
        <is>
          <t>로스터 건수</t>
        </is>
      </c>
      <c r="D19" s="5" t="inlineStr">
        <is>
          <t>ledger_facts.json merchants 길이</t>
        </is>
      </c>
      <c r="E19" s="8" t="n">
        <v>8</v>
      </c>
      <c r="H19" s="5" t="inlineStr">
        <is>
          <t>ledger_facts.json</t>
        </is>
      </c>
    </row>
    <row r="20">
      <c r="A20" s="5" t="inlineStr">
        <is>
          <t>화면 표시값 원본</t>
        </is>
      </c>
      <c r="B20" s="3" t="inlineStr">
        <is>
          <t>서명 대기 건수</t>
        </is>
      </c>
      <c r="D20" s="5" t="inlineStr">
        <is>
          <t>roster16_model.py SIGN_PENDING</t>
        </is>
      </c>
      <c r="E20" s="8" t="n">
        <v>3</v>
      </c>
      <c r="H20" s="5" t="inlineStr">
        <is>
          <t>ledger_facts.json</t>
        </is>
      </c>
    </row>
    <row r="21">
      <c r="A21" s="5" t="inlineStr">
        <is>
          <t>화면 표시값 원본</t>
        </is>
      </c>
      <c r="B21" s="3" t="inlineStr">
        <is>
          <t>주간 일수</t>
        </is>
      </c>
      <c r="D21" s="5" t="inlineStr">
        <is>
          <t>ledger_facts.json weekDays</t>
        </is>
      </c>
      <c r="E21" s="8" t="n">
        <v>7</v>
      </c>
      <c r="H21" s="5" t="inlineStr">
        <is>
          <t>ledger_facts.json</t>
        </is>
      </c>
    </row>
    <row r="22">
      <c r="A22" s="5" t="inlineStr">
        <is>
          <t>화면 표시값 원본</t>
        </is>
      </c>
      <c r="B22" s="3" t="inlineStr">
        <is>
          <t>주간 PA</t>
        </is>
      </c>
      <c r="D22" s="5" t="inlineStr">
        <is>
          <t>ledger_facts.json weekExec</t>
        </is>
      </c>
      <c r="E22" s="8" t="n">
        <v>179970919</v>
      </c>
      <c r="H22" s="5" t="inlineStr">
        <is>
          <t>ledger_facts.json</t>
        </is>
      </c>
    </row>
    <row r="23">
      <c r="A23" s="5" t="inlineStr">
        <is>
          <t>화면 표시값 원본</t>
        </is>
      </c>
      <c r="B23" s="3" t="inlineStr">
        <is>
          <t>주간 PM</t>
        </is>
      </c>
      <c r="D23" s="5" t="inlineStr">
        <is>
          <t>ledger_facts.json weekProfit</t>
        </is>
      </c>
      <c r="E23" s="8" t="n">
        <v>61175</v>
      </c>
      <c r="H23" s="5" t="inlineStr">
        <is>
          <t>ledger_facts.json</t>
        </is>
      </c>
    </row>
    <row r="24">
      <c r="A24" s="5" t="inlineStr">
        <is>
          <t>화면 표시값 원본</t>
        </is>
      </c>
      <c r="B24" s="3" t="inlineStr">
        <is>
          <t>주간 상환액</t>
        </is>
      </c>
      <c r="D24" s="5" t="inlineStr">
        <is>
          <t>ledger_facts.json weekRepay</t>
        </is>
      </c>
      <c r="E24" s="8" t="n">
        <v>180032111</v>
      </c>
      <c r="H24" s="5" t="inlineStr">
        <is>
          <t>ledger_facts.json</t>
        </is>
      </c>
    </row>
    <row r="25">
      <c r="A25" s="5" t="inlineStr">
        <is>
          <t>화면 표시값 원본</t>
        </is>
      </c>
      <c r="B25" s="3" t="inlineStr">
        <is>
          <t>주간 채권매입수수료</t>
        </is>
      </c>
      <c r="D25" s="5" t="inlineStr">
        <is>
          <t>ledger_facts.json tyByDate [5] 합</t>
        </is>
      </c>
      <c r="E25" s="8" t="n">
        <v>198184</v>
      </c>
      <c r="H25" s="5" t="inlineStr">
        <is>
          <t>ledger_facts.json</t>
        </is>
      </c>
    </row>
    <row r="26">
      <c r="A26" s="5" t="inlineStr">
        <is>
          <t>화면 표시값 원본</t>
        </is>
      </c>
      <c r="B26" s="3" t="inlineStr">
        <is>
          <t>주간 부족액 차감</t>
        </is>
      </c>
      <c r="D26" s="5" t="inlineStr">
        <is>
          <t>ledger_facts.json tyByDate [6] 합</t>
        </is>
      </c>
      <c r="E26" s="8" t="n">
        <v>137009</v>
      </c>
      <c r="H26" s="5" t="inlineStr">
        <is>
          <t>ledger_facts.json</t>
        </is>
      </c>
    </row>
    <row r="27">
      <c r="A27" s="5" t="inlineStr">
        <is>
          <t>화면 표시값 원본</t>
        </is>
      </c>
      <c r="B27" s="3" t="inlineStr">
        <is>
          <t>주간 PwD raw</t>
        </is>
      </c>
      <c r="D27" s="5" t="inlineStr">
        <is>
          <t>ledger_facts.json weekWRaw</t>
        </is>
      </c>
      <c r="E27" s="9" t="n">
        <v>3.107588</v>
      </c>
      <c r="H27" s="5" t="inlineStr">
        <is>
          <t>ledger_facts.json</t>
        </is>
      </c>
    </row>
    <row r="28">
      <c r="A28" s="5" t="inlineStr">
        <is>
          <t>화면 표시값 원본</t>
        </is>
      </c>
      <c r="B28" s="3" t="inlineStr">
        <is>
          <t>주간 PwD 표기</t>
        </is>
      </c>
      <c r="D28" s="5" t="inlineStr">
        <is>
          <t>ledger_facts.json weekW</t>
        </is>
      </c>
      <c r="E28" s="6" t="n">
        <v>3.11</v>
      </c>
      <c r="H28" s="5" t="inlineStr">
        <is>
          <t>ledger_facts.json</t>
        </is>
      </c>
    </row>
    <row r="29">
      <c r="A29" s="5" t="inlineStr">
        <is>
          <t>화면 표시값 원본</t>
        </is>
      </c>
      <c r="B29" s="3" t="inlineStr">
        <is>
          <t>주간 PEC</t>
        </is>
      </c>
      <c r="D29" s="5" t="inlineStr">
        <is>
          <t>ledger_facts.json weekPsc</t>
        </is>
      </c>
      <c r="E29" s="8" t="n">
        <v>140000000</v>
      </c>
      <c r="H29" s="5" t="inlineStr">
        <is>
          <t>ledger_facts.json</t>
        </is>
      </c>
    </row>
    <row r="30">
      <c r="A30" s="5" t="inlineStr">
        <is>
          <t>화면 표시값 원본</t>
        </is>
      </c>
      <c r="B30" s="3" t="inlineStr">
        <is>
          <t>주간 ④(%)</t>
        </is>
      </c>
      <c r="D30" s="5" t="inlineStr">
        <is>
          <t>ledger_facts.json weekTy</t>
        </is>
      </c>
      <c r="E30" s="6" t="n">
        <v>3.99</v>
      </c>
      <c r="H30" s="5" t="inlineStr">
        <is>
          <t>ledger_facts.json</t>
        </is>
      </c>
    </row>
    <row r="31">
      <c r="A31" s="5" t="inlineStr">
        <is>
          <t>화면 표시값 원본</t>
        </is>
      </c>
      <c r="B31" s="3" t="inlineStr">
        <is>
          <t>주간 ⑤(%)</t>
        </is>
      </c>
      <c r="D31" s="5" t="inlineStr">
        <is>
          <t>ledger_facts.json weekTyAsset</t>
        </is>
      </c>
      <c r="E31" s="6" t="n">
        <v>2.25</v>
      </c>
      <c r="H31" s="5" t="inlineStr">
        <is>
          <t>ledger_facts.json</t>
        </is>
      </c>
    </row>
    <row r="32">
      <c r="A32" s="5" t="inlineStr">
        <is>
          <t>화면 표시값 원본</t>
        </is>
      </c>
      <c r="B32" s="3" t="inlineStr">
        <is>
          <t>전 구간 PA</t>
        </is>
      </c>
      <c r="D32" s="5" t="inlineStr">
        <is>
          <t>ledger_facts.json fullExec</t>
        </is>
      </c>
      <c r="E32" s="8" t="n">
        <v>4700503303</v>
      </c>
      <c r="H32" s="5" t="inlineStr">
        <is>
          <t>ledger_facts.json</t>
        </is>
      </c>
    </row>
    <row r="33">
      <c r="A33" s="5" t="inlineStr">
        <is>
          <t>화면 표시값 원본</t>
        </is>
      </c>
      <c r="B33" s="3" t="inlineStr">
        <is>
          <t>전 구간 PM</t>
        </is>
      </c>
      <c r="D33" s="5" t="inlineStr">
        <is>
          <t>ledger_facts.json fullProfit</t>
        </is>
      </c>
      <c r="E33" s="8" t="n">
        <v>1787417</v>
      </c>
      <c r="H33" s="5" t="inlineStr">
        <is>
          <t>ledger_facts.json</t>
        </is>
      </c>
    </row>
    <row r="34">
      <c r="A34" s="5" t="inlineStr">
        <is>
          <t>화면 표시값 원본</t>
        </is>
      </c>
      <c r="B34" s="3" t="inlineStr">
        <is>
          <t>전 구간 채권매입수수료</t>
        </is>
      </c>
      <c r="D34" s="5" t="inlineStr">
        <is>
          <t>ledger_facts.json tyByDate [5] 합</t>
        </is>
      </c>
      <c r="E34" s="8" t="n">
        <v>5176160</v>
      </c>
      <c r="H34" s="5" t="inlineStr">
        <is>
          <t>ledger_facts.json</t>
        </is>
      </c>
    </row>
    <row r="35">
      <c r="A35" s="5" t="inlineStr">
        <is>
          <t>화면 표시값 원본</t>
        </is>
      </c>
      <c r="B35" s="3" t="inlineStr">
        <is>
          <t>전 구간 부족액 차감</t>
        </is>
      </c>
      <c r="D35" s="5" t="inlineStr">
        <is>
          <t>ledger_facts.json tyByDate [6] 합</t>
        </is>
      </c>
      <c r="E35" s="8" t="n">
        <v>3388743</v>
      </c>
      <c r="H35" s="5" t="inlineStr">
        <is>
          <t>ledger_facts.json</t>
        </is>
      </c>
    </row>
    <row r="36">
      <c r="A36" s="5" t="inlineStr">
        <is>
          <t>화면 표시값 원본</t>
        </is>
      </c>
      <c r="B36" s="3" t="inlineStr">
        <is>
          <t>전 구간 차감/수수료(%)</t>
        </is>
      </c>
      <c r="D36" s="5" t="inlineStr">
        <is>
          <t>ledger_facts.json tyByDate [6] 합 ÷ [5] 합</t>
        </is>
      </c>
      <c r="E36" s="6" t="n">
        <v>65.47</v>
      </c>
      <c r="H36" s="5" t="inlineStr">
        <is>
          <t>ledger_facts.json</t>
        </is>
      </c>
    </row>
    <row r="37">
      <c r="A37" s="5" t="inlineStr">
        <is>
          <t>화면 표시값 원본</t>
        </is>
      </c>
      <c r="B37" s="3" t="inlineStr">
        <is>
          <t>전 구간 PwD raw</t>
        </is>
      </c>
      <c r="D37" s="5" t="inlineStr">
        <is>
          <t>daily_ledger.py LEDGER w6 · exec — Σ(w6 x 투자실행금) ÷ Σ 투자실행금</t>
        </is>
      </c>
      <c r="E37" s="9" t="n">
        <v>3.034222</v>
      </c>
      <c r="H37" s="5" t="inlineStr">
        <is>
          <t>daily_ledger.py</t>
        </is>
      </c>
    </row>
    <row r="38">
      <c r="A38" s="5" t="inlineStr">
        <is>
          <t>화면 표시값 원본</t>
        </is>
      </c>
      <c r="B38" s="3" t="inlineStr">
        <is>
          <t>전 구간 PwD 표기</t>
        </is>
      </c>
      <c r="D38" s="5" t="inlineStr">
        <is>
          <t>ledger_facts.json fullW</t>
        </is>
      </c>
      <c r="E38" s="6" t="n">
        <v>3.03</v>
      </c>
      <c r="H38" s="5" t="inlineStr">
        <is>
          <t>ledger_facts.json</t>
        </is>
      </c>
    </row>
    <row r="39">
      <c r="A39" s="5" t="inlineStr">
        <is>
          <t>화면 표시값 원본</t>
        </is>
      </c>
      <c r="B39" s="3" t="inlineStr">
        <is>
          <t>전 구간 PEC</t>
        </is>
      </c>
      <c r="D39" s="5" t="inlineStr">
        <is>
          <t>ledger_facts.json fullPsc</t>
        </is>
      </c>
      <c r="E39" s="8" t="n">
        <v>3600000000</v>
      </c>
      <c r="H39" s="5" t="inlineStr">
        <is>
          <t>ledger_facts.json</t>
        </is>
      </c>
    </row>
    <row r="40">
      <c r="A40" s="5" t="inlineStr">
        <is>
          <t>화면 표시값 원본</t>
        </is>
      </c>
      <c r="B40" s="3" t="inlineStr">
        <is>
          <t>전 구간 ④(%)</t>
        </is>
      </c>
      <c r="D40" s="5" t="inlineStr">
        <is>
          <t>ledger_facts.json fullTy</t>
        </is>
      </c>
      <c r="E40" s="6" t="n">
        <v>4.57</v>
      </c>
      <c r="H40" s="5" t="inlineStr">
        <is>
          <t>ledger_facts.json</t>
        </is>
      </c>
    </row>
    <row r="41">
      <c r="A41" s="5" t="inlineStr">
        <is>
          <t>화면 표시값 원본</t>
        </is>
      </c>
      <c r="B41" s="3" t="inlineStr">
        <is>
          <t>전 구간 ⑤(%)</t>
        </is>
      </c>
      <c r="D41" s="5" t="inlineStr">
        <is>
          <t>ledger_facts.json fullTyAsset</t>
        </is>
      </c>
      <c r="E41" s="6" t="n">
        <v>2.59</v>
      </c>
      <c r="H41" s="5" t="inlineStr">
        <is>
          <t>ledger_facts.json</t>
        </is>
      </c>
    </row>
    <row r="42">
      <c r="A42" s="5" t="inlineStr">
        <is>
          <t>화면 표시값 원본</t>
        </is>
      </c>
      <c r="B42" s="3" t="inlineStr">
        <is>
          <t>김성호떡볶이 본점 — 투자실행액</t>
        </is>
      </c>
      <c r="D42" s="5" t="inlineStr">
        <is>
          <t>ledger_facts.json merchants[0]</t>
        </is>
      </c>
      <c r="E42" s="8" t="n">
        <v>19334743</v>
      </c>
      <c r="H42" s="5" t="inlineStr">
        <is>
          <t>ledger_facts.json</t>
        </is>
      </c>
    </row>
    <row r="43">
      <c r="A43" s="5" t="inlineStr">
        <is>
          <t>화면 표시값 원본</t>
        </is>
      </c>
      <c r="B43" s="3" t="inlineStr">
        <is>
          <t>김성호떡볶이 본점 — W</t>
        </is>
      </c>
      <c r="D43" s="5" t="inlineStr">
        <is>
          <t>ledger_facts.json merchants[0]</t>
        </is>
      </c>
      <c r="E43" s="6" t="n">
        <v>3.02</v>
      </c>
      <c r="H43" s="5" t="inlineStr">
        <is>
          <t>ledger_facts.json</t>
        </is>
      </c>
    </row>
    <row r="44">
      <c r="A44" s="5" t="inlineStr">
        <is>
          <t>화면 표시값 원본</t>
        </is>
      </c>
      <c r="B44" s="3" t="inlineStr">
        <is>
          <t>김성호떡볶이 본점 — W raw</t>
        </is>
      </c>
      <c r="D44" s="5" t="inlineStr">
        <is>
          <t>daily_ledger.py MERCHANTS w6</t>
        </is>
      </c>
      <c r="E44" s="9" t="n">
        <v>3.020016</v>
      </c>
      <c r="H44" s="5" t="inlineStr">
        <is>
          <t>daily_ledger.py</t>
        </is>
      </c>
    </row>
    <row r="45">
      <c r="A45" s="5" t="inlineStr">
        <is>
          <t>화면 표시값 원본</t>
        </is>
      </c>
      <c r="B45" s="3" t="inlineStr">
        <is>
          <t>김성호떡볶이 본점 — Ty수익율(%)</t>
        </is>
      </c>
      <c r="D45" s="5" t="inlineStr">
        <is>
          <t>ledger_facts.json merchants[0]</t>
        </is>
      </c>
      <c r="E45" s="6" t="n">
        <v>13.29</v>
      </c>
      <c r="H45" s="5" t="inlineStr">
        <is>
          <t>ledger_facts.json</t>
        </is>
      </c>
    </row>
    <row r="46">
      <c r="A46" s="5" t="inlineStr">
        <is>
          <t>화면 표시값 원본</t>
        </is>
      </c>
      <c r="B46" s="3" t="inlineStr">
        <is>
          <t>김성호떡볶이 본점 — S입금부족율(%)</t>
        </is>
      </c>
      <c r="D46" s="5" t="inlineStr">
        <is>
          <t>ledger_facts.json merchants[0]</t>
        </is>
      </c>
      <c r="E46" s="6" t="n">
        <v>0.07000000000000001</v>
      </c>
      <c r="H46" s="5" t="inlineStr">
        <is>
          <t>ledger_facts.json</t>
        </is>
      </c>
    </row>
    <row r="47">
      <c r="A47" s="5" t="inlineStr">
        <is>
          <t>화면 표시값 원본</t>
        </is>
      </c>
      <c r="B47" s="3" t="inlineStr">
        <is>
          <t>김성호떡볶이 본점 — 비중(%)</t>
        </is>
      </c>
      <c r="D47" s="5" t="inlineStr">
        <is>
          <t>ledger_facts.json merchants[0]</t>
        </is>
      </c>
      <c r="E47" s="25" t="n">
        <v>24.2</v>
      </c>
      <c r="H47" s="5" t="inlineStr">
        <is>
          <t>ledger_facts.json</t>
        </is>
      </c>
    </row>
    <row r="48">
      <c r="A48" s="5" t="inlineStr">
        <is>
          <t>화면 표시값 원본</t>
        </is>
      </c>
      <c r="B48" s="3" t="inlineStr">
        <is>
          <t>초록치킨 서초점 — 투자실행액</t>
        </is>
      </c>
      <c r="D48" s="5" t="inlineStr">
        <is>
          <t>ledger_facts.json merchants[1]</t>
        </is>
      </c>
      <c r="E48" s="8" t="n">
        <v>18070801</v>
      </c>
      <c r="H48" s="5" t="inlineStr">
        <is>
          <t>ledger_facts.json</t>
        </is>
      </c>
    </row>
    <row r="49">
      <c r="A49" s="5" t="inlineStr">
        <is>
          <t>화면 표시값 원본</t>
        </is>
      </c>
      <c r="B49" s="3" t="inlineStr">
        <is>
          <t>초록치킨 서초점 — W</t>
        </is>
      </c>
      <c r="D49" s="5" t="inlineStr">
        <is>
          <t>ledger_facts.json merchants[1]</t>
        </is>
      </c>
      <c r="E49" s="6" t="n">
        <v>3.45</v>
      </c>
      <c r="H49" s="5" t="inlineStr">
        <is>
          <t>ledger_facts.json</t>
        </is>
      </c>
    </row>
    <row r="50">
      <c r="A50" s="5" t="inlineStr">
        <is>
          <t>화면 표시값 원본</t>
        </is>
      </c>
      <c r="B50" s="3" t="inlineStr">
        <is>
          <t>초록치킨 서초점 — W raw</t>
        </is>
      </c>
      <c r="D50" s="5" t="inlineStr">
        <is>
          <t>daily_ledger.py MERCHANTS w6</t>
        </is>
      </c>
      <c r="E50" s="9" t="n">
        <v>3.448306</v>
      </c>
      <c r="H50" s="5" t="inlineStr">
        <is>
          <t>daily_ledger.py</t>
        </is>
      </c>
    </row>
    <row r="51">
      <c r="A51" s="5" t="inlineStr">
        <is>
          <t>화면 표시값 원본</t>
        </is>
      </c>
      <c r="B51" s="3" t="inlineStr">
        <is>
          <t>초록치킨 서초점 — Ty수익율(%)</t>
        </is>
      </c>
      <c r="D51" s="5" t="inlineStr">
        <is>
          <t>ledger_facts.json merchants[1]</t>
        </is>
      </c>
      <c r="E51" s="6" t="n">
        <v>11.64</v>
      </c>
      <c r="H51" s="5" t="inlineStr">
        <is>
          <t>ledger_facts.json</t>
        </is>
      </c>
    </row>
    <row r="52">
      <c r="A52" s="5" t="inlineStr">
        <is>
          <t>화면 표시값 원본</t>
        </is>
      </c>
      <c r="B52" s="3" t="inlineStr">
        <is>
          <t>초록치킨 서초점 — S입금부족율(%)</t>
        </is>
      </c>
      <c r="D52" s="5" t="inlineStr">
        <is>
          <t>ledger_facts.json merchants[1]</t>
        </is>
      </c>
      <c r="E52" s="6" t="n">
        <v>0.1</v>
      </c>
      <c r="H52" s="5" t="inlineStr">
        <is>
          <t>ledger_facts.json</t>
        </is>
      </c>
    </row>
    <row r="53">
      <c r="A53" s="5" t="inlineStr">
        <is>
          <t>화면 표시값 원본</t>
        </is>
      </c>
      <c r="B53" s="3" t="inlineStr">
        <is>
          <t>초록치킨 서초점 — 비중(%)</t>
        </is>
      </c>
      <c r="D53" s="5" t="inlineStr">
        <is>
          <t>ledger_facts.json merchants[1]</t>
        </is>
      </c>
      <c r="E53" s="25" t="n">
        <v>22.6</v>
      </c>
      <c r="H53" s="5" t="inlineStr">
        <is>
          <t>ledger_facts.json</t>
        </is>
      </c>
    </row>
    <row r="54">
      <c r="A54" s="5" t="inlineStr">
        <is>
          <t>화면 표시값 원본</t>
        </is>
      </c>
      <c r="B54" s="3" t="inlineStr">
        <is>
          <t>김밥나라 — 투자실행액</t>
        </is>
      </c>
      <c r="D54" s="5" t="inlineStr">
        <is>
          <t>ledger_facts.json merchants[2]</t>
        </is>
      </c>
      <c r="E54" s="8" t="n">
        <v>11827388</v>
      </c>
      <c r="H54" s="5" t="inlineStr">
        <is>
          <t>ledger_facts.json</t>
        </is>
      </c>
    </row>
    <row r="55">
      <c r="A55" s="5" t="inlineStr">
        <is>
          <t>화면 표시값 원본</t>
        </is>
      </c>
      <c r="B55" s="3" t="inlineStr">
        <is>
          <t>김밥나라 — W</t>
        </is>
      </c>
      <c r="D55" s="5" t="inlineStr">
        <is>
          <t>ledger_facts.json merchants[2]</t>
        </is>
      </c>
      <c r="E55" s="6" t="n">
        <v>3.27</v>
      </c>
      <c r="H55" s="5" t="inlineStr">
        <is>
          <t>ledger_facts.json</t>
        </is>
      </c>
    </row>
    <row r="56">
      <c r="A56" s="5" t="inlineStr">
        <is>
          <t>화면 표시값 원본</t>
        </is>
      </c>
      <c r="B56" s="3" t="inlineStr">
        <is>
          <t>김밥나라 — W raw</t>
        </is>
      </c>
      <c r="D56" s="5" t="inlineStr">
        <is>
          <t>daily_ledger.py MERCHANTS w6</t>
        </is>
      </c>
      <c r="E56" s="9" t="n">
        <v>3.269323</v>
      </c>
      <c r="H56" s="5" t="inlineStr">
        <is>
          <t>daily_ledger.py</t>
        </is>
      </c>
    </row>
    <row r="57">
      <c r="A57" s="5" t="inlineStr">
        <is>
          <t>화면 표시값 원본</t>
        </is>
      </c>
      <c r="B57" s="3" t="inlineStr">
        <is>
          <t>김밥나라 — Ty수익율(%)</t>
        </is>
      </c>
      <c r="D57" s="5" t="inlineStr">
        <is>
          <t>ledger_facts.json merchants[2]</t>
        </is>
      </c>
      <c r="E57" s="6" t="n">
        <v>12.28</v>
      </c>
      <c r="H57" s="5" t="inlineStr">
        <is>
          <t>ledger_facts.json</t>
        </is>
      </c>
    </row>
    <row r="58">
      <c r="A58" s="5" t="inlineStr">
        <is>
          <t>화면 표시값 원본</t>
        </is>
      </c>
      <c r="B58" s="3" t="inlineStr">
        <is>
          <t>김밥나라 — S입금부족율(%)</t>
        </is>
      </c>
      <c r="D58" s="5" t="inlineStr">
        <is>
          <t>ledger_facts.json merchants[2]</t>
        </is>
      </c>
      <c r="E58" s="6" t="n">
        <v>0.09</v>
      </c>
      <c r="H58" s="5" t="inlineStr">
        <is>
          <t>ledger_facts.json</t>
        </is>
      </c>
    </row>
    <row r="59">
      <c r="A59" s="5" t="inlineStr">
        <is>
          <t>화면 표시값 원본</t>
        </is>
      </c>
      <c r="B59" s="3" t="inlineStr">
        <is>
          <t>김밥나라 — 비중(%)</t>
        </is>
      </c>
      <c r="D59" s="5" t="inlineStr">
        <is>
          <t>ledger_facts.json merchants[2]</t>
        </is>
      </c>
      <c r="E59" s="25" t="n">
        <v>14.8</v>
      </c>
      <c r="H59" s="5" t="inlineStr">
        <is>
          <t>ledger_facts.json</t>
        </is>
      </c>
    </row>
    <row r="60">
      <c r="A60" s="5" t="inlineStr">
        <is>
          <t>화면 표시값 원본</t>
        </is>
      </c>
      <c r="B60" s="3" t="inlineStr">
        <is>
          <t>골목냉면 — 투자실행액</t>
        </is>
      </c>
      <c r="D60" s="5" t="inlineStr">
        <is>
          <t>ledger_facts.json merchants[3]</t>
        </is>
      </c>
      <c r="E60" s="8" t="n">
        <v>9286833</v>
      </c>
      <c r="H60" s="5" t="inlineStr">
        <is>
          <t>ledger_facts.json</t>
        </is>
      </c>
    </row>
    <row r="61">
      <c r="A61" s="5" t="inlineStr">
        <is>
          <t>화면 표시값 원본</t>
        </is>
      </c>
      <c r="B61" s="3" t="inlineStr">
        <is>
          <t>골목냉면 — W</t>
        </is>
      </c>
      <c r="D61" s="5" t="inlineStr">
        <is>
          <t>ledger_facts.json merchants[3]</t>
        </is>
      </c>
      <c r="E61" s="6" t="n">
        <v>3.09</v>
      </c>
      <c r="H61" s="5" t="inlineStr">
        <is>
          <t>ledger_facts.json</t>
        </is>
      </c>
    </row>
    <row r="62">
      <c r="A62" s="5" t="inlineStr">
        <is>
          <t>화면 표시값 원본</t>
        </is>
      </c>
      <c r="B62" s="3" t="inlineStr">
        <is>
          <t>골목냉면 — W raw</t>
        </is>
      </c>
      <c r="D62" s="5" t="inlineStr">
        <is>
          <t>daily_ledger.py MERCHANTS w6</t>
        </is>
      </c>
      <c r="E62" s="9" t="n">
        <v>3.09034</v>
      </c>
      <c r="H62" s="5" t="inlineStr">
        <is>
          <t>daily_ledger.py</t>
        </is>
      </c>
    </row>
    <row r="63">
      <c r="A63" s="5" t="inlineStr">
        <is>
          <t>화면 표시값 원본</t>
        </is>
      </c>
      <c r="B63" s="3" t="inlineStr">
        <is>
          <t>골목냉면 — Ty수익율(%)</t>
        </is>
      </c>
      <c r="D63" s="5" t="inlineStr">
        <is>
          <t>ledger_facts.json merchants[3]</t>
        </is>
      </c>
      <c r="E63" s="6" t="n">
        <v>12.99</v>
      </c>
      <c r="H63" s="5" t="inlineStr">
        <is>
          <t>ledger_facts.json</t>
        </is>
      </c>
    </row>
    <row r="64">
      <c r="A64" s="5" t="inlineStr">
        <is>
          <t>화면 표시값 원본</t>
        </is>
      </c>
      <c r="B64" s="3" t="inlineStr">
        <is>
          <t>골목냉면 — S입금부족율(%)</t>
        </is>
      </c>
      <c r="D64" s="5" t="inlineStr">
        <is>
          <t>ledger_facts.json merchants[3]</t>
        </is>
      </c>
      <c r="E64" s="6" t="n">
        <v>0.08</v>
      </c>
      <c r="H64" s="5" t="inlineStr">
        <is>
          <t>ledger_facts.json</t>
        </is>
      </c>
    </row>
    <row r="65">
      <c r="A65" s="5" t="inlineStr">
        <is>
          <t>화면 표시값 원본</t>
        </is>
      </c>
      <c r="B65" s="3" t="inlineStr">
        <is>
          <t>골목냉면 — 비중(%)</t>
        </is>
      </c>
      <c r="D65" s="5" t="inlineStr">
        <is>
          <t>ledger_facts.json merchants[3]</t>
        </is>
      </c>
      <c r="E65" s="25" t="n">
        <v>11.6</v>
      </c>
      <c r="H65" s="5" t="inlineStr">
        <is>
          <t>ledger_facts.json</t>
        </is>
      </c>
    </row>
    <row r="66">
      <c r="A66" s="5" t="inlineStr">
        <is>
          <t>화면 표시값 원본</t>
        </is>
      </c>
      <c r="B66" s="3" t="inlineStr">
        <is>
          <t>달빛곱창 홍대점 — 투자실행액</t>
        </is>
      </c>
      <c r="D66" s="5" t="inlineStr">
        <is>
          <t>ledger_facts.json merchants[4]</t>
        </is>
      </c>
      <c r="E66" s="8" t="n">
        <v>7074838</v>
      </c>
      <c r="H66" s="5" t="inlineStr">
        <is>
          <t>ledger_facts.json</t>
        </is>
      </c>
    </row>
    <row r="67">
      <c r="A67" s="5" t="inlineStr">
        <is>
          <t>화면 표시값 원본</t>
        </is>
      </c>
      <c r="B67" s="3" t="inlineStr">
        <is>
          <t>달빛곱창 홍대점 — W</t>
        </is>
      </c>
      <c r="D67" s="5" t="inlineStr">
        <is>
          <t>ledger_facts.json merchants[4]</t>
        </is>
      </c>
      <c r="E67" s="6" t="n">
        <v>2.84</v>
      </c>
      <c r="H67" s="5" t="inlineStr">
        <is>
          <t>ledger_facts.json</t>
        </is>
      </c>
    </row>
    <row r="68">
      <c r="A68" s="5" t="inlineStr">
        <is>
          <t>화면 표시값 원본</t>
        </is>
      </c>
      <c r="B68" s="3" t="inlineStr">
        <is>
          <t>달빛곱창 홍대점 — W raw</t>
        </is>
      </c>
      <c r="D68" s="5" t="inlineStr">
        <is>
          <t>daily_ledger.py MERCHANTS w6</t>
        </is>
      </c>
      <c r="E68" s="9" t="n">
        <v>2.839762</v>
      </c>
      <c r="H68" s="5" t="inlineStr">
        <is>
          <t>daily_ledger.py</t>
        </is>
      </c>
    </row>
    <row r="69">
      <c r="A69" s="5" t="inlineStr">
        <is>
          <t>화면 표시값 원본</t>
        </is>
      </c>
      <c r="B69" s="3" t="inlineStr">
        <is>
          <t>달빛곱창 홍대점 — Ty수익율(%)</t>
        </is>
      </c>
      <c r="D69" s="5" t="inlineStr">
        <is>
          <t>ledger_facts.json merchants[4]</t>
        </is>
      </c>
      <c r="E69" s="6" t="n">
        <v>14.14</v>
      </c>
      <c r="H69" s="5" t="inlineStr">
        <is>
          <t>ledger_facts.json</t>
        </is>
      </c>
    </row>
    <row r="70">
      <c r="A70" s="5" t="inlineStr">
        <is>
          <t>화면 표시값 원본</t>
        </is>
      </c>
      <c r="B70" s="3" t="inlineStr">
        <is>
          <t>달빛곱창 홍대점 — S입금부족율(%)</t>
        </is>
      </c>
      <c r="D70" s="5" t="inlineStr">
        <is>
          <t>ledger_facts.json merchants[4]</t>
        </is>
      </c>
      <c r="E70" s="6" t="n">
        <v>0.06</v>
      </c>
      <c r="H70" s="5" t="inlineStr">
        <is>
          <t>ledger_facts.json</t>
        </is>
      </c>
    </row>
    <row r="71">
      <c r="A71" s="5" t="inlineStr">
        <is>
          <t>화면 표시값 원본</t>
        </is>
      </c>
      <c r="B71" s="3" t="inlineStr">
        <is>
          <t>달빛곱창 홍대점 — 비중(%)</t>
        </is>
      </c>
      <c r="D71" s="5" t="inlineStr">
        <is>
          <t>ledger_facts.json merchants[4]</t>
        </is>
      </c>
      <c r="E71" s="25" t="n">
        <v>8.800000000000001</v>
      </c>
      <c r="H71" s="5" t="inlineStr">
        <is>
          <t>ledger_facts.json</t>
        </is>
      </c>
    </row>
    <row r="72">
      <c r="A72" s="5" t="inlineStr">
        <is>
          <t>화면 표시값 원본</t>
        </is>
      </c>
      <c r="B72" s="3" t="inlineStr">
        <is>
          <t>청춘포차 신촌점 — 투자실행액</t>
        </is>
      </c>
      <c r="D72" s="5" t="inlineStr">
        <is>
          <t>ledger_facts.json merchants[5]</t>
        </is>
      </c>
      <c r="E72" s="8" t="n">
        <v>5624058</v>
      </c>
      <c r="H72" s="5" t="inlineStr">
        <is>
          <t>ledger_facts.json</t>
        </is>
      </c>
    </row>
    <row r="73">
      <c r="A73" s="5" t="inlineStr">
        <is>
          <t>화면 표시값 원본</t>
        </is>
      </c>
      <c r="B73" s="3" t="inlineStr">
        <is>
          <t>청춘포차 신촌점 — W</t>
        </is>
      </c>
      <c r="D73" s="5" t="inlineStr">
        <is>
          <t>ledger_facts.json merchants[5]</t>
        </is>
      </c>
      <c r="E73" s="6" t="n">
        <v>2.7</v>
      </c>
      <c r="H73" s="5" t="inlineStr">
        <is>
          <t>ledger_facts.json</t>
        </is>
      </c>
    </row>
    <row r="74">
      <c r="A74" s="5" t="inlineStr">
        <is>
          <t>화면 표시값 원본</t>
        </is>
      </c>
      <c r="B74" s="3" t="inlineStr">
        <is>
          <t>청춘포차 신촌점 — W raw</t>
        </is>
      </c>
      <c r="D74" s="5" t="inlineStr">
        <is>
          <t>daily_ledger.py MERCHANTS w6</t>
        </is>
      </c>
      <c r="E74" s="9" t="n">
        <v>2.696576</v>
      </c>
      <c r="H74" s="5" t="inlineStr">
        <is>
          <t>daily_ledger.py</t>
        </is>
      </c>
    </row>
    <row r="75">
      <c r="A75" s="5" t="inlineStr">
        <is>
          <t>화면 표시값 원본</t>
        </is>
      </c>
      <c r="B75" s="3" t="inlineStr">
        <is>
          <t>청춘포차 신촌점 — Ty수익율(%)</t>
        </is>
      </c>
      <c r="D75" s="5" t="inlineStr">
        <is>
          <t>ledger_facts.json merchants[5]</t>
        </is>
      </c>
      <c r="E75" s="6" t="n">
        <v>14.89</v>
      </c>
      <c r="H75" s="5" t="inlineStr">
        <is>
          <t>ledger_facts.json</t>
        </is>
      </c>
    </row>
    <row r="76">
      <c r="A76" s="5" t="inlineStr">
        <is>
          <t>화면 표시값 원본</t>
        </is>
      </c>
      <c r="B76" s="3" t="inlineStr">
        <is>
          <t>청춘포차 신촌점 — S입금부족율(%)</t>
        </is>
      </c>
      <c r="D76" s="5" t="inlineStr">
        <is>
          <t>ledger_facts.json merchants[5]</t>
        </is>
      </c>
      <c r="E76" s="6" t="n">
        <v>0.05</v>
      </c>
      <c r="H76" s="5" t="inlineStr">
        <is>
          <t>ledger_facts.json</t>
        </is>
      </c>
    </row>
    <row r="77">
      <c r="A77" s="5" t="inlineStr">
        <is>
          <t>화면 표시값 원본</t>
        </is>
      </c>
      <c r="B77" s="3" t="inlineStr">
        <is>
          <t>청춘포차 신촌점 — 비중(%)</t>
        </is>
      </c>
      <c r="D77" s="5" t="inlineStr">
        <is>
          <t>ledger_facts.json merchants[5]</t>
        </is>
      </c>
      <c r="E77" s="25" t="n">
        <v>7</v>
      </c>
      <c r="H77" s="5" t="inlineStr">
        <is>
          <t>ledger_facts.json</t>
        </is>
      </c>
    </row>
    <row r="78">
      <c r="A78" s="5" t="inlineStr">
        <is>
          <t>화면 표시값 원본</t>
        </is>
      </c>
      <c r="B78" s="3" t="inlineStr">
        <is>
          <t>바다마루 횟집 — 투자실행액</t>
        </is>
      </c>
      <c r="D78" s="5" t="inlineStr">
        <is>
          <t>ledger_facts.json merchants[6]</t>
        </is>
      </c>
      <c r="E78" s="8" t="n">
        <v>4799968</v>
      </c>
      <c r="H78" s="5" t="inlineStr">
        <is>
          <t>ledger_facts.json</t>
        </is>
      </c>
    </row>
    <row r="79">
      <c r="A79" s="5" t="inlineStr">
        <is>
          <t>화면 표시값 원본</t>
        </is>
      </c>
      <c r="B79" s="3" t="inlineStr">
        <is>
          <t>바다마루 횟집 — W</t>
        </is>
      </c>
      <c r="D79" s="5" t="inlineStr">
        <is>
          <t>ledger_facts.json merchants[6]</t>
        </is>
      </c>
      <c r="E79" s="6" t="n">
        <v>2.55</v>
      </c>
      <c r="H79" s="5" t="inlineStr">
        <is>
          <t>ledger_facts.json</t>
        </is>
      </c>
    </row>
    <row r="80">
      <c r="A80" s="5" t="inlineStr">
        <is>
          <t>화면 표시값 원본</t>
        </is>
      </c>
      <c r="B80" s="3" t="inlineStr">
        <is>
          <t>바다마루 횟집 — W raw</t>
        </is>
      </c>
      <c r="D80" s="5" t="inlineStr">
        <is>
          <t>daily_ledger.py MERCHANTS w6</t>
        </is>
      </c>
      <c r="E80" s="9" t="n">
        <v>2.553388</v>
      </c>
      <c r="H80" s="5" t="inlineStr">
        <is>
          <t>daily_ledger.py</t>
        </is>
      </c>
    </row>
    <row r="81">
      <c r="A81" s="5" t="inlineStr">
        <is>
          <t>화면 표시값 원본</t>
        </is>
      </c>
      <c r="B81" s="3" t="inlineStr">
        <is>
          <t>바다마루 횟집 — Ty수익율(%)</t>
        </is>
      </c>
      <c r="D81" s="5" t="inlineStr">
        <is>
          <t>ledger_facts.json merchants[6]</t>
        </is>
      </c>
      <c r="E81" s="6" t="n">
        <v>15.72</v>
      </c>
      <c r="H81" s="5" t="inlineStr">
        <is>
          <t>ledger_facts.json</t>
        </is>
      </c>
    </row>
    <row r="82">
      <c r="A82" s="5" t="inlineStr">
        <is>
          <t>화면 표시값 원본</t>
        </is>
      </c>
      <c r="B82" s="3" t="inlineStr">
        <is>
          <t>바다마루 횟집 — S입금부족율(%)</t>
        </is>
      </c>
      <c r="D82" s="5" t="inlineStr">
        <is>
          <t>ledger_facts.json merchants[6]</t>
        </is>
      </c>
      <c r="E82" s="6" t="n">
        <v>0.05</v>
      </c>
      <c r="H82" s="5" t="inlineStr">
        <is>
          <t>ledger_facts.json</t>
        </is>
      </c>
    </row>
    <row r="83">
      <c r="A83" s="5" t="inlineStr">
        <is>
          <t>화면 표시값 원본</t>
        </is>
      </c>
      <c r="B83" s="3" t="inlineStr">
        <is>
          <t>바다마루 횟집 — 비중(%)</t>
        </is>
      </c>
      <c r="D83" s="5" t="inlineStr">
        <is>
          <t>ledger_facts.json merchants[6]</t>
        </is>
      </c>
      <c r="E83" s="25" t="n">
        <v>6</v>
      </c>
      <c r="H83" s="5" t="inlineStr">
        <is>
          <t>ledger_facts.json</t>
        </is>
      </c>
    </row>
    <row r="84">
      <c r="A84" s="5" t="inlineStr">
        <is>
          <t>화면 표시값 원본</t>
        </is>
      </c>
      <c r="B84" s="3" t="inlineStr">
        <is>
          <t>한강커피 잠원점 — 투자실행액</t>
        </is>
      </c>
      <c r="D84" s="5" t="inlineStr">
        <is>
          <t>ledger_facts.json merchants[7]</t>
        </is>
      </c>
      <c r="E84" s="8" t="n">
        <v>3981371</v>
      </c>
      <c r="H84" s="5" t="inlineStr">
        <is>
          <t>ledger_facts.json</t>
        </is>
      </c>
    </row>
    <row r="85">
      <c r="A85" s="5" t="inlineStr">
        <is>
          <t>화면 표시값 원본</t>
        </is>
      </c>
      <c r="B85" s="3" t="inlineStr">
        <is>
          <t>한강커피 잠원점 — W</t>
        </is>
      </c>
      <c r="D85" s="5" t="inlineStr">
        <is>
          <t>ledger_facts.json merchants[7]</t>
        </is>
      </c>
      <c r="E85" s="6" t="n">
        <v>2.52</v>
      </c>
      <c r="H85" s="5" t="inlineStr">
        <is>
          <t>ledger_facts.json</t>
        </is>
      </c>
    </row>
    <row r="86">
      <c r="A86" s="5" t="inlineStr">
        <is>
          <t>화면 표시값 원본</t>
        </is>
      </c>
      <c r="B86" s="3" t="inlineStr">
        <is>
          <t>한강커피 잠원점 — W raw</t>
        </is>
      </c>
      <c r="D86" s="5" t="inlineStr">
        <is>
          <t>daily_ledger.py MERCHANTS w6</t>
        </is>
      </c>
      <c r="E86" s="9" t="n">
        <v>2.517593</v>
      </c>
      <c r="H86" s="5" t="inlineStr">
        <is>
          <t>daily_ledger.py</t>
        </is>
      </c>
    </row>
    <row r="87">
      <c r="A87" s="5" t="inlineStr">
        <is>
          <t>화면 표시값 원본</t>
        </is>
      </c>
      <c r="B87" s="3" t="inlineStr">
        <is>
          <t>한강커피 잠원점 — Ty수익율(%)</t>
        </is>
      </c>
      <c r="D87" s="5" t="inlineStr">
        <is>
          <t>ledger_facts.json merchants[7]</t>
        </is>
      </c>
      <c r="E87" s="6" t="n">
        <v>15.95</v>
      </c>
      <c r="H87" s="5" t="inlineStr">
        <is>
          <t>ledger_facts.json</t>
        </is>
      </c>
    </row>
    <row r="88">
      <c r="A88" s="5" t="inlineStr">
        <is>
          <t>화면 표시값 원본</t>
        </is>
      </c>
      <c r="B88" s="3" t="inlineStr">
        <is>
          <t>한강커피 잠원점 — S입금부족율(%)</t>
        </is>
      </c>
      <c r="D88" s="5" t="inlineStr">
        <is>
          <t>ledger_facts.json merchants[7]</t>
        </is>
      </c>
      <c r="E88" s="6" t="n">
        <v>0.04</v>
      </c>
      <c r="H88" s="5" t="inlineStr">
        <is>
          <t>ledger_facts.json</t>
        </is>
      </c>
    </row>
    <row r="89">
      <c r="A89" s="5" t="inlineStr">
        <is>
          <t>화면 표시값 원본</t>
        </is>
      </c>
      <c r="B89" s="3" t="inlineStr">
        <is>
          <t>한강커피 잠원점 — 비중(%)</t>
        </is>
      </c>
      <c r="D89" s="5" t="inlineStr">
        <is>
          <t>ledger_facts.json merchants[7]</t>
        </is>
      </c>
      <c r="E89" s="25" t="n">
        <v>5</v>
      </c>
      <c r="H89" s="5" t="inlineStr">
        <is>
          <t>ledger_facts.json</t>
        </is>
      </c>
    </row>
    <row r="90" ht="30" customHeight="1">
      <c r="A90" s="11" t="inlineStr">
        <is>
          <t>구분</t>
        </is>
      </c>
      <c r="B90" s="11" t="inlineStr">
        <is>
          <t>항목</t>
        </is>
      </c>
      <c r="C90" s="11" t="inlineStr">
        <is>
          <t>엑셀 값</t>
        </is>
      </c>
      <c r="D90" s="11" t="inlineStr">
        <is>
          <t>산출 경로</t>
        </is>
      </c>
      <c r="E90" s="11" t="inlineStr">
        <is>
          <t>화면 표시값</t>
        </is>
      </c>
      <c r="F90" s="11" t="inlineStr">
        <is>
          <t>차이</t>
        </is>
      </c>
      <c r="G90" s="11" t="inlineStr">
        <is>
          <t>판정</t>
        </is>
      </c>
      <c r="H90" s="11" t="inlineStr">
        <is>
          <t>출처</t>
        </is>
      </c>
    </row>
    <row r="91">
      <c r="A91" s="5" t="inlineStr">
        <is>
          <t>항등식</t>
        </is>
      </c>
      <c r="B91" s="3" t="inlineStr">
        <is>
          <t>좌변 — 투자실행액 (채권 미회수 Σ Ai)</t>
        </is>
      </c>
      <c r="C91" s="8">
        <f>기간집계!B38</f>
        <v/>
      </c>
      <c r="D91" s="5" t="inlineStr">
        <is>
          <t>기간집계 B38</t>
        </is>
      </c>
      <c r="E91" s="2">
        <f>가맹점!B18</f>
        <v/>
      </c>
      <c r="F91" s="2">
        <f>IFERROR(C91-E91,"")</f>
        <v/>
      </c>
      <c r="G91" s="5">
        <f>IFERROR(IF(ABS(F91)&lt;=0.5,"일치","차이"),"")</f>
        <v/>
      </c>
      <c r="H91" s="5" t="inlineStr">
        <is>
          <t>우변 — 하루 선정산액 합계 x (1-r) x W. 채권 시트의 미회수 건수는 기본 조합에서 푼 정수라 스위치 ③④를 바꾸면 좌변이 그만큼 어긋난다.</t>
        </is>
      </c>
    </row>
    <row r="92">
      <c r="A92" s="5" t="inlineStr">
        <is>
          <t>불변식</t>
        </is>
      </c>
      <c r="B92" s="3" t="inlineStr">
        <is>
          <t>투자실행액</t>
        </is>
      </c>
      <c r="C92" s="8">
        <f>기간집계!B44</f>
        <v/>
      </c>
      <c r="D92" s="5" t="inlineStr">
        <is>
          <t>기간집계 B44</t>
        </is>
      </c>
      <c r="E92" s="2">
        <f>$E$2</f>
        <v/>
      </c>
      <c r="F92" s="2">
        <f>IFERROR(C92-E92,"")</f>
        <v/>
      </c>
      <c r="G92" s="5">
        <f>IFERROR(IF(ABS(F92)&lt;=0.5,"일치","차이"),"")</f>
        <v/>
      </c>
      <c r="H92" s="5" t="inlineStr">
        <is>
          <t>화면대조 E2</t>
        </is>
      </c>
    </row>
    <row r="93">
      <c r="A93" s="5" t="inlineStr">
        <is>
          <t>불변식</t>
        </is>
      </c>
      <c r="B93" s="3" t="inlineStr">
        <is>
          <t>순현금</t>
        </is>
      </c>
      <c r="C93" s="8">
        <f>기간집계!B45</f>
        <v/>
      </c>
      <c r="D93" s="5" t="inlineStr">
        <is>
          <t>기간집계 B45</t>
        </is>
      </c>
      <c r="E93" s="2">
        <f>$E$3</f>
        <v/>
      </c>
      <c r="F93" s="2">
        <f>IFERROR(C93-E93,"")</f>
        <v/>
      </c>
      <c r="G93" s="5">
        <f>IFERROR(IF(ABS(F93)&lt;=0.5,"일치","차이"),"")</f>
        <v/>
      </c>
      <c r="H93" s="5" t="inlineStr">
        <is>
          <t>화면대조 E3</t>
        </is>
      </c>
    </row>
    <row r="94">
      <c r="A94" s="5" t="inlineStr">
        <is>
          <t>불변식</t>
        </is>
      </c>
      <c r="B94" s="3" t="inlineStr">
        <is>
          <t>투자자산</t>
        </is>
      </c>
      <c r="C94" s="8">
        <f>기간집계!B46</f>
        <v/>
      </c>
      <c r="D94" s="5" t="inlineStr">
        <is>
          <t>기간집계 B46</t>
        </is>
      </c>
      <c r="E94" s="2">
        <f>$E$4</f>
        <v/>
      </c>
      <c r="F94" s="2">
        <f>IFERROR(C94-E94,"")</f>
        <v/>
      </c>
      <c r="G94" s="5">
        <f>IFERROR(IF(ABS(F94)&lt;=0.5,"일치","차이"),"")</f>
        <v/>
      </c>
      <c r="H94" s="5" t="inlineStr">
        <is>
          <t>화면대조 E4</t>
        </is>
      </c>
    </row>
    <row r="95">
      <c r="A95" s="5" t="inlineStr">
        <is>
          <t>불변식</t>
        </is>
      </c>
      <c r="B95" s="3" t="inlineStr">
        <is>
          <t>투자실행액 비중(%)</t>
        </is>
      </c>
      <c r="C95" s="25">
        <f>ROUND(기간집계!B47*100,1)</f>
        <v/>
      </c>
      <c r="D95" s="5" t="inlineStr">
        <is>
          <t>기간집계 B47</t>
        </is>
      </c>
      <c r="E95" s="24">
        <f>$E$5</f>
        <v/>
      </c>
      <c r="F95" s="24">
        <f>IFERROR(C95-E95,"")</f>
        <v/>
      </c>
      <c r="G95" s="5">
        <f>IFERROR(IF(ABS(F95)&lt;=0.005,"일치","차이"),"")</f>
        <v/>
      </c>
      <c r="H95" s="5" t="inlineStr">
        <is>
          <t>화면대조 E5</t>
        </is>
      </c>
    </row>
    <row r="96">
      <c r="A96" s="5" t="inlineStr">
        <is>
          <t>불변식</t>
        </is>
      </c>
      <c r="B96" s="3" t="inlineStr">
        <is>
          <t>순현금 비중(%)</t>
        </is>
      </c>
      <c r="C96" s="25">
        <f>ROUND(기간집계!B48*100,1)</f>
        <v/>
      </c>
      <c r="D96" s="5" t="inlineStr">
        <is>
          <t>기간집계 B48</t>
        </is>
      </c>
      <c r="E96" s="24">
        <f>$E$6</f>
        <v/>
      </c>
      <c r="F96" s="24">
        <f>IFERROR(C96-E96,"")</f>
        <v/>
      </c>
      <c r="G96" s="5">
        <f>IFERROR(IF(ABS(F96)&lt;=0.005,"일치","차이"),"")</f>
        <v/>
      </c>
      <c r="H96" s="5" t="inlineStr">
        <is>
          <t>화면대조 E6</t>
        </is>
      </c>
    </row>
    <row r="97">
      <c r="A97" s="5" t="inlineStr">
        <is>
          <t>불변식</t>
        </is>
      </c>
      <c r="B97" s="3" t="inlineStr">
        <is>
          <t>W금융일수 (표기)</t>
        </is>
      </c>
      <c r="C97" s="6">
        <f>기간집계!B42</f>
        <v/>
      </c>
      <c r="D97" s="5" t="inlineStr">
        <is>
          <t>기간집계 B42</t>
        </is>
      </c>
      <c r="E97" s="7">
        <f>$E$8</f>
        <v/>
      </c>
      <c r="F97" s="7">
        <f>IFERROR(C97-E97,"")</f>
        <v/>
      </c>
      <c r="G97" s="5">
        <f>IFERROR(IF(ABS(F97)&lt;=0.0005,"일치","차이"),"")</f>
        <v/>
      </c>
      <c r="H97" s="5" t="inlineStr">
        <is>
          <t>화면대조 E8</t>
        </is>
      </c>
    </row>
    <row r="98">
      <c r="A98" s="5" t="inlineStr">
        <is>
          <t>불변식</t>
        </is>
      </c>
      <c r="B98" s="3" t="inlineStr">
        <is>
          <t>W금융일수 (raw · 소수 6자리)</t>
        </is>
      </c>
      <c r="C98" s="9">
        <f>ROUND(기간집계!B41,6)</f>
        <v/>
      </c>
      <c r="D98" s="5" t="inlineStr">
        <is>
          <t>기간집계 B41</t>
        </is>
      </c>
      <c r="E98" s="10">
        <f>$E$7</f>
        <v/>
      </c>
      <c r="F98" s="10">
        <f>IFERROR(C98-E98,"")</f>
        <v/>
      </c>
      <c r="G98" s="5">
        <f>IFERROR(IF(ABS(F98)&lt;=5e-07,"일치","차이"),"")</f>
        <v/>
      </c>
      <c r="H98" s="5" t="inlineStr">
        <is>
          <t>화면대조 E7</t>
        </is>
      </c>
    </row>
    <row r="99">
      <c r="A99" s="5" t="inlineStr">
        <is>
          <t>불변식</t>
        </is>
      </c>
      <c r="B99" s="3" t="inlineStr">
        <is>
          <t>Ty수익율(%)</t>
        </is>
      </c>
      <c r="C99" s="6">
        <f>기간집계!B43</f>
        <v/>
      </c>
      <c r="D99" s="5" t="inlineStr">
        <is>
          <t>기간집계 B43</t>
        </is>
      </c>
      <c r="E99" s="7">
        <f>$E$9</f>
        <v/>
      </c>
      <c r="F99" s="7">
        <f>IFERROR(C99-E99,"")</f>
        <v/>
      </c>
      <c r="G99" s="5">
        <f>IFERROR(IF(ABS(F99)&lt;=0.005,"일치","차이"),"")</f>
        <v/>
      </c>
      <c r="H99" s="5" t="inlineStr">
        <is>
          <t>화면대조 E9</t>
        </is>
      </c>
    </row>
    <row r="100">
      <c r="A100" s="5" t="inlineStr">
        <is>
          <t>불변식</t>
        </is>
      </c>
      <c r="B100" s="3" t="inlineStr">
        <is>
          <t>로스터 건수</t>
        </is>
      </c>
      <c r="C100" s="8">
        <f>가맹점!B19</f>
        <v/>
      </c>
      <c r="D100" s="5" t="inlineStr">
        <is>
          <t>가맹점 B19</t>
        </is>
      </c>
      <c r="E100" s="2">
        <f>$E$19</f>
        <v/>
      </c>
      <c r="F100" s="2">
        <f>IFERROR(C100-E100,"")</f>
        <v/>
      </c>
      <c r="G100" s="5">
        <f>IFERROR(IF(ABS(F100)&lt;=0.5,"일치","차이"),"")</f>
        <v/>
      </c>
      <c r="H100" s="5" t="inlineStr">
        <is>
          <t>화면대조 E19</t>
        </is>
      </c>
    </row>
    <row r="101">
      <c r="A101" s="5" t="inlineStr">
        <is>
          <t>불변식</t>
        </is>
      </c>
      <c r="B101" s="3" t="inlineStr">
        <is>
          <t>서명 대기 건수</t>
        </is>
      </c>
      <c r="C101" s="8">
        <f>COUNTIF(계약상태범위,"서명 대기")</f>
        <v/>
      </c>
      <c r="D101" s="5" t="inlineStr">
        <is>
          <t>입력 J열</t>
        </is>
      </c>
      <c r="E101" s="2">
        <f>$E$20</f>
        <v/>
      </c>
      <c r="F101" s="2">
        <f>IFERROR(C101-E101,"")</f>
        <v/>
      </c>
      <c r="G101" s="5">
        <f>IFERROR(IF(ABS(F101)&lt;=0.5,"일치","차이"),"")</f>
        <v/>
      </c>
      <c r="H101" s="5" t="inlineStr">
        <is>
          <t>화면대조 E20</t>
        </is>
      </c>
    </row>
    <row r="102">
      <c r="A102" s="5" t="inlineStr">
        <is>
          <t>불변식</t>
        </is>
      </c>
      <c r="B102" s="3" t="inlineStr">
        <is>
          <t>비중 합(%)</t>
        </is>
      </c>
      <c r="C102" s="25">
        <f>SUM(가맹점!AC2:AC9)</f>
        <v/>
      </c>
      <c r="D102" s="5" t="inlineStr">
        <is>
          <t>가맹점 AC열 (최대잉여법)</t>
        </is>
      </c>
      <c r="E102" s="24" t="n">
        <v>100</v>
      </c>
      <c r="F102" s="24">
        <f>IFERROR(C102-E102,"")</f>
        <v/>
      </c>
      <c r="G102" s="5">
        <f>IFERROR(IF(ABS(F102)&lt;=0.005,"일치","차이"),"")</f>
        <v/>
      </c>
      <c r="H102" s="5" t="inlineStr">
        <is>
          <t>비중 합 100.0 불변</t>
        </is>
      </c>
    </row>
    <row r="103">
      <c r="A103" s="5" t="inlineStr">
        <is>
          <t>불변식</t>
        </is>
      </c>
      <c r="B103" s="3" t="inlineStr">
        <is>
          <t>채권 Di 최소</t>
        </is>
      </c>
      <c r="C103" s="8">
        <f>MIN(채권!$H$2:$H$1281)</f>
        <v/>
      </c>
      <c r="D103" s="5" t="inlineStr">
        <is>
          <t>채권 H열</t>
        </is>
      </c>
      <c r="E103" s="2">
        <f>$E$17</f>
        <v/>
      </c>
      <c r="F103" s="2">
        <f>IFERROR(C103-E103,"")</f>
        <v/>
      </c>
      <c r="G103" s="5">
        <f>IFERROR(IF(ABS(F103)&lt;=0.5,"일치","차이"),"")</f>
        <v/>
      </c>
      <c r="H103" s="5" t="inlineStr">
        <is>
          <t>화면대조 E17</t>
        </is>
      </c>
    </row>
    <row r="104">
      <c r="A104" s="5" t="inlineStr">
        <is>
          <t>불변식</t>
        </is>
      </c>
      <c r="B104" s="3" t="inlineStr">
        <is>
          <t>채권 Di 최대</t>
        </is>
      </c>
      <c r="C104" s="8">
        <f>MAX(채권!$H$2:$H$1281)</f>
        <v/>
      </c>
      <c r="D104" s="5" t="inlineStr">
        <is>
          <t>채권 H열</t>
        </is>
      </c>
      <c r="E104" s="2">
        <f>$E$18</f>
        <v/>
      </c>
      <c r="F104" s="2">
        <f>IFERROR(C104-E104,"")</f>
        <v/>
      </c>
      <c r="G104" s="5">
        <f>IFERROR(IF(ABS(F104)&lt;=0.5,"일치","차이"),"")</f>
        <v/>
      </c>
      <c r="H104" s="5" t="inlineStr">
        <is>
          <t>화면대조 E18</t>
        </is>
      </c>
    </row>
    <row r="105">
      <c r="A105" s="5" t="inlineStr">
        <is>
          <t>불변식</t>
        </is>
      </c>
      <c r="B105" s="3" t="inlineStr">
        <is>
          <t>플랫폼 구성비 합</t>
        </is>
      </c>
      <c r="C105" s="14">
        <f>SUM(구성비범위)</f>
        <v/>
      </c>
      <c r="D105" s="5" t="inlineStr">
        <is>
          <t>입력 C28:C31</t>
        </is>
      </c>
      <c r="E105" s="17" t="n">
        <v>1</v>
      </c>
      <c r="F105" s="17">
        <f>IFERROR(C105-E105,"")</f>
        <v/>
      </c>
      <c r="G105" s="5">
        <f>IFERROR(IF(ABS(F105)&lt;=1e-07,"일치","차이"),"")</f>
        <v/>
      </c>
      <c r="H105" s="5" t="inlineStr">
        <is>
          <t>합 1 (구성상)</t>
        </is>
      </c>
    </row>
    <row r="106">
      <c r="A106" s="5" t="inlineStr">
        <is>
          <t>교차</t>
        </is>
      </c>
      <c r="B106" s="3" t="inlineStr">
        <is>
          <t>미회수 잔량 W — 채권 vs 도수표</t>
        </is>
      </c>
      <c r="C106" s="9">
        <f>기간집계!B40</f>
        <v/>
      </c>
      <c r="D106" s="5" t="inlineStr">
        <is>
          <t>기간집계 B40</t>
        </is>
      </c>
      <c r="E106" s="10">
        <f>플랫폼!B21</f>
        <v/>
      </c>
      <c r="F106" s="10">
        <f>IFERROR(C106-E106,"")</f>
        <v/>
      </c>
      <c r="G106" s="5">
        <f>IFERROR(IF(ABS(F106)&lt;=0.0005,"일치","차이"),"")</f>
        <v/>
      </c>
      <c r="H106" s="5" t="inlineStr">
        <is>
          <t>플랫폼 B21 = 가중 E[d²] / W</t>
        </is>
      </c>
    </row>
    <row r="107">
      <c r="A107" s="5" t="inlineStr">
        <is>
          <t>교차</t>
        </is>
      </c>
      <c r="B107" s="3" t="inlineStr">
        <is>
          <t>미회수 잔량 Ty(%)</t>
        </is>
      </c>
      <c r="C107" s="6">
        <f>기간집계!B56</f>
        <v/>
      </c>
      <c r="D107" s="5" t="inlineStr">
        <is>
          <t>기간집계 B56</t>
        </is>
      </c>
      <c r="E107" s="7">
        <f>'가중치 대조'!C21</f>
        <v/>
      </c>
      <c r="F107" s="7">
        <f>IFERROR(C107-E107,"")</f>
        <v/>
      </c>
      <c r="G107" s="5">
        <f>IFERROR(IF(ABS(F107)&lt;=0.02,"일치","차이"),"")</f>
        <v/>
      </c>
      <c r="H107" s="5" t="inlineStr">
        <is>
          <t>가중치 대조 C21</t>
        </is>
      </c>
    </row>
    <row r="108">
      <c r="A108" s="5" t="inlineStr">
        <is>
          <t>교차</t>
        </is>
      </c>
      <c r="B108" s="3" t="inlineStr">
        <is>
          <t>W금융일수 — 구성비 x 평균 금융일수</t>
        </is>
      </c>
      <c r="C108" s="9">
        <f>플랫폼!B17</f>
        <v/>
      </c>
      <c r="D108" s="5" t="inlineStr">
        <is>
          <t>플랫폼 B17</t>
        </is>
      </c>
      <c r="E108" s="10">
        <f>$E$7</f>
        <v/>
      </c>
      <c r="F108" s="10">
        <f>IFERROR(C108-E108,"")</f>
        <v/>
      </c>
      <c r="G108" s="5">
        <f>IFERROR(IF(ABS(F108)&lt;=5e-07,"일치","차이"),"")</f>
        <v/>
      </c>
      <c r="H108" s="5" t="inlineStr">
        <is>
          <t>화면대조 E7</t>
        </is>
      </c>
    </row>
    <row r="109">
      <c r="A109" s="5" t="inlineStr">
        <is>
          <t>교차</t>
        </is>
      </c>
      <c r="B109" s="3" t="inlineStr">
        <is>
          <t>로스터 금액가중 구성비 — 카드</t>
        </is>
      </c>
      <c r="C109" s="14">
        <f>가맹점!B28</f>
        <v/>
      </c>
      <c r="D109" s="5" t="inlineStr">
        <is>
          <t>가맹점 B28</t>
        </is>
      </c>
      <c r="E109" s="17">
        <f>INDEX(구성비범위,1)</f>
        <v/>
      </c>
      <c r="F109" s="17">
        <f>IFERROR(C109-E109,"")</f>
        <v/>
      </c>
      <c r="G109" s="5">
        <f>IFERROR(IF(ABS(F109)&lt;=1e-07,"일치","차이"),"")</f>
        <v/>
      </c>
      <c r="H109" s="5" t="inlineStr">
        <is>
          <t>입력 C28</t>
        </is>
      </c>
    </row>
    <row r="110">
      <c r="A110" s="5" t="inlineStr">
        <is>
          <t>불변식</t>
        </is>
      </c>
      <c r="B110" s="3" t="inlineStr">
        <is>
          <t>S입금부족율(%)</t>
        </is>
      </c>
      <c r="C110" s="6">
        <f>ROUND(기간집계!B51,2)</f>
        <v/>
      </c>
      <c r="D110" s="5" t="inlineStr">
        <is>
          <t>기간집계 B51</t>
        </is>
      </c>
      <c r="E110" s="7">
        <f>$E$11</f>
        <v/>
      </c>
      <c r="F110" s="7">
        <f>IFERROR(C110-E110,"")</f>
        <v/>
      </c>
      <c r="G110" s="5">
        <f>IFERROR(IF(ABS(F110)&lt;=0.005,"일치","차이"),"")</f>
        <v/>
      </c>
      <c r="H110" s="5" t="inlineStr">
        <is>
          <t>화면대조 E11</t>
        </is>
      </c>
    </row>
    <row r="111">
      <c r="A111" s="5" t="inlineStr">
        <is>
          <t>불변식</t>
        </is>
      </c>
      <c r="B111" s="3" t="inlineStr">
        <is>
          <t>투자실행액 = 입력 목표</t>
        </is>
      </c>
      <c r="C111" s="8">
        <f>기간집계!B44</f>
        <v/>
      </c>
      <c r="D111" s="5" t="inlineStr">
        <is>
          <t>기간집계 B44</t>
        </is>
      </c>
      <c r="E111" s="2">
        <f>투자실행액목표</f>
        <v/>
      </c>
      <c r="F111" s="2">
        <f>IFERROR(C111-E111,"")</f>
        <v/>
      </c>
      <c r="G111" s="5">
        <f>IFERROR(IF(ABS(F111)&lt;=0.5,"일치","차이"),"")</f>
        <v/>
      </c>
      <c r="H111" s="5" t="inlineStr">
        <is>
          <t>입력 C7 = C5 - C8</t>
        </is>
      </c>
    </row>
    <row r="112">
      <c r="A112" s="5" t="inlineStr">
        <is>
          <t>불변식</t>
        </is>
      </c>
      <c r="B112" s="3" t="inlineStr">
        <is>
          <t>투자자산 = 총 투자자산</t>
        </is>
      </c>
      <c r="C112" s="8">
        <f>기간집계!B46</f>
        <v/>
      </c>
      <c r="D112" s="5" t="inlineStr">
        <is>
          <t>기간집계 B46</t>
        </is>
      </c>
      <c r="E112" s="2">
        <f>총투자자산</f>
        <v/>
      </c>
      <c r="F112" s="2">
        <f>IFERROR(C112-E112,"")</f>
        <v/>
      </c>
      <c r="G112" s="5">
        <f>IFERROR(IF(ABS(F112)&lt;=0.5,"일치","차이"),"")</f>
        <v/>
      </c>
      <c r="H112" s="5" t="inlineStr">
        <is>
          <t>입력 C5</t>
        </is>
      </c>
    </row>
    <row r="113">
      <c r="A113" s="5" t="inlineStr">
        <is>
          <t>가맹점</t>
        </is>
      </c>
      <c r="B113" s="3" t="inlineStr">
        <is>
          <t>김성호떡볶이 본점 — W 표기</t>
        </is>
      </c>
      <c r="C113" s="6">
        <f>가맹점!T2</f>
        <v/>
      </c>
      <c r="D113" s="5" t="inlineStr">
        <is>
          <t>가맹점 T2</t>
        </is>
      </c>
      <c r="E113" s="7">
        <f>$E$43</f>
        <v/>
      </c>
      <c r="F113" s="7">
        <f>IFERROR(C113-E113,"")</f>
        <v/>
      </c>
      <c r="G113" s="5">
        <f>IFERROR(IF(ABS(F113)&lt;=0.0005,"일치","차이"),"")</f>
        <v/>
      </c>
      <c r="H113" s="5" t="inlineStr">
        <is>
          <t>화면대조 E43</t>
        </is>
      </c>
    </row>
    <row r="114">
      <c r="A114" s="5" t="inlineStr">
        <is>
          <t>가맹점</t>
        </is>
      </c>
      <c r="B114" s="3" t="inlineStr">
        <is>
          <t>초록치킨 서초점 — W 표기</t>
        </is>
      </c>
      <c r="C114" s="6">
        <f>가맹점!T3</f>
        <v/>
      </c>
      <c r="D114" s="5" t="inlineStr">
        <is>
          <t>가맹점 T3</t>
        </is>
      </c>
      <c r="E114" s="7">
        <f>$E$49</f>
        <v/>
      </c>
      <c r="F114" s="7">
        <f>IFERROR(C114-E114,"")</f>
        <v/>
      </c>
      <c r="G114" s="5">
        <f>IFERROR(IF(ABS(F114)&lt;=0.0005,"일치","차이"),"")</f>
        <v/>
      </c>
      <c r="H114" s="5" t="inlineStr">
        <is>
          <t>화면대조 E49</t>
        </is>
      </c>
    </row>
    <row r="115">
      <c r="A115" s="5" t="inlineStr">
        <is>
          <t>가맹점</t>
        </is>
      </c>
      <c r="B115" s="3" t="inlineStr">
        <is>
          <t>김밥나라 — W 표기</t>
        </is>
      </c>
      <c r="C115" s="6">
        <f>가맹점!T4</f>
        <v/>
      </c>
      <c r="D115" s="5" t="inlineStr">
        <is>
          <t>가맹점 T4</t>
        </is>
      </c>
      <c r="E115" s="7">
        <f>$E$55</f>
        <v/>
      </c>
      <c r="F115" s="7">
        <f>IFERROR(C115-E115,"")</f>
        <v/>
      </c>
      <c r="G115" s="5">
        <f>IFERROR(IF(ABS(F115)&lt;=0.0005,"일치","차이"),"")</f>
        <v/>
      </c>
      <c r="H115" s="5" t="inlineStr">
        <is>
          <t>화면대조 E55</t>
        </is>
      </c>
    </row>
    <row r="116">
      <c r="A116" s="5" t="inlineStr">
        <is>
          <t>가맹점</t>
        </is>
      </c>
      <c r="B116" s="3" t="inlineStr">
        <is>
          <t>골목냉면 — W 표기</t>
        </is>
      </c>
      <c r="C116" s="6">
        <f>가맹점!T5</f>
        <v/>
      </c>
      <c r="D116" s="5" t="inlineStr">
        <is>
          <t>가맹점 T5</t>
        </is>
      </c>
      <c r="E116" s="7">
        <f>$E$61</f>
        <v/>
      </c>
      <c r="F116" s="7">
        <f>IFERROR(C116-E116,"")</f>
        <v/>
      </c>
      <c r="G116" s="5">
        <f>IFERROR(IF(ABS(F116)&lt;=0.0005,"일치","차이"),"")</f>
        <v/>
      </c>
      <c r="H116" s="5" t="inlineStr">
        <is>
          <t>화면대조 E61</t>
        </is>
      </c>
    </row>
    <row r="117">
      <c r="A117" s="5" t="inlineStr">
        <is>
          <t>가맹점</t>
        </is>
      </c>
      <c r="B117" s="3" t="inlineStr">
        <is>
          <t>달빛곱창 홍대점 — W 표기</t>
        </is>
      </c>
      <c r="C117" s="6">
        <f>가맹점!T6</f>
        <v/>
      </c>
      <c r="D117" s="5" t="inlineStr">
        <is>
          <t>가맹점 T6</t>
        </is>
      </c>
      <c r="E117" s="7">
        <f>$E$67</f>
        <v/>
      </c>
      <c r="F117" s="7">
        <f>IFERROR(C117-E117,"")</f>
        <v/>
      </c>
      <c r="G117" s="5">
        <f>IFERROR(IF(ABS(F117)&lt;=0.0005,"일치","차이"),"")</f>
        <v/>
      </c>
      <c r="H117" s="5" t="inlineStr">
        <is>
          <t>화면대조 E67</t>
        </is>
      </c>
    </row>
    <row r="118">
      <c r="A118" s="5" t="inlineStr">
        <is>
          <t>가맹점</t>
        </is>
      </c>
      <c r="B118" s="3" t="inlineStr">
        <is>
          <t>청춘포차 신촌점 — W 표기</t>
        </is>
      </c>
      <c r="C118" s="6">
        <f>가맹점!T7</f>
        <v/>
      </c>
      <c r="D118" s="5" t="inlineStr">
        <is>
          <t>가맹점 T7</t>
        </is>
      </c>
      <c r="E118" s="7">
        <f>$E$73</f>
        <v/>
      </c>
      <c r="F118" s="7">
        <f>IFERROR(C118-E118,"")</f>
        <v/>
      </c>
      <c r="G118" s="5">
        <f>IFERROR(IF(ABS(F118)&lt;=0.0005,"일치","차이"),"")</f>
        <v/>
      </c>
      <c r="H118" s="5" t="inlineStr">
        <is>
          <t>화면대조 E73</t>
        </is>
      </c>
    </row>
    <row r="119">
      <c r="A119" s="5" t="inlineStr">
        <is>
          <t>가맹점</t>
        </is>
      </c>
      <c r="B119" s="3" t="inlineStr">
        <is>
          <t>바다마루 횟집 — W 표기</t>
        </is>
      </c>
      <c r="C119" s="6">
        <f>가맹점!T8</f>
        <v/>
      </c>
      <c r="D119" s="5" t="inlineStr">
        <is>
          <t>가맹점 T8</t>
        </is>
      </c>
      <c r="E119" s="7">
        <f>$E$79</f>
        <v/>
      </c>
      <c r="F119" s="7">
        <f>IFERROR(C119-E119,"")</f>
        <v/>
      </c>
      <c r="G119" s="5">
        <f>IFERROR(IF(ABS(F119)&lt;=0.0005,"일치","차이"),"")</f>
        <v/>
      </c>
      <c r="H119" s="5" t="inlineStr">
        <is>
          <t>화면대조 E79</t>
        </is>
      </c>
    </row>
    <row r="120">
      <c r="A120" s="5" t="inlineStr">
        <is>
          <t>가맹점</t>
        </is>
      </c>
      <c r="B120" s="3" t="inlineStr">
        <is>
          <t>한강커피 잠원점 — W 표기</t>
        </is>
      </c>
      <c r="C120" s="6">
        <f>가맹점!T9</f>
        <v/>
      </c>
      <c r="D120" s="5" t="inlineStr">
        <is>
          <t>가맹점 T9</t>
        </is>
      </c>
      <c r="E120" s="7">
        <f>$E$85</f>
        <v/>
      </c>
      <c r="F120" s="7">
        <f>IFERROR(C120-E120,"")</f>
        <v/>
      </c>
      <c r="G120" s="5">
        <f>IFERROR(IF(ABS(F120)&lt;=0.0005,"일치","차이"),"")</f>
        <v/>
      </c>
      <c r="H120" s="5" t="inlineStr">
        <is>
          <t>화면대조 E85</t>
        </is>
      </c>
    </row>
    <row r="121">
      <c r="A121" s="5" t="inlineStr">
        <is>
          <t>가맹점</t>
        </is>
      </c>
      <c r="B121" s="3" t="inlineStr">
        <is>
          <t>김성호떡볶이 본점 — S입금부족율(%)</t>
        </is>
      </c>
      <c r="C121" s="6">
        <f>ROUND(가맹점!W2,2)</f>
        <v/>
      </c>
      <c r="D121" s="5" t="inlineStr">
        <is>
          <t>가맹점 W2</t>
        </is>
      </c>
      <c r="E121" s="7">
        <f>$E$46</f>
        <v/>
      </c>
      <c r="F121" s="7">
        <f>IFERROR(C121-E121,"")</f>
        <v/>
      </c>
      <c r="G121" s="5">
        <f>IFERROR(IF(ABS(F121)&lt;=0.005,"일치","차이"),"")</f>
        <v/>
      </c>
      <c r="H121" s="5" t="inlineStr">
        <is>
          <t>화면대조 E46</t>
        </is>
      </c>
    </row>
    <row r="122">
      <c r="A122" s="5" t="inlineStr">
        <is>
          <t>가맹점</t>
        </is>
      </c>
      <c r="B122" s="3" t="inlineStr">
        <is>
          <t>초록치킨 서초점 — S입금부족율(%)</t>
        </is>
      </c>
      <c r="C122" s="6">
        <f>ROUND(가맹점!W3,2)</f>
        <v/>
      </c>
      <c r="D122" s="5" t="inlineStr">
        <is>
          <t>가맹점 W3</t>
        </is>
      </c>
      <c r="E122" s="7">
        <f>$E$52</f>
        <v/>
      </c>
      <c r="F122" s="7">
        <f>IFERROR(C122-E122,"")</f>
        <v/>
      </c>
      <c r="G122" s="5">
        <f>IFERROR(IF(ABS(F122)&lt;=0.005,"일치","차이"),"")</f>
        <v/>
      </c>
      <c r="H122" s="5" t="inlineStr">
        <is>
          <t>화면대조 E52</t>
        </is>
      </c>
    </row>
    <row r="123">
      <c r="A123" s="5" t="inlineStr">
        <is>
          <t>가맹점</t>
        </is>
      </c>
      <c r="B123" s="3" t="inlineStr">
        <is>
          <t>김밥나라 — S입금부족율(%)</t>
        </is>
      </c>
      <c r="C123" s="6">
        <f>ROUND(가맹점!W4,2)</f>
        <v/>
      </c>
      <c r="D123" s="5" t="inlineStr">
        <is>
          <t>가맹점 W4</t>
        </is>
      </c>
      <c r="E123" s="7">
        <f>$E$58</f>
        <v/>
      </c>
      <c r="F123" s="7">
        <f>IFERROR(C123-E123,"")</f>
        <v/>
      </c>
      <c r="G123" s="5">
        <f>IFERROR(IF(ABS(F123)&lt;=0.005,"일치","차이"),"")</f>
        <v/>
      </c>
      <c r="H123" s="5" t="inlineStr">
        <is>
          <t>화면대조 E58</t>
        </is>
      </c>
    </row>
    <row r="124">
      <c r="A124" s="5" t="inlineStr">
        <is>
          <t>가맹점</t>
        </is>
      </c>
      <c r="B124" s="3" t="inlineStr">
        <is>
          <t>골목냉면 — S입금부족율(%)</t>
        </is>
      </c>
      <c r="C124" s="6">
        <f>ROUND(가맹점!W5,2)</f>
        <v/>
      </c>
      <c r="D124" s="5" t="inlineStr">
        <is>
          <t>가맹점 W5</t>
        </is>
      </c>
      <c r="E124" s="7">
        <f>$E$64</f>
        <v/>
      </c>
      <c r="F124" s="7">
        <f>IFERROR(C124-E124,"")</f>
        <v/>
      </c>
      <c r="G124" s="5">
        <f>IFERROR(IF(ABS(F124)&lt;=0.005,"일치","차이"),"")</f>
        <v/>
      </c>
      <c r="H124" s="5" t="inlineStr">
        <is>
          <t>화면대조 E64</t>
        </is>
      </c>
    </row>
    <row r="125">
      <c r="A125" s="5" t="inlineStr">
        <is>
          <t>가맹점</t>
        </is>
      </c>
      <c r="B125" s="3" t="inlineStr">
        <is>
          <t>달빛곱창 홍대점 — S입금부족율(%)</t>
        </is>
      </c>
      <c r="C125" s="6">
        <f>ROUND(가맹점!W6,2)</f>
        <v/>
      </c>
      <c r="D125" s="5" t="inlineStr">
        <is>
          <t>가맹점 W6</t>
        </is>
      </c>
      <c r="E125" s="7">
        <f>$E$70</f>
        <v/>
      </c>
      <c r="F125" s="7">
        <f>IFERROR(C125-E125,"")</f>
        <v/>
      </c>
      <c r="G125" s="5">
        <f>IFERROR(IF(ABS(F125)&lt;=0.005,"일치","차이"),"")</f>
        <v/>
      </c>
      <c r="H125" s="5" t="inlineStr">
        <is>
          <t>화면대조 E70</t>
        </is>
      </c>
    </row>
    <row r="126">
      <c r="A126" s="5" t="inlineStr">
        <is>
          <t>가맹점</t>
        </is>
      </c>
      <c r="B126" s="3" t="inlineStr">
        <is>
          <t>청춘포차 신촌점 — S입금부족율(%)</t>
        </is>
      </c>
      <c r="C126" s="6">
        <f>ROUND(가맹점!W7,2)</f>
        <v/>
      </c>
      <c r="D126" s="5" t="inlineStr">
        <is>
          <t>가맹점 W7</t>
        </is>
      </c>
      <c r="E126" s="7">
        <f>$E$76</f>
        <v/>
      </c>
      <c r="F126" s="7">
        <f>IFERROR(C126-E126,"")</f>
        <v/>
      </c>
      <c r="G126" s="5">
        <f>IFERROR(IF(ABS(F126)&lt;=0.005,"일치","차이"),"")</f>
        <v/>
      </c>
      <c r="H126" s="5" t="inlineStr">
        <is>
          <t>화면대조 E76</t>
        </is>
      </c>
    </row>
    <row r="127">
      <c r="A127" s="5" t="inlineStr">
        <is>
          <t>가맹점</t>
        </is>
      </c>
      <c r="B127" s="3" t="inlineStr">
        <is>
          <t>바다마루 횟집 — S입금부족율(%)</t>
        </is>
      </c>
      <c r="C127" s="6">
        <f>ROUND(가맹점!W8,2)</f>
        <v/>
      </c>
      <c r="D127" s="5" t="inlineStr">
        <is>
          <t>가맹점 W8</t>
        </is>
      </c>
      <c r="E127" s="7">
        <f>$E$82</f>
        <v/>
      </c>
      <c r="F127" s="7">
        <f>IFERROR(C127-E127,"")</f>
        <v/>
      </c>
      <c r="G127" s="5">
        <f>IFERROR(IF(ABS(F127)&lt;=0.005,"일치","차이"),"")</f>
        <v/>
      </c>
      <c r="H127" s="5" t="inlineStr">
        <is>
          <t>화면대조 E82</t>
        </is>
      </c>
    </row>
    <row r="128">
      <c r="A128" s="5" t="inlineStr">
        <is>
          <t>가맹점</t>
        </is>
      </c>
      <c r="B128" s="3" t="inlineStr">
        <is>
          <t>한강커피 잠원점 — S입금부족율(%)</t>
        </is>
      </c>
      <c r="C128" s="6">
        <f>ROUND(가맹점!W9,2)</f>
        <v/>
      </c>
      <c r="D128" s="5" t="inlineStr">
        <is>
          <t>가맹점 W9</t>
        </is>
      </c>
      <c r="E128" s="7">
        <f>$E$88</f>
        <v/>
      </c>
      <c r="F128" s="7">
        <f>IFERROR(C128-E128,"")</f>
        <v/>
      </c>
      <c r="G128" s="5">
        <f>IFERROR(IF(ABS(F128)&lt;=0.005,"일치","차이"),"")</f>
        <v/>
      </c>
      <c r="H128" s="5" t="inlineStr">
        <is>
          <t>화면대조 E88</t>
        </is>
      </c>
    </row>
    <row r="129" ht="30" customHeight="1">
      <c r="A129" s="11" t="inlineStr">
        <is>
          <t>구분</t>
        </is>
      </c>
      <c r="B129" s="11" t="inlineStr">
        <is>
          <t>항목</t>
        </is>
      </c>
      <c r="C129" s="11" t="inlineStr">
        <is>
          <t>산식으로 되짚은 값</t>
        </is>
      </c>
      <c r="D129" s="11" t="inlineStr">
        <is>
          <t>산식</t>
        </is>
      </c>
      <c r="E129" s="11" t="inlineStr">
        <is>
          <t>화면 표시값</t>
        </is>
      </c>
      <c r="F129" s="11" t="inlineStr">
        <is>
          <t>차이</t>
        </is>
      </c>
      <c r="G129" s="11" t="inlineStr">
        <is>
          <t>판정</t>
        </is>
      </c>
      <c r="H129" s="11" t="inlineStr">
        <is>
          <t>출처</t>
        </is>
      </c>
    </row>
    <row r="130">
      <c r="A130" s="5" t="inlineStr">
        <is>
          <t>화면 정합</t>
        </is>
      </c>
      <c r="B130" s="3" t="inlineStr">
        <is>
          <t>투자자산</t>
        </is>
      </c>
      <c r="C130" s="8">
        <f>$E$2+$E$3</f>
        <v/>
      </c>
      <c r="D130" s="5" t="inlineStr">
        <is>
          <t>투자실행액 + 순현금</t>
        </is>
      </c>
      <c r="E130" s="2">
        <f>$E$4</f>
        <v/>
      </c>
      <c r="F130" s="2">
        <f>IFERROR(C130-E130,"")</f>
        <v/>
      </c>
      <c r="G130" s="5">
        <f>IFERROR(IF(ABS(F130)&lt;=0.5,"일치","차이"),"")</f>
        <v/>
      </c>
      <c r="H130" s="5" t="inlineStr">
        <is>
          <t>ceo_definitions.md [1번] 비중</t>
        </is>
      </c>
    </row>
    <row r="131">
      <c r="A131" s="5" t="inlineStr">
        <is>
          <t>화면 정합</t>
        </is>
      </c>
      <c r="B131" s="3" t="inlineStr">
        <is>
          <t>투자실행액 비중(%)</t>
        </is>
      </c>
      <c r="C131" s="25">
        <f>ROUND($E$2/($E$2+$E$3)*100,1)</f>
        <v/>
      </c>
      <c r="D131" s="5" t="inlineStr">
        <is>
          <t>투자실행액 / (투자실행액 + 순현금)</t>
        </is>
      </c>
      <c r="E131" s="24">
        <f>$E$5</f>
        <v/>
      </c>
      <c r="F131" s="24">
        <f>IFERROR(C131-E131,"")</f>
        <v/>
      </c>
      <c r="G131" s="5">
        <f>IFERROR(IF(ABS(F131)&lt;=0.005,"일치","차이"),"")</f>
        <v/>
      </c>
      <c r="H131" s="5" t="inlineStr">
        <is>
          <t>ceo_definitions.md [1번] 투자 실행액의 비중</t>
        </is>
      </c>
    </row>
    <row r="132">
      <c r="A132" s="5" t="inlineStr">
        <is>
          <t>화면 정합</t>
        </is>
      </c>
      <c r="B132" s="3" t="inlineStr">
        <is>
          <t>순현금 비중(%)</t>
        </is>
      </c>
      <c r="C132" s="25">
        <f>ROUND($E$3/($E$2+$E$3)*100,1)</f>
        <v/>
      </c>
      <c r="D132" s="5" t="inlineStr">
        <is>
          <t>순현금 / (투자실행액 + 순현금)</t>
        </is>
      </c>
      <c r="E132" s="24">
        <f>$E$6</f>
        <v/>
      </c>
      <c r="F132" s="24">
        <f>IFERROR(C132-E132,"")</f>
        <v/>
      </c>
      <c r="G132" s="5">
        <f>IFERROR(IF(ABS(F132)&lt;=0.005,"일치","차이"),"")</f>
        <v/>
      </c>
      <c r="H132" s="5" t="inlineStr">
        <is>
          <t>ceo_definitions.md [1번] 순현금의 비중</t>
        </is>
      </c>
    </row>
    <row r="133">
      <c r="A133" s="5" t="inlineStr">
        <is>
          <t>화면 정합</t>
        </is>
      </c>
      <c r="B133" s="3" t="inlineStr">
        <is>
          <t>W금융일수 표기</t>
        </is>
      </c>
      <c r="C133" s="6">
        <f>ROUND($E$7,2)</f>
        <v/>
      </c>
      <c r="D133" s="5" t="inlineStr">
        <is>
          <t>ROUND(W raw, 2)</t>
        </is>
      </c>
      <c r="E133" s="7">
        <f>$E$8</f>
        <v/>
      </c>
      <c r="F133" s="7">
        <f>IFERROR(C133-E133,"")</f>
        <v/>
      </c>
      <c r="G133" s="5">
        <f>IFERROR(IF(ABS(F133)&lt;=0.0005,"일치","차이"),"")</f>
        <v/>
      </c>
      <c r="H133" s="5" t="inlineStr">
        <is>
          <t>9-C 표기 규칙</t>
        </is>
      </c>
    </row>
    <row r="134">
      <c r="A134" s="5" t="inlineStr">
        <is>
          <t>화면 정합</t>
        </is>
      </c>
      <c r="B134" s="3" t="inlineStr">
        <is>
          <t>Ty수익율(%)</t>
        </is>
      </c>
      <c r="C134" s="6">
        <f>ROUND($E$12*연일수/$E$8,2)</f>
        <v/>
      </c>
      <c r="D134" s="5" t="inlineStr">
        <is>
          <t>할인율 x 365 / 표기 W</t>
        </is>
      </c>
      <c r="E134" s="7">
        <f>$E$9</f>
        <v/>
      </c>
      <c r="F134" s="7">
        <f>IFERROR(C134-E134,"")</f>
        <v/>
      </c>
      <c r="G134" s="5">
        <f>IFERROR(IF(ABS(F134)&lt;=0.005,"일치","차이"),"")</f>
        <v/>
      </c>
      <c r="H134" s="5" t="inlineStr">
        <is>
          <t>ceo_definitions.md [1번] ty수익율</t>
        </is>
      </c>
    </row>
    <row r="135">
      <c r="A135" s="5" t="inlineStr">
        <is>
          <t>화면 정합</t>
        </is>
      </c>
      <c r="B135" s="3" t="inlineStr">
        <is>
          <t>S입금부족율 표기(%)</t>
        </is>
      </c>
      <c r="C135" s="6">
        <f>ROUND($E$10,2)</f>
        <v/>
      </c>
      <c r="D135" s="5" t="inlineStr">
        <is>
          <t>ROUND(S raw, 2)</t>
        </is>
      </c>
      <c r="E135" s="7">
        <f>$E$11</f>
        <v/>
      </c>
      <c r="F135" s="7">
        <f>IFERROR(C135-E135,"")</f>
        <v/>
      </c>
      <c r="G135" s="5">
        <f>IFERROR(IF(ABS(F135)&lt;=0.005,"일치","차이"),"")</f>
        <v/>
      </c>
      <c r="H135" s="5" t="inlineStr">
        <is>
          <t>9-C 표기 규칙</t>
        </is>
      </c>
    </row>
    <row r="136">
      <c r="A136" s="5" t="inlineStr">
        <is>
          <t>화면 정합</t>
        </is>
      </c>
      <c r="B136" s="3" t="inlineStr">
        <is>
          <t>주간 PM = 수수료 - 차감</t>
        </is>
      </c>
      <c r="C136" s="8">
        <f>$E$25-$E$26</f>
        <v/>
      </c>
      <c r="D136" s="5" t="inlineStr">
        <is>
          <t>Σ 채권매입수수료 - Σ max(0, 미지급-과지급)</t>
        </is>
      </c>
      <c r="E136" s="2">
        <f>$E$23</f>
        <v/>
      </c>
      <c r="F136" s="2">
        <f>IFERROR(C136-E136,"")</f>
        <v/>
      </c>
      <c r="G136" s="5">
        <f>IFERROR(IF(ABS(F136)&lt;=0.5,"일치","차이"),"")</f>
        <v/>
      </c>
      <c r="H136" s="5" t="inlineStr">
        <is>
          <t>ceo_definitions.md [2번] Mi</t>
        </is>
      </c>
    </row>
    <row r="137">
      <c r="A137" s="5" t="inlineStr">
        <is>
          <t>화면 정합</t>
        </is>
      </c>
      <c r="B137" s="3" t="inlineStr">
        <is>
          <t>주간 PEC</t>
        </is>
      </c>
      <c r="C137" s="8">
        <f>$E$3*$E$21</f>
        <v/>
      </c>
      <c r="D137" s="5" t="inlineStr">
        <is>
          <t>순현금 x 조회 일수</t>
        </is>
      </c>
      <c r="E137" s="2">
        <f>$E$29</f>
        <v/>
      </c>
      <c r="F137" s="2">
        <f>IFERROR(C137-E137,"")</f>
        <v/>
      </c>
      <c r="G137" s="5">
        <f>IFERROR(IF(ABS(F137)&lt;=0.5,"일치","차이"),"")</f>
        <v/>
      </c>
      <c r="H137" s="5" t="inlineStr">
        <is>
          <t>ceo_definitions.md [2번] PEC</t>
        </is>
      </c>
    </row>
    <row r="138">
      <c r="A138" s="5" t="inlineStr">
        <is>
          <t>화면 정합</t>
        </is>
      </c>
      <c r="B138" s="3" t="inlineStr">
        <is>
          <t>주간 PwD 표기</t>
        </is>
      </c>
      <c r="C138" s="6">
        <f>ROUND($E$27,2)</f>
        <v/>
      </c>
      <c r="D138" s="5" t="inlineStr">
        <is>
          <t>ROUND(PwD raw, 2)</t>
        </is>
      </c>
      <c r="E138" s="7">
        <f>$E$28</f>
        <v/>
      </c>
      <c r="F138" s="7">
        <f>IFERROR(C138-E138,"")</f>
        <v/>
      </c>
      <c r="G138" s="5">
        <f>IFERROR(IF(ABS(F138)&lt;=0.0005,"일치","차이"),"")</f>
        <v/>
      </c>
      <c r="H138" s="5" t="inlineStr">
        <is>
          <t>9-C 표기 규칙</t>
        </is>
      </c>
    </row>
    <row r="139">
      <c r="A139" s="5" t="inlineStr">
        <is>
          <t>화면 정합</t>
        </is>
      </c>
      <c r="B139" s="3" t="inlineStr">
        <is>
          <t>주간 ④(%)</t>
        </is>
      </c>
      <c r="C139" s="6">
        <f>ROUND(ROUND(ROUND($E$23/$E$22*100,6)*연일수/$E$27,6),2)</f>
        <v/>
      </c>
      <c r="D139" s="5" t="inlineStr">
        <is>
          <t>ROUND(PMR(%) x 365 / PwD, 6) 뒤 표기 2자리</t>
        </is>
      </c>
      <c r="E139" s="7">
        <f>$E$30</f>
        <v/>
      </c>
      <c r="F139" s="7">
        <f>IFERROR(C139-E139,"")</f>
        <v/>
      </c>
      <c r="G139" s="5">
        <f>IFERROR(IF(ABS(F139)&lt;=0.005,"일치","차이"),"")</f>
        <v/>
      </c>
      <c r="H139" s="5" t="inlineStr">
        <is>
          <t>ceo_definitions.md [2번] 이미지의 ④</t>
        </is>
      </c>
    </row>
    <row r="140">
      <c r="A140" s="5" t="inlineStr">
        <is>
          <t>화면 정합</t>
        </is>
      </c>
      <c r="B140" s="3" t="inlineStr">
        <is>
          <t>전 구간 PM = 수수료 - 차감</t>
        </is>
      </c>
      <c r="C140" s="8">
        <f>$E$34-$E$35</f>
        <v/>
      </c>
      <c r="D140" s="5" t="inlineStr">
        <is>
          <t>Σ 채권매입수수료 - Σ 차감</t>
        </is>
      </c>
      <c r="E140" s="2">
        <f>$E$33</f>
        <v/>
      </c>
      <c r="F140" s="2">
        <f>IFERROR(C140-E140,"")</f>
        <v/>
      </c>
      <c r="G140" s="5">
        <f>IFERROR(IF(ABS(F140)&lt;=0.5,"일치","차이"),"")</f>
        <v/>
      </c>
      <c r="H140" s="5" t="inlineStr">
        <is>
          <t>ceo_definitions.md [2번] Mi</t>
        </is>
      </c>
    </row>
    <row r="141">
      <c r="A141" s="5" t="inlineStr">
        <is>
          <t>화면 정합</t>
        </is>
      </c>
      <c r="B141" s="3" t="inlineStr">
        <is>
          <t>전 구간 차감/수수료(%)</t>
        </is>
      </c>
      <c r="C141" s="6">
        <f>ROUND($E$35/$E$34*100,2)</f>
        <v/>
      </c>
      <c r="D141" s="5" t="inlineStr">
        <is>
          <t>Σ 차감 / Σ 수수료</t>
        </is>
      </c>
      <c r="E141" s="7">
        <f>$E$36</f>
        <v/>
      </c>
      <c r="F141" s="7">
        <f>IFERROR(C141-E141,"")</f>
        <v/>
      </c>
      <c r="G141" s="5">
        <f>IFERROR(IF(ABS(F141)&lt;=0.005,"일치","차이"),"")</f>
        <v/>
      </c>
      <c r="H141" s="5" t="inlineStr">
        <is>
          <t>ceo_definitions.md [2번] Mi</t>
        </is>
      </c>
    </row>
    <row r="142">
      <c r="A142" s="5" t="inlineStr">
        <is>
          <t>화면 정합</t>
        </is>
      </c>
      <c r="B142" s="3" t="inlineStr">
        <is>
          <t>전 구간 PEC</t>
        </is>
      </c>
      <c r="C142" s="8">
        <f>$E$3*$E$14</f>
        <v/>
      </c>
      <c r="D142" s="5" t="inlineStr">
        <is>
          <t>순현금 x 원장 일수</t>
        </is>
      </c>
      <c r="E142" s="2">
        <f>$E$39</f>
        <v/>
      </c>
      <c r="F142" s="2">
        <f>IFERROR(C142-E142,"")</f>
        <v/>
      </c>
      <c r="G142" s="5">
        <f>IFERROR(IF(ABS(F142)&lt;=0.5,"일치","차이"),"")</f>
        <v/>
      </c>
      <c r="H142" s="5" t="inlineStr">
        <is>
          <t>ceo_definitions.md [2번] PEC</t>
        </is>
      </c>
    </row>
    <row r="143">
      <c r="A143" s="5" t="inlineStr">
        <is>
          <t>화면 정합</t>
        </is>
      </c>
      <c r="B143" s="3" t="inlineStr">
        <is>
          <t>전 구간 PwD 표기</t>
        </is>
      </c>
      <c r="C143" s="6">
        <f>ROUND($E$37,2)</f>
        <v/>
      </c>
      <c r="D143" s="5" t="inlineStr">
        <is>
          <t>ROUND(PwD raw, 2)</t>
        </is>
      </c>
      <c r="E143" s="7">
        <f>$E$38</f>
        <v/>
      </c>
      <c r="F143" s="7">
        <f>IFERROR(C143-E143,"")</f>
        <v/>
      </c>
      <c r="G143" s="5">
        <f>IFERROR(IF(ABS(F143)&lt;=0.0005,"일치","차이"),"")</f>
        <v/>
      </c>
      <c r="H143" s="5" t="inlineStr">
        <is>
          <t>9-C 표기 규칙</t>
        </is>
      </c>
    </row>
    <row r="144">
      <c r="A144" s="5" t="inlineStr">
        <is>
          <t>화면 정합</t>
        </is>
      </c>
      <c r="B144" s="3" t="inlineStr">
        <is>
          <t>전 구간 ④(%)</t>
        </is>
      </c>
      <c r="C144" s="6">
        <f>ROUND(ROUND($E$33/$E$32*100*연일수/$E$37,6),2)</f>
        <v/>
      </c>
      <c r="D144" s="5" t="inlineStr">
        <is>
          <t>ROUND(PMR x 365 / PwD, 6) 뒤 표기 2자리</t>
        </is>
      </c>
      <c r="E144" s="7">
        <f>$E$40</f>
        <v/>
      </c>
      <c r="F144" s="7">
        <f>IFERROR(C144-E144,"")</f>
        <v/>
      </c>
      <c r="G144" s="5">
        <f>IFERROR(IF(ABS(F144)&lt;=0.005,"일치","차이"),"")</f>
        <v/>
      </c>
      <c r="H144" s="5" t="inlineStr">
        <is>
          <t>ceo_definitions.md [2번] 이미지의 ④</t>
        </is>
      </c>
    </row>
    <row r="145">
      <c r="A145" s="5" t="inlineStr">
        <is>
          <t>화면 정합</t>
        </is>
      </c>
      <c r="B145" s="3" t="inlineStr">
        <is>
          <t>하루 평균 투자실행금</t>
        </is>
      </c>
      <c r="C145" s="8">
        <f>ROUND($E$32/$E$14,0)</f>
        <v/>
      </c>
      <c r="D145" s="5" t="inlineStr">
        <is>
          <t>전 구간 PA / 원장 일수</t>
        </is>
      </c>
      <c r="E145" s="2">
        <f>$E$13</f>
        <v/>
      </c>
      <c r="F145" s="2">
        <f>IFERROR(C145-E145,"")</f>
        <v/>
      </c>
      <c r="G145" s="5">
        <f>IFERROR(IF(ABS(F145)&lt;=0.5,"일치","차이"),"")</f>
        <v/>
      </c>
      <c r="H145" s="5" t="inlineStr">
        <is>
          <t>roster16_model.py DAY_AVG</t>
        </is>
      </c>
    </row>
    <row r="146">
      <c r="A146" s="5" t="inlineStr">
        <is>
          <t>화면 정합</t>
        </is>
      </c>
      <c r="B146" s="3" t="inlineStr">
        <is>
          <t>가맹점 투자실행액 합</t>
        </is>
      </c>
      <c r="C146" s="8">
        <f>$E$42+$E$48+$E$54+$E$60+$E$66+$E$72+$E$78+$E$84</f>
        <v/>
      </c>
      <c r="D146" s="5" t="inlineStr">
        <is>
          <t>Σ 가맹점별 투자실행액</t>
        </is>
      </c>
      <c r="E146" s="2">
        <f>$E$2</f>
        <v/>
      </c>
      <c r="F146" s="2">
        <f>IFERROR(C146-E146,"")</f>
        <v/>
      </c>
      <c r="G146" s="5">
        <f>IFERROR(IF(ABS(F146)&lt;=0.5,"일치","차이"),"")</f>
        <v/>
      </c>
      <c r="H146" s="5" t="inlineStr">
        <is>
          <t>roster16_model.py EXEC</t>
        </is>
      </c>
    </row>
    <row r="147">
      <c r="A147" s="5" t="inlineStr">
        <is>
          <t>화면 정합</t>
        </is>
      </c>
      <c r="B147" s="3" t="inlineStr">
        <is>
          <t>가맹점 비중 합(%)</t>
        </is>
      </c>
      <c r="C147" s="25">
        <f>$E$47+$E$53+$E$59+$E$65+$E$71+$E$77+$E$83+$E$89</f>
        <v/>
      </c>
      <c r="D147" s="5" t="inlineStr">
        <is>
          <t>Σ 가맹점별 비중 (최대잉여법)</t>
        </is>
      </c>
      <c r="E147" s="24" t="n">
        <v>100</v>
      </c>
      <c r="F147" s="24">
        <f>IFERROR(C147-E147,"")</f>
        <v/>
      </c>
      <c r="G147" s="5">
        <f>IFERROR(IF(ABS(F147)&lt;=0.005,"일치","차이"),"")</f>
        <v/>
      </c>
      <c r="H147" s="5" t="inlineStr">
        <is>
          <t>roster16_model.py ratios</t>
        </is>
      </c>
    </row>
    <row r="148">
      <c r="A148" s="5" t="inlineStr">
        <is>
          <t>화면 정합</t>
        </is>
      </c>
      <c r="B148" s="3" t="inlineStr">
        <is>
          <t>김성호떡볶이 본점 — W 표기 = ROUND(W raw, 2)</t>
        </is>
      </c>
      <c r="C148" s="6">
        <f>ROUND($E$44,2)</f>
        <v/>
      </c>
      <c r="D148" s="5" t="inlineStr">
        <is>
          <t>ROUND(W raw, 2)</t>
        </is>
      </c>
      <c r="E148" s="7">
        <f>$E$43</f>
        <v/>
      </c>
      <c r="F148" s="7">
        <f>IFERROR(C148-E148,"")</f>
        <v/>
      </c>
      <c r="G148" s="5">
        <f>IFERROR(IF(ABS(F148)&lt;=0.0005,"일치","차이"),"")</f>
        <v/>
      </c>
      <c r="H148" s="5" t="inlineStr">
        <is>
          <t>9-C 표기 규칙</t>
        </is>
      </c>
    </row>
    <row r="149">
      <c r="A149" s="5" t="inlineStr">
        <is>
          <t>화면 정합</t>
        </is>
      </c>
      <c r="B149" s="3" t="inlineStr">
        <is>
          <t>김성호떡볶이 본점 — Ty = 할인율 x 365 / W raw</t>
        </is>
      </c>
      <c r="C149" s="6">
        <f>ROUND($E$12*연일수/$E$44,2)</f>
        <v/>
      </c>
      <c r="D149" s="5" t="inlineStr">
        <is>
          <t>할인율 x 365 / W raw(6자리)</t>
        </is>
      </c>
      <c r="E149" s="7">
        <f>$E$45</f>
        <v/>
      </c>
      <c r="F149" s="7">
        <f>IFERROR(C149-E149,"")</f>
        <v/>
      </c>
      <c r="G149" s="5">
        <f>IFERROR(IF(ABS(F149)&lt;=0.005,"일치","차이"),"")</f>
        <v/>
      </c>
      <c r="H149" s="5" t="inlineStr">
        <is>
          <t>ceo_definitions.md [1번] ty수익율 · dm_0901/rounding_rule_0901.md 규칙 1</t>
        </is>
      </c>
    </row>
    <row r="150">
      <c r="A150" s="5" t="inlineStr">
        <is>
          <t>화면 정합</t>
        </is>
      </c>
      <c r="B150" s="3" t="inlineStr">
        <is>
          <t>초록치킨 서초점 — W 표기 = ROUND(W raw, 2)</t>
        </is>
      </c>
      <c r="C150" s="6">
        <f>ROUND($E$50,2)</f>
        <v/>
      </c>
      <c r="D150" s="5" t="inlineStr">
        <is>
          <t>ROUND(W raw, 2)</t>
        </is>
      </c>
      <c r="E150" s="7">
        <f>$E$49</f>
        <v/>
      </c>
      <c r="F150" s="7">
        <f>IFERROR(C150-E150,"")</f>
        <v/>
      </c>
      <c r="G150" s="5">
        <f>IFERROR(IF(ABS(F150)&lt;=0.0005,"일치","차이"),"")</f>
        <v/>
      </c>
      <c r="H150" s="5" t="inlineStr">
        <is>
          <t>9-C 표기 규칙</t>
        </is>
      </c>
    </row>
    <row r="151">
      <c r="A151" s="5" t="inlineStr">
        <is>
          <t>화면 정합</t>
        </is>
      </c>
      <c r="B151" s="3" t="inlineStr">
        <is>
          <t>초록치킨 서초점 — Ty = 할인율 x 365 / W raw</t>
        </is>
      </c>
      <c r="C151" s="6">
        <f>ROUND($E$12*연일수/$E$50,2)</f>
        <v/>
      </c>
      <c r="D151" s="5" t="inlineStr">
        <is>
          <t>할인율 x 365 / W raw(6자리)</t>
        </is>
      </c>
      <c r="E151" s="7">
        <f>$E$51</f>
        <v/>
      </c>
      <c r="F151" s="7">
        <f>IFERROR(C151-E151,"")</f>
        <v/>
      </c>
      <c r="G151" s="5">
        <f>IFERROR(IF(ABS(F151)&lt;=0.005,"일치","차이"),"")</f>
        <v/>
      </c>
      <c r="H151" s="5" t="inlineStr">
        <is>
          <t>ceo_definitions.md [1번] ty수익율 · dm_0901/rounding_rule_0901.md 규칙 1</t>
        </is>
      </c>
    </row>
    <row r="152">
      <c r="A152" s="5" t="inlineStr">
        <is>
          <t>화면 정합</t>
        </is>
      </c>
      <c r="B152" s="3" t="inlineStr">
        <is>
          <t>김밥나라 — W 표기 = ROUND(W raw, 2)</t>
        </is>
      </c>
      <c r="C152" s="6">
        <f>ROUND($E$56,2)</f>
        <v/>
      </c>
      <c r="D152" s="5" t="inlineStr">
        <is>
          <t>ROUND(W raw, 2)</t>
        </is>
      </c>
      <c r="E152" s="7">
        <f>$E$55</f>
        <v/>
      </c>
      <c r="F152" s="7">
        <f>IFERROR(C152-E152,"")</f>
        <v/>
      </c>
      <c r="G152" s="5">
        <f>IFERROR(IF(ABS(F152)&lt;=0.0005,"일치","차이"),"")</f>
        <v/>
      </c>
      <c r="H152" s="5" t="inlineStr">
        <is>
          <t>9-C 표기 규칙</t>
        </is>
      </c>
    </row>
    <row r="153">
      <c r="A153" s="5" t="inlineStr">
        <is>
          <t>화면 정합</t>
        </is>
      </c>
      <c r="B153" s="3" t="inlineStr">
        <is>
          <t>김밥나라 — Ty = 할인율 x 365 / W raw</t>
        </is>
      </c>
      <c r="C153" s="6">
        <f>ROUND($E$12*연일수/$E$56,2)</f>
        <v/>
      </c>
      <c r="D153" s="5" t="inlineStr">
        <is>
          <t>할인율 x 365 / W raw(6자리)</t>
        </is>
      </c>
      <c r="E153" s="7">
        <f>$E$57</f>
        <v/>
      </c>
      <c r="F153" s="7">
        <f>IFERROR(C153-E153,"")</f>
        <v/>
      </c>
      <c r="G153" s="5">
        <f>IFERROR(IF(ABS(F153)&lt;=0.005,"일치","차이"),"")</f>
        <v/>
      </c>
      <c r="H153" s="5" t="inlineStr">
        <is>
          <t>ceo_definitions.md [1번] ty수익율 · dm_0901/rounding_rule_0901.md 규칙 1</t>
        </is>
      </c>
    </row>
    <row r="154">
      <c r="A154" s="5" t="inlineStr">
        <is>
          <t>화면 정합</t>
        </is>
      </c>
      <c r="B154" s="3" t="inlineStr">
        <is>
          <t>골목냉면 — W 표기 = ROUND(W raw, 2)</t>
        </is>
      </c>
      <c r="C154" s="6">
        <f>ROUND($E$62,2)</f>
        <v/>
      </c>
      <c r="D154" s="5" t="inlineStr">
        <is>
          <t>ROUND(W raw, 2)</t>
        </is>
      </c>
      <c r="E154" s="7">
        <f>$E$61</f>
        <v/>
      </c>
      <c r="F154" s="7">
        <f>IFERROR(C154-E154,"")</f>
        <v/>
      </c>
      <c r="G154" s="5">
        <f>IFERROR(IF(ABS(F154)&lt;=0.0005,"일치","차이"),"")</f>
        <v/>
      </c>
      <c r="H154" s="5" t="inlineStr">
        <is>
          <t>9-C 표기 규칙</t>
        </is>
      </c>
    </row>
    <row r="155">
      <c r="A155" s="5" t="inlineStr">
        <is>
          <t>화면 정합</t>
        </is>
      </c>
      <c r="B155" s="3" t="inlineStr">
        <is>
          <t>골목냉면 — Ty = 할인율 x 365 / W raw</t>
        </is>
      </c>
      <c r="C155" s="6">
        <f>ROUND($E$12*연일수/$E$62,2)</f>
        <v/>
      </c>
      <c r="D155" s="5" t="inlineStr">
        <is>
          <t>할인율 x 365 / W raw(6자리)</t>
        </is>
      </c>
      <c r="E155" s="7">
        <f>$E$63</f>
        <v/>
      </c>
      <c r="F155" s="7">
        <f>IFERROR(C155-E155,"")</f>
        <v/>
      </c>
      <c r="G155" s="5">
        <f>IFERROR(IF(ABS(F155)&lt;=0.005,"일치","차이"),"")</f>
        <v/>
      </c>
      <c r="H155" s="5" t="inlineStr">
        <is>
          <t>ceo_definitions.md [1번] ty수익율 · dm_0901/rounding_rule_0901.md 규칙 1</t>
        </is>
      </c>
    </row>
    <row r="156">
      <c r="A156" s="5" t="inlineStr">
        <is>
          <t>화면 정합</t>
        </is>
      </c>
      <c r="B156" s="3" t="inlineStr">
        <is>
          <t>달빛곱창 홍대점 — W 표기 = ROUND(W raw, 2)</t>
        </is>
      </c>
      <c r="C156" s="6">
        <f>ROUND($E$68,2)</f>
        <v/>
      </c>
      <c r="D156" s="5" t="inlineStr">
        <is>
          <t>ROUND(W raw, 2)</t>
        </is>
      </c>
      <c r="E156" s="7">
        <f>$E$67</f>
        <v/>
      </c>
      <c r="F156" s="7">
        <f>IFERROR(C156-E156,"")</f>
        <v/>
      </c>
      <c r="G156" s="5">
        <f>IFERROR(IF(ABS(F156)&lt;=0.0005,"일치","차이"),"")</f>
        <v/>
      </c>
      <c r="H156" s="5" t="inlineStr">
        <is>
          <t>9-C 표기 규칙</t>
        </is>
      </c>
    </row>
    <row r="157">
      <c r="A157" s="5" t="inlineStr">
        <is>
          <t>화면 정합</t>
        </is>
      </c>
      <c r="B157" s="3" t="inlineStr">
        <is>
          <t>달빛곱창 홍대점 — Ty = 할인율 x 365 / W raw</t>
        </is>
      </c>
      <c r="C157" s="6">
        <f>ROUND($E$12*연일수/$E$68,2)</f>
        <v/>
      </c>
      <c r="D157" s="5" t="inlineStr">
        <is>
          <t>할인율 x 365 / W raw(6자리)</t>
        </is>
      </c>
      <c r="E157" s="7">
        <f>$E$69</f>
        <v/>
      </c>
      <c r="F157" s="7">
        <f>IFERROR(C157-E157,"")</f>
        <v/>
      </c>
      <c r="G157" s="5">
        <f>IFERROR(IF(ABS(F157)&lt;=0.005,"일치","차이"),"")</f>
        <v/>
      </c>
      <c r="H157" s="5" t="inlineStr">
        <is>
          <t>ceo_definitions.md [1번] ty수익율 · dm_0901/rounding_rule_0901.md 규칙 1</t>
        </is>
      </c>
    </row>
    <row r="158">
      <c r="A158" s="5" t="inlineStr">
        <is>
          <t>화면 정합</t>
        </is>
      </c>
      <c r="B158" s="3" t="inlineStr">
        <is>
          <t>청춘포차 신촌점 — W 표기 = ROUND(W raw, 2)</t>
        </is>
      </c>
      <c r="C158" s="6">
        <f>ROUND($E$74,2)</f>
        <v/>
      </c>
      <c r="D158" s="5" t="inlineStr">
        <is>
          <t>ROUND(W raw, 2)</t>
        </is>
      </c>
      <c r="E158" s="7">
        <f>$E$73</f>
        <v/>
      </c>
      <c r="F158" s="7">
        <f>IFERROR(C158-E158,"")</f>
        <v/>
      </c>
      <c r="G158" s="5">
        <f>IFERROR(IF(ABS(F158)&lt;=0.0005,"일치","차이"),"")</f>
        <v/>
      </c>
      <c r="H158" s="5" t="inlineStr">
        <is>
          <t>9-C 표기 규칙</t>
        </is>
      </c>
    </row>
    <row r="159">
      <c r="A159" s="5" t="inlineStr">
        <is>
          <t>화면 정합</t>
        </is>
      </c>
      <c r="B159" s="3" t="inlineStr">
        <is>
          <t>청춘포차 신촌점 — Ty = 할인율 x 365 / W raw</t>
        </is>
      </c>
      <c r="C159" s="6">
        <f>ROUND($E$12*연일수/$E$74,2)</f>
        <v/>
      </c>
      <c r="D159" s="5" t="inlineStr">
        <is>
          <t>할인율 x 365 / W raw(6자리)</t>
        </is>
      </c>
      <c r="E159" s="7">
        <f>$E$75</f>
        <v/>
      </c>
      <c r="F159" s="7">
        <f>IFERROR(C159-E159,"")</f>
        <v/>
      </c>
      <c r="G159" s="5">
        <f>IFERROR(IF(ABS(F159)&lt;=0.005,"일치","차이"),"")</f>
        <v/>
      </c>
      <c r="H159" s="5" t="inlineStr">
        <is>
          <t>ceo_definitions.md [1번] ty수익율 · dm_0901/rounding_rule_0901.md 규칙 1</t>
        </is>
      </c>
    </row>
    <row r="160">
      <c r="A160" s="5" t="inlineStr">
        <is>
          <t>화면 정합</t>
        </is>
      </c>
      <c r="B160" s="3" t="inlineStr">
        <is>
          <t>바다마루 횟집 — W 표기 = ROUND(W raw, 2)</t>
        </is>
      </c>
      <c r="C160" s="6">
        <f>ROUND($E$80,2)</f>
        <v/>
      </c>
      <c r="D160" s="5" t="inlineStr">
        <is>
          <t>ROUND(W raw, 2)</t>
        </is>
      </c>
      <c r="E160" s="7">
        <f>$E$79</f>
        <v/>
      </c>
      <c r="F160" s="7">
        <f>IFERROR(C160-E160,"")</f>
        <v/>
      </c>
      <c r="G160" s="5">
        <f>IFERROR(IF(ABS(F160)&lt;=0.0005,"일치","차이"),"")</f>
        <v/>
      </c>
      <c r="H160" s="5" t="inlineStr">
        <is>
          <t>9-C 표기 규칙</t>
        </is>
      </c>
    </row>
    <row r="161">
      <c r="A161" s="5" t="inlineStr">
        <is>
          <t>화면 정합</t>
        </is>
      </c>
      <c r="B161" s="3" t="inlineStr">
        <is>
          <t>바다마루 횟집 — Ty = 할인율 x 365 / W raw</t>
        </is>
      </c>
      <c r="C161" s="6">
        <f>ROUND($E$12*연일수/$E$80,2)</f>
        <v/>
      </c>
      <c r="D161" s="5" t="inlineStr">
        <is>
          <t>할인율 x 365 / W raw(6자리)</t>
        </is>
      </c>
      <c r="E161" s="7">
        <f>$E$81</f>
        <v/>
      </c>
      <c r="F161" s="7">
        <f>IFERROR(C161-E161,"")</f>
        <v/>
      </c>
      <c r="G161" s="5">
        <f>IFERROR(IF(ABS(F161)&lt;=0.005,"일치","차이"),"")</f>
        <v/>
      </c>
      <c r="H161" s="5" t="inlineStr">
        <is>
          <t>ceo_definitions.md [1번] ty수익율 · dm_0901/rounding_rule_0901.md 규칙 1</t>
        </is>
      </c>
    </row>
    <row r="162">
      <c r="A162" s="5" t="inlineStr">
        <is>
          <t>화면 정합</t>
        </is>
      </c>
      <c r="B162" s="3" t="inlineStr">
        <is>
          <t>한강커피 잠원점 — W 표기 = ROUND(W raw, 2)</t>
        </is>
      </c>
      <c r="C162" s="6">
        <f>ROUND($E$86,2)</f>
        <v/>
      </c>
      <c r="D162" s="5" t="inlineStr">
        <is>
          <t>ROUND(W raw, 2)</t>
        </is>
      </c>
      <c r="E162" s="7">
        <f>$E$85</f>
        <v/>
      </c>
      <c r="F162" s="7">
        <f>IFERROR(C162-E162,"")</f>
        <v/>
      </c>
      <c r="G162" s="5">
        <f>IFERROR(IF(ABS(F162)&lt;=0.0005,"일치","차이"),"")</f>
        <v/>
      </c>
      <c r="H162" s="5" t="inlineStr">
        <is>
          <t>9-C 표기 규칙</t>
        </is>
      </c>
    </row>
    <row r="163">
      <c r="A163" s="5" t="inlineStr">
        <is>
          <t>화면 정합</t>
        </is>
      </c>
      <c r="B163" s="3" t="inlineStr">
        <is>
          <t>한강커피 잠원점 — Ty = 할인율 x 365 / W raw</t>
        </is>
      </c>
      <c r="C163" s="6">
        <f>ROUND($E$12*연일수/$E$86,2)</f>
        <v/>
      </c>
      <c r="D163" s="5" t="inlineStr">
        <is>
          <t>할인율 x 365 / W raw(6자리)</t>
        </is>
      </c>
      <c r="E163" s="7">
        <f>$E$87</f>
        <v/>
      </c>
      <c r="F163" s="7">
        <f>IFERROR(C163-E163,"")</f>
        <v/>
      </c>
      <c r="G163" s="5">
        <f>IFERROR(IF(ABS(F163)&lt;=0.005,"일치","차이"),"")</f>
        <v/>
      </c>
      <c r="H163" s="5" t="inlineStr">
        <is>
          <t>ceo_definitions.md [1번] ty수익율 · dm_0901/rounding_rule_0901.md 규칙 1</t>
        </is>
      </c>
    </row>
    <row r="165" ht="30" customHeight="1">
      <c r="A165" s="11" t="inlineStr">
        <is>
          <t>구분</t>
        </is>
      </c>
      <c r="B165" s="11" t="inlineStr">
        <is>
          <t>항목</t>
        </is>
      </c>
      <c r="C165" s="11" t="inlineStr">
        <is>
          <t>엑셀 값</t>
        </is>
      </c>
      <c r="D165" s="11" t="inlineStr">
        <is>
          <t>산출 경로</t>
        </is>
      </c>
      <c r="E165" s="11" t="inlineStr">
        <is>
          <t>화면 표시값</t>
        </is>
      </c>
      <c r="F165" s="11" t="inlineStr">
        <is>
          <t>차이</t>
        </is>
      </c>
      <c r="G165" s="11" t="inlineStr">
        <is>
          <t>잔차율(%)</t>
        </is>
      </c>
      <c r="H165" s="11" t="inlineStr">
        <is>
          <t>사유</t>
        </is>
      </c>
    </row>
    <row r="166">
      <c r="A166" s="5" t="inlineStr">
        <is>
          <t>모델 잔차</t>
        </is>
      </c>
      <c r="B166" s="3" t="inlineStr">
        <is>
          <t>하루 평균 투자실행금</t>
        </is>
      </c>
      <c r="C166" s="8">
        <f>가맹점!B16*(1-할인율)</f>
        <v/>
      </c>
      <c r="D166" s="5" t="inlineStr">
        <is>
          <t>가맹점 B16 x (1-r)</t>
        </is>
      </c>
      <c r="E166" s="2">
        <f>$E$13</f>
        <v/>
      </c>
      <c r="F166" s="2">
        <f>IFERROR(C166-E166,"")</f>
        <v/>
      </c>
      <c r="G166" s="7">
        <f>IFERROR(IF(E166=0,"",F166/E166*100),"")</f>
        <v/>
      </c>
      <c r="H16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7">
      <c r="A167" s="5" t="inlineStr">
        <is>
          <t>모델 잔차</t>
        </is>
      </c>
      <c r="B167" s="3" t="inlineStr">
        <is>
          <t>조회기간 PA</t>
        </is>
      </c>
      <c r="C167" s="8">
        <f>기간집계!B5</f>
        <v/>
      </c>
      <c r="D167" s="5" t="inlineStr">
        <is>
          <t>기간집계 B5</t>
        </is>
      </c>
      <c r="E167" s="2">
        <f>$E$22</f>
        <v/>
      </c>
      <c r="F167" s="2">
        <f>IFERROR(C167-E167,"")</f>
        <v/>
      </c>
      <c r="G167" s="7">
        <f>IFERROR(IF(E167=0,"",F167/E167*100),"")</f>
        <v/>
      </c>
      <c r="H16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8">
      <c r="A168" s="5" t="inlineStr">
        <is>
          <t>모델 잔차</t>
        </is>
      </c>
      <c r="B168" s="3" t="inlineStr">
        <is>
          <t>조회기간 PwD</t>
        </is>
      </c>
      <c r="C168" s="9">
        <f>기간집계!B12</f>
        <v/>
      </c>
      <c r="D168" s="5" t="inlineStr">
        <is>
          <t>기간집계 B12</t>
        </is>
      </c>
      <c r="E168" s="10">
        <f>$E$27</f>
        <v/>
      </c>
      <c r="F168" s="10">
        <f>IFERROR(C168-E168,"")</f>
        <v/>
      </c>
      <c r="G168" s="7">
        <f>IFERROR(IF(E168=0,"",F168/E168*100),"")</f>
        <v/>
      </c>
      <c r="H16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9">
      <c r="A169" s="5" t="inlineStr">
        <is>
          <t>모델 잔차</t>
        </is>
      </c>
      <c r="B169" s="3" t="inlineStr">
        <is>
          <t>조회기간 PM (차감 반영)</t>
        </is>
      </c>
      <c r="C169" s="8">
        <f>기간집계!B6</f>
        <v/>
      </c>
      <c r="D169" s="5" t="inlineStr">
        <is>
          <t>기간집계 B6</t>
        </is>
      </c>
      <c r="E169" s="2">
        <f>$E$23</f>
        <v/>
      </c>
      <c r="F169" s="2">
        <f>IFERROR(C169-E169,"")</f>
        <v/>
      </c>
      <c r="G169" s="7">
        <f>IFERROR(IF(E169=0,"",F169/E169*100),"")</f>
        <v/>
      </c>
      <c r="H169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0">
      <c r="A170" s="5" t="inlineStr">
        <is>
          <t>모델 잔차</t>
        </is>
      </c>
      <c r="B170" s="3" t="inlineStr">
        <is>
          <t>조회기간 ④(%)</t>
        </is>
      </c>
      <c r="C170" s="6">
        <f>기간집계!B13</f>
        <v/>
      </c>
      <c r="D170" s="5" t="inlineStr">
        <is>
          <t>기간집계 B13</t>
        </is>
      </c>
      <c r="E170" s="7">
        <f>$E$30</f>
        <v/>
      </c>
      <c r="F170" s="7">
        <f>IFERROR(C170-E170,"")</f>
        <v/>
      </c>
      <c r="G170" s="7">
        <f>IFERROR(IF(E170=0,"",F170/E170*100),"")</f>
        <v/>
      </c>
      <c r="H170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1">
      <c r="A171" s="5" t="inlineStr">
        <is>
          <t>모델 잔차</t>
        </is>
      </c>
      <c r="B171" s="3" t="inlineStr">
        <is>
          <t>조회기간 ⑤(%)</t>
        </is>
      </c>
      <c r="C171" s="6">
        <f>기간집계!B17</f>
        <v/>
      </c>
      <c r="D171" s="5" t="inlineStr">
        <is>
          <t>기간집계 B17</t>
        </is>
      </c>
      <c r="E171" s="7">
        <f>$E$31</f>
        <v/>
      </c>
      <c r="F171" s="7">
        <f>IFERROR(C171-E171,"")</f>
        <v/>
      </c>
      <c r="G171" s="7">
        <f>IFERROR(IF(E171=0,"",F171/E171*100),"")</f>
        <v/>
      </c>
      <c r="H171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2">
      <c r="A172" s="5" t="inlineStr">
        <is>
          <t>모델 잔차</t>
        </is>
      </c>
      <c r="B172" s="3" t="inlineStr">
        <is>
          <t>조회기간 PEC</t>
        </is>
      </c>
      <c r="C172" s="8">
        <f>기간집계!B15</f>
        <v/>
      </c>
      <c r="D172" s="5" t="inlineStr">
        <is>
          <t>기간집계 B15</t>
        </is>
      </c>
      <c r="E172" s="2">
        <f>$E$29</f>
        <v/>
      </c>
      <c r="F172" s="2">
        <f>IFERROR(C172-E172,"")</f>
        <v/>
      </c>
      <c r="G172" s="7">
        <f>IFERROR(IF(E172=0,"",F172/E172*100),"")</f>
        <v/>
      </c>
      <c r="H172" s="4" t="inlineStr">
        <is>
          <t>조회 일수가 같으면 차가 0 이다.</t>
        </is>
      </c>
    </row>
    <row r="173">
      <c r="A173" s="5" t="inlineStr">
        <is>
          <t>모델 잔차</t>
        </is>
      </c>
      <c r="B173" s="3" t="inlineStr">
        <is>
          <t>주간 상환액 - (PA + PM)</t>
        </is>
      </c>
      <c r="C173" s="8">
        <f>$E$24-$E$22-$E$23</f>
        <v/>
      </c>
      <c r="D173" s="5" t="inlineStr">
        <is>
          <t>화면대조 E24 - E22 - E23</t>
        </is>
      </c>
      <c r="E173" s="2" t="n">
        <v>0</v>
      </c>
      <c r="F173" s="2">
        <f>IFERROR(C173-E173,"")</f>
        <v/>
      </c>
      <c r="G173" s="7">
        <f>IFERROR(IF(E173=0,"",F173/E173*100),"")</f>
        <v/>
      </c>
      <c r="H173" s="4" t="inlineStr">
        <is>
          <t>상환액은 순지급액 - max(0, Li) 한 줄로 낸다. 투자실행금은 반올림(순지급액 x (1-r)), 채권매입수수료는 절사(순지급액 x r) 이라 둘을 더하면 건당 0~1원이 모자란다. 투자실행금 + 투자수익으로 되짚으면 그만큼 어긋난다.</t>
        </is>
      </c>
    </row>
    <row r="174">
      <c r="A174" s="5" t="inlineStr">
        <is>
          <t>모델 잔차</t>
        </is>
      </c>
      <c r="B174" s="3" t="inlineStr">
        <is>
          <t>차감 / 수수료(%)</t>
        </is>
      </c>
      <c r="C174" s="6">
        <f>기간집계!B20</f>
        <v/>
      </c>
      <c r="D174" s="5" t="inlineStr">
        <is>
          <t>기간집계 B20</t>
        </is>
      </c>
      <c r="E174" s="7">
        <f>$E$36</f>
        <v/>
      </c>
      <c r="F174" s="7">
        <f>IFERROR(C174-E174,"")</f>
        <v/>
      </c>
      <c r="G174" s="7">
        <f>IFERROR(IF(E174=0,"",F174/E174*100),"")</f>
        <v/>
      </c>
      <c r="H174" s="4" t="inlineStr">
        <is>
          <t>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5">
      <c r="A175" s="5" t="inlineStr">
        <is>
          <t>모델 잔차</t>
        </is>
      </c>
      <c r="B175" s="3" t="inlineStr">
        <is>
          <t>S입금부족율 raw(%)</t>
        </is>
      </c>
      <c r="C175" s="9">
        <f>기간집계!B51</f>
        <v/>
      </c>
      <c r="D175" s="5" t="inlineStr">
        <is>
          <t>기간집계 B51</t>
        </is>
      </c>
      <c r="E175" s="10">
        <f>$E$10</f>
        <v/>
      </c>
      <c r="F175" s="10">
        <f>IFERROR(C175-E175,"")</f>
        <v/>
      </c>
      <c r="G175" s="7">
        <f>IFERROR(IF(E175=0,"",F175/E175*100),"")</f>
        <v/>
      </c>
      <c r="H175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6">
      <c r="A176" s="5" t="inlineStr">
        <is>
          <t>모델 잔차</t>
        </is>
      </c>
      <c r="B176" s="3" t="inlineStr">
        <is>
          <t>채권 건수</t>
        </is>
      </c>
      <c r="C176" s="8">
        <f>기간집계!B53</f>
        <v/>
      </c>
      <c r="D176" s="5" t="inlineStr">
        <is>
          <t>기간집계 B53</t>
        </is>
      </c>
      <c r="E176" s="2">
        <f>$E$15</f>
        <v/>
      </c>
      <c r="F176" s="2">
        <f>IFERROR(C176-E176,"")</f>
        <v/>
      </c>
      <c r="G176" s="7">
        <f>IFERROR(IF(E176=0,"",F176/E176*100),"")</f>
        <v/>
      </c>
      <c r="H176" s="4" t="inlineStr">
        <is>
          <t>모집단이 다르다. 이 통합문서는 선정산일 40일 x 8곳 x 4플랫폼 = 1280건, 화면 원장은 193일 x 8곳 x 4플랫폼 x 정산예정일 버킷 = 61,760건.</t>
        </is>
      </c>
    </row>
    <row r="177">
      <c r="A177" s="5" t="inlineStr">
        <is>
          <t>모델 잔차</t>
        </is>
      </c>
      <c r="B177" s="3" t="inlineStr">
        <is>
          <t>미회수 건수</t>
        </is>
      </c>
      <c r="C177" s="8">
        <f>기간집계!B52</f>
        <v/>
      </c>
      <c r="D177" s="5" t="inlineStr">
        <is>
          <t>기간집계 B52</t>
        </is>
      </c>
      <c r="E177" s="2">
        <f>$E$16</f>
        <v/>
      </c>
      <c r="F177" s="2">
        <f>IFERROR(C177-E177,"")</f>
        <v/>
      </c>
      <c r="G177" s="7">
        <f>IFERROR(IF(E177=0,"",F177/E177*100),"")</f>
        <v/>
      </c>
      <c r="H177" s="4" t="inlineStr">
        <is>
          <t>모집단이 다르다. 이 통합문서는 선정산일 40일 x 8곳 x 4플랫폼 = 1280건, 화면 원장은 193일 x 8곳 x 4플랫폼 x 정산예정일 버킷 = 61,760건.</t>
        </is>
      </c>
    </row>
    <row r="178">
      <c r="A178" s="5" t="inlineStr">
        <is>
          <t>모델 잔차</t>
        </is>
      </c>
      <c r="B178" s="3" t="inlineStr">
        <is>
          <t>김성호떡볶이 본점 — 투자실행액</t>
        </is>
      </c>
      <c r="C178" s="8">
        <f>가맹점!R2</f>
        <v/>
      </c>
      <c r="D178" s="5" t="inlineStr">
        <is>
          <t>가맹점 R2</t>
        </is>
      </c>
      <c r="E178" s="2">
        <f>$E$42</f>
        <v/>
      </c>
      <c r="F178" s="2">
        <f>IFERROR(C178-E178,"")</f>
        <v/>
      </c>
      <c r="G178" s="7">
        <f>IFERROR(IF(E178=0,"",F178/E178*100),"")</f>
        <v/>
      </c>
      <c r="H17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9">
      <c r="A179" s="5" t="inlineStr">
        <is>
          <t>모델 잔차</t>
        </is>
      </c>
      <c r="B179" s="3" t="inlineStr">
        <is>
          <t>초록치킨 서초점 — 투자실행액</t>
        </is>
      </c>
      <c r="C179" s="8">
        <f>가맹점!R3</f>
        <v/>
      </c>
      <c r="D179" s="5" t="inlineStr">
        <is>
          <t>가맹점 R3</t>
        </is>
      </c>
      <c r="E179" s="2">
        <f>$E$48</f>
        <v/>
      </c>
      <c r="F179" s="2">
        <f>IFERROR(C179-E179,"")</f>
        <v/>
      </c>
      <c r="G179" s="7">
        <f>IFERROR(IF(E179=0,"",F179/E179*100),"")</f>
        <v/>
      </c>
      <c r="H179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0">
      <c r="A180" s="5" t="inlineStr">
        <is>
          <t>모델 잔차</t>
        </is>
      </c>
      <c r="B180" s="3" t="inlineStr">
        <is>
          <t>김밥나라 — 투자실행액</t>
        </is>
      </c>
      <c r="C180" s="8">
        <f>가맹점!R4</f>
        <v/>
      </c>
      <c r="D180" s="5" t="inlineStr">
        <is>
          <t>가맹점 R4</t>
        </is>
      </c>
      <c r="E180" s="2">
        <f>$E$54</f>
        <v/>
      </c>
      <c r="F180" s="2">
        <f>IFERROR(C180-E180,"")</f>
        <v/>
      </c>
      <c r="G180" s="7">
        <f>IFERROR(IF(E180=0,"",F180/E180*100),"")</f>
        <v/>
      </c>
      <c r="H180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1">
      <c r="A181" s="5" t="inlineStr">
        <is>
          <t>모델 잔차</t>
        </is>
      </c>
      <c r="B181" s="3" t="inlineStr">
        <is>
          <t>골목냉면 — 투자실행액</t>
        </is>
      </c>
      <c r="C181" s="8">
        <f>가맹점!R5</f>
        <v/>
      </c>
      <c r="D181" s="5" t="inlineStr">
        <is>
          <t>가맹점 R5</t>
        </is>
      </c>
      <c r="E181" s="2">
        <f>$E$60</f>
        <v/>
      </c>
      <c r="F181" s="2">
        <f>IFERROR(C181-E181,"")</f>
        <v/>
      </c>
      <c r="G181" s="7">
        <f>IFERROR(IF(E181=0,"",F181/E181*100),"")</f>
        <v/>
      </c>
      <c r="H18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2">
      <c r="A182" s="5" t="inlineStr">
        <is>
          <t>모델 잔차</t>
        </is>
      </c>
      <c r="B182" s="3" t="inlineStr">
        <is>
          <t>달빛곱창 홍대점 — 투자실행액</t>
        </is>
      </c>
      <c r="C182" s="8">
        <f>가맹점!R6</f>
        <v/>
      </c>
      <c r="D182" s="5" t="inlineStr">
        <is>
          <t>가맹점 R6</t>
        </is>
      </c>
      <c r="E182" s="2">
        <f>$E$66</f>
        <v/>
      </c>
      <c r="F182" s="2">
        <f>IFERROR(C182-E182,"")</f>
        <v/>
      </c>
      <c r="G182" s="7">
        <f>IFERROR(IF(E182=0,"",F182/E182*100),"")</f>
        <v/>
      </c>
      <c r="H18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3">
      <c r="A183" s="5" t="inlineStr">
        <is>
          <t>모델 잔차</t>
        </is>
      </c>
      <c r="B183" s="3" t="inlineStr">
        <is>
          <t>청춘포차 신촌점 — 투자실행액</t>
        </is>
      </c>
      <c r="C183" s="8">
        <f>가맹점!R7</f>
        <v/>
      </c>
      <c r="D183" s="5" t="inlineStr">
        <is>
          <t>가맹점 R7</t>
        </is>
      </c>
      <c r="E183" s="2">
        <f>$E$72</f>
        <v/>
      </c>
      <c r="F183" s="2">
        <f>IFERROR(C183-E183,"")</f>
        <v/>
      </c>
      <c r="G183" s="7">
        <f>IFERROR(IF(E183=0,"",F183/E183*100),"")</f>
        <v/>
      </c>
      <c r="H18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4">
      <c r="A184" s="5" t="inlineStr">
        <is>
          <t>모델 잔차</t>
        </is>
      </c>
      <c r="B184" s="3" t="inlineStr">
        <is>
          <t>바다마루 횟집 — 투자실행액</t>
        </is>
      </c>
      <c r="C184" s="8">
        <f>가맹점!R8</f>
        <v/>
      </c>
      <c r="D184" s="5" t="inlineStr">
        <is>
          <t>가맹점 R8</t>
        </is>
      </c>
      <c r="E184" s="2">
        <f>$E$78</f>
        <v/>
      </c>
      <c r="F184" s="2">
        <f>IFERROR(C184-E184,"")</f>
        <v/>
      </c>
      <c r="G184" s="7">
        <f>IFERROR(IF(E184=0,"",F184/E184*100),"")</f>
        <v/>
      </c>
      <c r="H184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5">
      <c r="A185" s="5" t="inlineStr">
        <is>
          <t>모델 잔차</t>
        </is>
      </c>
      <c r="B185" s="3" t="inlineStr">
        <is>
          <t>한강커피 잠원점 — 투자실행액</t>
        </is>
      </c>
      <c r="C185" s="8">
        <f>가맹점!R9</f>
        <v/>
      </c>
      <c r="D185" s="5" t="inlineStr">
        <is>
          <t>가맹점 R9</t>
        </is>
      </c>
      <c r="E185" s="2">
        <f>$E$84</f>
        <v/>
      </c>
      <c r="F185" s="2">
        <f>IFERROR(C185-E185,"")</f>
        <v/>
      </c>
      <c r="G185" s="7">
        <f>IFERROR(IF(E185=0,"",F185/E185*100),"")</f>
        <v/>
      </c>
      <c r="H185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6">
      <c r="A186" s="5" t="inlineStr">
        <is>
          <t>모델 잔차</t>
        </is>
      </c>
      <c r="B186" s="3" t="inlineStr">
        <is>
          <t>김성호떡볶이 본점 — 비중 표기(%)</t>
        </is>
      </c>
      <c r="C186" s="25">
        <f>가맹점!AC2</f>
        <v/>
      </c>
      <c r="D186" s="5" t="inlineStr">
        <is>
          <t>가맹점 AC2</t>
        </is>
      </c>
      <c r="E186" s="24">
        <f>$E$47</f>
        <v/>
      </c>
      <c r="F186" s="24">
        <f>IFERROR(C186-E186,"")</f>
        <v/>
      </c>
      <c r="G186" s="7">
        <f>IFERROR(IF(E186=0,"",F186/E186*100),"")</f>
        <v/>
      </c>
      <c r="H18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7">
      <c r="A187" s="5" t="inlineStr">
        <is>
          <t>모델 잔차</t>
        </is>
      </c>
      <c r="B187" s="3" t="inlineStr">
        <is>
          <t>초록치킨 서초점 — 비중 표기(%)</t>
        </is>
      </c>
      <c r="C187" s="25">
        <f>가맹점!AC3</f>
        <v/>
      </c>
      <c r="D187" s="5" t="inlineStr">
        <is>
          <t>가맹점 AC3</t>
        </is>
      </c>
      <c r="E187" s="24">
        <f>$E$53</f>
        <v/>
      </c>
      <c r="F187" s="24">
        <f>IFERROR(C187-E187,"")</f>
        <v/>
      </c>
      <c r="G187" s="7">
        <f>IFERROR(IF(E187=0,"",F187/E187*100),"")</f>
        <v/>
      </c>
      <c r="H18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8">
      <c r="A188" s="5" t="inlineStr">
        <is>
          <t>모델 잔차</t>
        </is>
      </c>
      <c r="B188" s="3" t="inlineStr">
        <is>
          <t>김밥나라 — 비중 표기(%)</t>
        </is>
      </c>
      <c r="C188" s="25">
        <f>가맹점!AC4</f>
        <v/>
      </c>
      <c r="D188" s="5" t="inlineStr">
        <is>
          <t>가맹점 AC4</t>
        </is>
      </c>
      <c r="E188" s="24">
        <f>$E$59</f>
        <v/>
      </c>
      <c r="F188" s="24">
        <f>IFERROR(C188-E188,"")</f>
        <v/>
      </c>
      <c r="G188" s="7">
        <f>IFERROR(IF(E188=0,"",F188/E188*100),"")</f>
        <v/>
      </c>
      <c r="H18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9">
      <c r="A189" s="5" t="inlineStr">
        <is>
          <t>모델 잔차</t>
        </is>
      </c>
      <c r="B189" s="3" t="inlineStr">
        <is>
          <t>골목냉면 — 비중 표기(%)</t>
        </is>
      </c>
      <c r="C189" s="25">
        <f>가맹점!AC5</f>
        <v/>
      </c>
      <c r="D189" s="5" t="inlineStr">
        <is>
          <t>가맹점 AC5</t>
        </is>
      </c>
      <c r="E189" s="24">
        <f>$E$65</f>
        <v/>
      </c>
      <c r="F189" s="24">
        <f>IFERROR(C189-E189,"")</f>
        <v/>
      </c>
      <c r="G189" s="7">
        <f>IFERROR(IF(E189=0,"",F189/E189*100),"")</f>
        <v/>
      </c>
      <c r="H189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0">
      <c r="A190" s="5" t="inlineStr">
        <is>
          <t>모델 잔차</t>
        </is>
      </c>
      <c r="B190" s="3" t="inlineStr">
        <is>
          <t>달빛곱창 홍대점 — 비중 표기(%)</t>
        </is>
      </c>
      <c r="C190" s="25">
        <f>가맹점!AC6</f>
        <v/>
      </c>
      <c r="D190" s="5" t="inlineStr">
        <is>
          <t>가맹점 AC6</t>
        </is>
      </c>
      <c r="E190" s="24">
        <f>$E$71</f>
        <v/>
      </c>
      <c r="F190" s="24">
        <f>IFERROR(C190-E190,"")</f>
        <v/>
      </c>
      <c r="G190" s="7">
        <f>IFERROR(IF(E190=0,"",F190/E190*100),"")</f>
        <v/>
      </c>
      <c r="H190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1">
      <c r="A191" s="5" t="inlineStr">
        <is>
          <t>모델 잔차</t>
        </is>
      </c>
      <c r="B191" s="3" t="inlineStr">
        <is>
          <t>청춘포차 신촌점 — 비중 표기(%)</t>
        </is>
      </c>
      <c r="C191" s="25">
        <f>가맹점!AC7</f>
        <v/>
      </c>
      <c r="D191" s="5" t="inlineStr">
        <is>
          <t>가맹점 AC7</t>
        </is>
      </c>
      <c r="E191" s="24">
        <f>$E$77</f>
        <v/>
      </c>
      <c r="F191" s="24">
        <f>IFERROR(C191-E191,"")</f>
        <v/>
      </c>
      <c r="G191" s="7">
        <f>IFERROR(IF(E191=0,"",F191/E191*100),"")</f>
        <v/>
      </c>
      <c r="H19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2">
      <c r="A192" s="5" t="inlineStr">
        <is>
          <t>모델 잔차</t>
        </is>
      </c>
      <c r="B192" s="3" t="inlineStr">
        <is>
          <t>바다마루 횟집 — 비중 표기(%)</t>
        </is>
      </c>
      <c r="C192" s="25">
        <f>가맹점!AC8</f>
        <v/>
      </c>
      <c r="D192" s="5" t="inlineStr">
        <is>
          <t>가맹점 AC8</t>
        </is>
      </c>
      <c r="E192" s="24">
        <f>$E$83</f>
        <v/>
      </c>
      <c r="F192" s="24">
        <f>IFERROR(C192-E192,"")</f>
        <v/>
      </c>
      <c r="G192" s="7">
        <f>IFERROR(IF(E192=0,"",F192/E192*100),"")</f>
        <v/>
      </c>
      <c r="H19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3">
      <c r="A193" s="5" t="inlineStr">
        <is>
          <t>모델 잔차</t>
        </is>
      </c>
      <c r="B193" s="3" t="inlineStr">
        <is>
          <t>한강커피 잠원점 — 비중 표기(%)</t>
        </is>
      </c>
      <c r="C193" s="25">
        <f>가맹점!AC9</f>
        <v/>
      </c>
      <c r="D193" s="5" t="inlineStr">
        <is>
          <t>가맹점 AC9</t>
        </is>
      </c>
      <c r="E193" s="24">
        <f>$E$89</f>
        <v/>
      </c>
      <c r="F193" s="24">
        <f>IFERROR(C193-E193,"")</f>
        <v/>
      </c>
      <c r="G193" s="7">
        <f>IFERROR(IF(E193=0,"",F193/E193*100),"")</f>
        <v/>
      </c>
      <c r="H19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</sheetData>
  <conditionalFormatting sqref="G2:G163">
    <cfRule type="cellIs" priority="1" operator="equal" dxfId="0">
      <formula>"차이"</formula>
    </cfRule>
    <cfRule type="cellIs" priority="2" operator="equal" dxfId="1">
      <formula>"일치"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6" customWidth="1" min="2" max="2"/>
    <col width="40" customWidth="1" min="3" max="3"/>
  </cols>
  <sheetData>
    <row r="1" ht="30" customHeight="1">
      <c r="A1" s="1" t="inlineStr">
        <is>
          <t>출처 절</t>
        </is>
      </c>
      <c r="B1" s="1" t="inlineStr">
        <is>
          <t>대표 정의서 원문</t>
        </is>
      </c>
      <c r="C1" s="1" t="inlineStr">
        <is>
          <t>이 통합문서의 셀</t>
        </is>
      </c>
    </row>
    <row r="2">
      <c r="A2" s="5" t="inlineStr">
        <is>
          <t>[1번 이미지]</t>
        </is>
      </c>
      <c r="B2" s="4" t="inlineStr">
        <is>
          <t>투자 실행액: ‘유동화투자자와 정산금채권 재양도 합의서 체결한 가맹점들의 순지급액들 중 회수되지 않은 순지급액 합계’ x (1- 유동화투자자의 할인율)</t>
        </is>
      </c>
      <c r="C2" s="13" t="inlineStr">
        <is>
          <t>기간집계 B44 · 화면대조 2행</t>
        </is>
      </c>
    </row>
    <row r="3">
      <c r="A3" s="5" t="inlineStr">
        <is>
          <t>[1번 이미지]</t>
        </is>
      </c>
      <c r="B3" s="4" t="inlineStr">
        <is>
          <t>유동화투자자의 할인율 = 0.11% 예정</t>
        </is>
      </c>
      <c r="C3" s="13" t="inlineStr">
        <is>
          <t>입력 C2 · C3</t>
        </is>
      </c>
    </row>
    <row r="4">
      <c r="A4" s="5" t="inlineStr">
        <is>
          <t>[1번 이미지]</t>
        </is>
      </c>
      <c r="B4" s="4" t="inlineStr">
        <is>
          <t>순현금: 조회시점 현재의 ‘유동화투자자에게 할당된 쿠콘제공 가상계좌’의 현금잔액</t>
        </is>
      </c>
      <c r="C4" s="13" t="inlineStr">
        <is>
          <t>입력 C8 · 기간집계 B45</t>
        </is>
      </c>
    </row>
    <row r="5">
      <c r="A5" s="5" t="inlineStr">
        <is>
          <t>[1번 이미지]</t>
        </is>
      </c>
      <c r="B5" s="4" t="inlineStr">
        <is>
          <t>w금융일수 = Σ Ai x Di / Σ Ai</t>
        </is>
      </c>
      <c r="C5" s="13" t="inlineStr">
        <is>
          <t>기간집계 B34 · 가중치 대조 C17 — 가중치는 금액(Ai)</t>
        </is>
      </c>
    </row>
    <row r="6">
      <c r="A6" s="5" t="inlineStr">
        <is>
          <t>[1번 이미지]</t>
        </is>
      </c>
      <c r="B6" s="4" t="inlineStr">
        <is>
          <t>Ai = ID가 i인 대상정산금채권의 순지급액 x (1- 유동화투자자의 할인율)</t>
        </is>
      </c>
      <c r="C6" s="13" t="inlineStr">
        <is>
          <t>채권 J열 — w금융일수의 가중치</t>
        </is>
      </c>
    </row>
    <row r="7">
      <c r="A7" s="5" t="inlineStr">
        <is>
          <t>[1번 이미지]</t>
        </is>
      </c>
      <c r="B7" s="4" t="inlineStr">
        <is>
          <t>Di = ID가 i인 다상정산금채권의 금융일수</t>
        </is>
      </c>
      <c r="C7" s="13" t="inlineStr">
        <is>
          <t>채권 H열</t>
        </is>
      </c>
    </row>
    <row r="8">
      <c r="A8" s="5" t="inlineStr">
        <is>
          <t>[1번 이미지]</t>
        </is>
      </c>
      <c r="B8" s="4" t="inlineStr">
        <is>
          <t>대상정산금채권: 가맹점ID가 ‘유동화투자자와 정산금채권 재양도 합의서 체결한 가맹점’의 ID이면서, 선정산일자가 상기 합의서상의 효력기간에 해당하는 정산금채권</t>
        </is>
      </c>
      <c r="C8" s="13" t="inlineStr">
        <is>
          <t>채권 시트 전 행 (선정산일 축 40일)</t>
        </is>
      </c>
    </row>
    <row r="9">
      <c r="A9" s="5" t="inlineStr">
        <is>
          <t>[1번 이미지]</t>
        </is>
      </c>
      <c r="B9" s="4" t="inlineStr">
        <is>
          <t>각 정산금채권의 ID = 가맹점ID &amp; 플랫폼ID &amp; 매출일자(YYYYMMDD)</t>
        </is>
      </c>
      <c r="C9" s="13" t="inlineStr">
        <is>
          <t>채권 D·E·F열</t>
        </is>
      </c>
    </row>
    <row r="10">
      <c r="A10" s="5" t="inlineStr">
        <is>
          <t>[1번 이미지]</t>
        </is>
      </c>
      <c r="B10" s="4" t="inlineStr">
        <is>
          <t>플랫폼ID: 각 카드사, 각 배달플랫폼에 페이허그가 할당한 ID</t>
        </is>
      </c>
      <c r="C10" s="13" t="inlineStr">
        <is>
          <t>입력 A28:A31</t>
        </is>
      </c>
    </row>
    <row r="11">
      <c r="A11" s="5" t="inlineStr">
        <is>
          <t>[1번 이미지]</t>
        </is>
      </c>
      <c r="B11" s="4" t="inlineStr">
        <is>
          <t>금융일수 = 선정산일로부터 정산예정일까지의 한편넣기 일수 (예, 선정산일 =260827, 정산예정일 = 260808 이면 금융일수 = 1)</t>
        </is>
      </c>
      <c r="C11" s="13" t="inlineStr">
        <is>
          <t>채권 H열 (정산주기.xlsx N6:Q370 실측)</t>
        </is>
      </c>
    </row>
    <row r="12">
      <c r="A12" s="5" t="inlineStr">
        <is>
          <t>[1번 이미지]</t>
        </is>
      </c>
      <c r="B12" s="4" t="inlineStr">
        <is>
          <t>S입금부족율 = Σ SLi / Σ SAi</t>
        </is>
      </c>
      <c r="C12" s="13" t="inlineStr">
        <is>
          <t>기간집계 B51</t>
        </is>
      </c>
    </row>
    <row r="13">
      <c r="A13" s="5" t="inlineStr">
        <is>
          <t>[1번 이미지]</t>
        </is>
      </c>
      <c r="B13" s="4" t="inlineStr">
        <is>
          <t>SLi = 표본집합에 속하는 ID가 i인 대상정산금채권의 미지급액 – 과지급액</t>
        </is>
      </c>
      <c r="C13" s="13" t="inlineStr">
        <is>
          <t>채권 L열 - M열</t>
        </is>
      </c>
    </row>
    <row r="14">
      <c r="A14" s="5" t="inlineStr">
        <is>
          <t>[1번 이미지]</t>
        </is>
      </c>
      <c r="B14" s="4" t="inlineStr">
        <is>
          <t>표본집합: 선정산일이 D-20부터 D-11인 기간에 속하는 대상정산금채권들의 집합</t>
        </is>
      </c>
      <c r="C14" s="13" t="inlineStr">
        <is>
          <t>채권 T열 · 입력 C16:C17</t>
        </is>
      </c>
    </row>
    <row r="15">
      <c r="A15" s="5" t="inlineStr">
        <is>
          <t>[1번 이미지]</t>
        </is>
      </c>
      <c r="B15" s="4" t="inlineStr">
        <is>
          <t>D = 현재일자</t>
        </is>
      </c>
      <c r="C15" s="13" t="inlineStr">
        <is>
          <t>입력 C10 — 이 통합문서 표기는 소문자 d 다. 대문자 D는 금융일수다 (채권 H열)</t>
        </is>
      </c>
    </row>
    <row r="16">
      <c r="A16" s="5" t="inlineStr">
        <is>
          <t>[1번 이미지]</t>
        </is>
      </c>
      <c r="B16" s="4" t="inlineStr">
        <is>
          <t>SAi = 표본집합에 속하는 ID가 i인 대상정산급채권의 순지급액 x (1- 유동화투자자의 할인율)</t>
        </is>
      </c>
      <c r="C16" s="13" t="inlineStr">
        <is>
          <t>채권 J열</t>
        </is>
      </c>
    </row>
    <row r="17">
      <c r="A17" s="5" t="inlineStr">
        <is>
          <t>[1번 이미지]</t>
        </is>
      </c>
      <c r="B17" s="4" t="inlineStr">
        <is>
          <t>ty수익율 = 유동화투자자의 할인율 x (365 / w금융일수)</t>
        </is>
      </c>
      <c r="C17" s="13" t="inlineStr">
        <is>
          <t>기간집계 B43</t>
        </is>
      </c>
    </row>
    <row r="18">
      <c r="A18" s="5" t="inlineStr">
        <is>
          <t>[1번 이미지]</t>
        </is>
      </c>
      <c r="B18" s="4" t="inlineStr">
        <is>
          <t>비중</t>
        </is>
      </c>
      <c r="C18" s="13" t="inlineStr">
        <is>
          <t>기간집계 B47 · B48</t>
        </is>
      </c>
    </row>
    <row r="19">
      <c r="A19" s="5" t="inlineStr">
        <is>
          <t>[1번 이미지]</t>
        </is>
      </c>
      <c r="B19" s="4" t="inlineStr">
        <is>
          <t>투자 실행액의 비중 = 투자실행액 / (투자실행액 + 순현금)</t>
        </is>
      </c>
      <c r="C19" s="13" t="inlineStr">
        <is>
          <t>기간집계 B44 · 화면대조 2행</t>
        </is>
      </c>
    </row>
    <row r="20">
      <c r="A20" s="5" t="inlineStr">
        <is>
          <t>[1번 이미지]</t>
        </is>
      </c>
      <c r="B20" s="4" t="inlineStr">
        <is>
          <t>순현금의 비중 = 순현금 / (투자실행액 + 순현금)</t>
        </is>
      </c>
      <c r="C20" s="13" t="inlineStr">
        <is>
          <t>입력 C8 · 기간집계 B45</t>
        </is>
      </c>
    </row>
    <row r="21">
      <c r="A21" s="5" t="inlineStr">
        <is>
          <t>[2번 이미지]</t>
        </is>
      </c>
      <c r="B21" s="4" t="inlineStr">
        <is>
          <t>매일 자정일 지나면, 배치 작업으로, 유동화투자자별로 ‘정산예정일이 전일자인 정산금채권의 ID들’ 추출하고, 상기 각 대상정산금채권별로 선정산일자 검색하고, 아래와 같이 전일자(D-1) 대상정산금채권의 상환액(SBD-1), 투자실행금(SAD-1), 투자수익(SMD-1), 투자수익율(SMRD-1), w금융일수(SDD-1), ty수익율, 평균순현금 산출해 DB 업데이트</t>
        </is>
      </c>
      <c r="C21" s="13" t="inlineStr">
        <is>
          <t>일별 시트 전 행 · 평균순현금은 기간집계 B16 (칸만 있고 값 없음 · 미확정)</t>
        </is>
      </c>
    </row>
    <row r="22">
      <c r="A22" s="5" t="inlineStr">
        <is>
          <t>[2번 이미지]</t>
        </is>
      </c>
      <c r="B22" s="4" t="inlineStr">
        <is>
          <t>전일자(D-1) 대상정산금채권의 상환액(SBD-1) = Σ BD-1i</t>
        </is>
      </c>
      <c r="C22" s="13" t="inlineStr">
        <is>
          <t>일별 C열</t>
        </is>
      </c>
    </row>
    <row r="23">
      <c r="A23" s="5" t="inlineStr">
        <is>
          <t>[2번 이미지]</t>
        </is>
      </c>
      <c r="B23" s="4" t="inlineStr">
        <is>
          <t>Σ BD-1i = 정산예정일이 전일자(D-1)인 모든 대상정산금채권의 ‘순지급액 - max(0, 미지급금-과지급금)’의 합</t>
        </is>
      </c>
      <c r="C23" s="13" t="inlineStr">
        <is>
          <t>채권 P열 = 순지급액 - 차감액</t>
        </is>
      </c>
    </row>
    <row r="24">
      <c r="A24" s="5" t="inlineStr">
        <is>
          <t>[2번 이미지]</t>
        </is>
      </c>
      <c r="B24" s="4" t="inlineStr">
        <is>
          <t>전일자(D-1) 대상정산금채권의 투자실행금(SAD-1) = Σ AD-1i</t>
        </is>
      </c>
      <c r="C24" s="13" t="inlineStr">
        <is>
          <t>일별 D열</t>
        </is>
      </c>
    </row>
    <row r="25">
      <c r="A25" s="5" t="inlineStr">
        <is>
          <t>[2번 이미지]</t>
        </is>
      </c>
      <c r="B25" s="4" t="inlineStr">
        <is>
          <t>Σ AD-1i = 정산예정일이 전일자(D-1)인 모든 대상정산금채권의 ‘순지급액 x (1 - 유동화투자자의 할인율)’의 합</t>
        </is>
      </c>
      <c r="C25" s="13" t="inlineStr">
        <is>
          <t>채권 J열</t>
        </is>
      </c>
    </row>
    <row r="26">
      <c r="A26" s="5" t="inlineStr">
        <is>
          <t>[2번 이미지]</t>
        </is>
      </c>
      <c r="B26" s="4" t="inlineStr">
        <is>
          <t>전일자(D-1) 대상정산금채권의 투자수익(SMD-1) = Σ MD-1i</t>
        </is>
      </c>
      <c r="C26" s="13" t="inlineStr">
        <is>
          <t>일별 E열</t>
        </is>
      </c>
    </row>
    <row r="27">
      <c r="A27" s="5" t="inlineStr">
        <is>
          <t>[2번 이미지]</t>
        </is>
      </c>
      <c r="B27" s="4" t="inlineStr">
        <is>
          <t>MD-1i = 정산예정일이 전일자(D-1)이면서 ID가 i인 대상정산금채권의 채권매입수수료 - max(0, 미지급금-과지급금)</t>
        </is>
      </c>
      <c r="C27" s="13" t="inlineStr">
        <is>
          <t>채권 O열 = 채권매입수수료 - 차감액</t>
        </is>
      </c>
    </row>
    <row r="28">
      <c r="A28" s="5" t="inlineStr">
        <is>
          <t>[2번 이미지]</t>
        </is>
      </c>
      <c r="B28" s="4" t="inlineStr">
        <is>
          <t>전일자(D-1) 대상정산금채권의 투자수익율(SMRD-1) = Σ MD-1i / Σ AD-1i</t>
        </is>
      </c>
      <c r="C28" s="13" t="inlineStr">
        <is>
          <t>일별 G열</t>
        </is>
      </c>
    </row>
    <row r="29">
      <c r="A29" s="5" t="inlineStr">
        <is>
          <t>[2번 이미지]</t>
        </is>
      </c>
      <c r="B29" s="4" t="inlineStr">
        <is>
          <t>전일자(D-1) 대상정산금채권의 w금융일수(SDD-1) = (Σ AD-1i x DD-1i) / Σ AD-1i</t>
        </is>
      </c>
      <c r="C29" s="13" t="inlineStr">
        <is>
          <t>일별 H열</t>
        </is>
      </c>
    </row>
    <row r="30">
      <c r="A30" s="5" t="inlineStr">
        <is>
          <t>[2번 이미지]</t>
        </is>
      </c>
      <c r="B30" s="4" t="inlineStr">
        <is>
          <t>AD-1i = 정산예정일이 전일자(D-1)이면서 ID가 i인 대상정산금채권의 순지급액 x (1- 유동화투자자의 할인율)</t>
        </is>
      </c>
      <c r="C30" s="13" t="inlineStr">
        <is>
          <t>채권 J열</t>
        </is>
      </c>
    </row>
    <row r="31">
      <c r="A31" s="5" t="inlineStr">
        <is>
          <t>[2번 이미지]</t>
        </is>
      </c>
      <c r="B31" s="4" t="inlineStr">
        <is>
          <t>DD-1i = 정산예정일이 전일자(D-1)이면서 ID가 i인 대상정산금채권의 금융일수</t>
        </is>
      </c>
      <c r="C31" s="13" t="inlineStr">
        <is>
          <t>채권 H열</t>
        </is>
      </c>
    </row>
    <row r="32">
      <c r="A32" s="5" t="inlineStr">
        <is>
          <t>[2번 이미지]</t>
        </is>
      </c>
      <c r="B32" s="4" t="inlineStr">
        <is>
          <t>금융일수 = 선정산일로부터 정산예정일(=전일자)까지의 한편 넣기 일수 (예, 선정산일이 20260824면이고 정산예정일이 20260826이면, 2)</t>
        </is>
      </c>
      <c r="C32" s="13" t="inlineStr">
        <is>
          <t>채권 H열 (정산주기.xlsx N6:Q370 실측)</t>
        </is>
      </c>
    </row>
    <row r="33">
      <c r="A33" s="5" t="inlineStr">
        <is>
          <t>[2번 이미지]</t>
        </is>
      </c>
      <c r="B33" s="4" t="inlineStr">
        <is>
          <t>전일자(D-1) 대상정산금채권의 ty수익율 = SMRD-1 x 365 / SDD-1</t>
        </is>
      </c>
      <c r="C33" s="13" t="inlineStr">
        <is>
          <t>일별 I열</t>
        </is>
      </c>
    </row>
    <row r="34">
      <c r="A34" s="5" t="inlineStr">
        <is>
          <t>[2번 이미지]</t>
        </is>
      </c>
      <c r="B34" s="4" t="inlineStr">
        <is>
          <t>전일자(D-1) 순현금 (EC) = 전일자 마감시점(자정) 현재 ‘해당 유동화투자자에게 할당한 쿠콘 가상계좌’의 현금 잔액</t>
        </is>
      </c>
      <c r="C34" s="13" t="inlineStr">
        <is>
          <t>일별 J열</t>
        </is>
      </c>
    </row>
    <row r="35">
      <c r="A35" s="5" t="inlineStr">
        <is>
          <t>[2번 이미지]</t>
        </is>
      </c>
      <c r="B35" s="4" t="inlineStr">
        <is>
          <t>상기 배치작업이 완료된 후, 위 DB를 이용해, 사용자가 선택한 기간 (default = 일주일)에 해당하는 기간에 정산예정일인, 레코드들을 활용해 아래와 같이 산출</t>
        </is>
      </c>
      <c r="C35" s="13" t="inlineStr">
        <is>
          <t>기간집계 2~29행</t>
        </is>
      </c>
    </row>
    <row r="36">
      <c r="A36" s="5" t="inlineStr">
        <is>
          <t>[2번 이미지]</t>
        </is>
      </c>
      <c r="B36" s="4" t="inlineStr">
        <is>
          <t>투자 실행금(PSA) =  정산예정일이 위 선택한 기간에 해당하는 투자실행금( SAD-1)들 합계</t>
        </is>
      </c>
      <c r="C36" s="13" t="inlineStr">
        <is>
          <t>기간집계 B5</t>
        </is>
      </c>
    </row>
    <row r="37">
      <c r="A37" s="5" t="inlineStr">
        <is>
          <t>[2번 이미지]</t>
        </is>
      </c>
      <c r="B37" s="4" t="inlineStr">
        <is>
          <t>투자수익(PSM) =  정산예정일이 위 선택한 기간에 해당하는 투자수익(SMD-1)들 합계</t>
        </is>
      </c>
      <c r="C37" s="13" t="inlineStr">
        <is>
          <t>기간집계 B6 · B7</t>
        </is>
      </c>
    </row>
    <row r="38">
      <c r="A38" s="5" t="inlineStr">
        <is>
          <t>[2번 이미지]</t>
        </is>
      </c>
      <c r="B38" s="4" t="inlineStr">
        <is>
          <t>투자실행금액 대비 ty수익율(이미지의 ④) = PSMR  x 365 / PSD</t>
        </is>
      </c>
      <c r="C38" s="13" t="inlineStr">
        <is>
          <t>기간집계 B13 · B14</t>
        </is>
      </c>
    </row>
    <row r="39">
      <c r="A39" s="5" t="inlineStr">
        <is>
          <t>[2번 이미지]</t>
        </is>
      </c>
      <c r="B39" s="4" t="inlineStr">
        <is>
          <t>PSMR = PSM/ PSA</t>
        </is>
      </c>
      <c r="C39" s="13" t="inlineStr">
        <is>
          <t>기간집계 B10 · B11</t>
        </is>
      </c>
    </row>
    <row r="40">
      <c r="A40" s="5" t="inlineStr">
        <is>
          <t>[2번 이미지]</t>
        </is>
      </c>
      <c r="B40" s="4" t="inlineStr">
        <is>
          <t>PSD = (Σ Api x Dpi) / PSA</t>
        </is>
      </c>
      <c r="C40" s="13" t="inlineStr">
        <is>
          <t>기간집계 B12</t>
        </is>
      </c>
    </row>
    <row r="41">
      <c r="A41" s="5" t="inlineStr">
        <is>
          <t>[2번 이미지]</t>
        </is>
      </c>
      <c r="B41" s="4" t="inlineStr">
        <is>
          <t>Api : 정산예정일이 위 선택한 기간에 해당하는 모든 각 대상정산금채권의 ‘순지급액 x ( 1 – 유동화투자자 할인율)’</t>
        </is>
      </c>
      <c r="C41" s="13" t="inlineStr">
        <is>
          <t>채권 J열 x U열</t>
        </is>
      </c>
    </row>
    <row r="42">
      <c r="A42" s="5" t="inlineStr">
        <is>
          <t>[2번 이미지]</t>
        </is>
      </c>
      <c r="B42" s="4" t="inlineStr">
        <is>
          <t>Dpi: 정산예정일이 위 선택한 기간에 해당하는 모든 각 대상정산금채권의 금융일수</t>
        </is>
      </c>
      <c r="C42" s="13" t="inlineStr">
        <is>
          <t>채권 H열</t>
        </is>
      </c>
    </row>
    <row r="43">
      <c r="A43" s="5" t="inlineStr">
        <is>
          <t>[2번 이미지]</t>
        </is>
      </c>
      <c r="B43" s="4" t="inlineStr">
        <is>
          <t>투자자산 대비 ty수익율 (이미지의 ⑤) = (이미지의 ④ x PSA) / (PSA + PSC)</t>
        </is>
      </c>
      <c r="C43" s="13" t="inlineStr">
        <is>
          <t>기간집계 B17 ← 입력 C19 (⑤ 산식 칸 · 미확정 · 대표 재작성 대기 A-01). 통합문서 안에서 ⑤ 를 계산하는 자리는 그 한 칸뿐이다</t>
        </is>
      </c>
    </row>
    <row r="44">
      <c r="A44" s="5" t="inlineStr">
        <is>
          <t>[2번 이미지]</t>
        </is>
      </c>
      <c r="B44" s="4" t="inlineStr">
        <is>
          <t>PSC = 위 선택한 기간의 EC들의 합</t>
        </is>
      </c>
      <c r="C44" s="13" t="inlineStr">
        <is>
          <t>기간집계 B15</t>
        </is>
      </c>
    </row>
    <row r="45">
      <c r="A45" s="5" t="inlineStr">
        <is>
          <t>[2번 이미지]</t>
        </is>
      </c>
      <c r="B45" s="4" t="inlineStr">
        <is>
          <t>상환액 (이미지의 ②) = 위 일별로 마감후 배치작업으로 업데이트하는 DB에서, 정산예정일이 해당 표의 입금일(“정산예정일”로 변경 필요)에 해당하는 SBD-1</t>
        </is>
      </c>
      <c r="C45" s="13" t="inlineStr">
        <is>
          <t>기간집계 B8 · 일별 C열</t>
        </is>
      </c>
    </row>
    <row r="46">
      <c r="A46" s="5" t="inlineStr">
        <is>
          <t>[2번 이미지]</t>
        </is>
      </c>
      <c r="B46" s="4" t="inlineStr">
        <is>
          <t>투자실행금액 대비 ty수익율 (이미지의 ⑥) = (이미지의 ④ / 이미지의 ③) x 365 / 이미지의 ⑤</t>
        </is>
      </c>
      <c r="C46" s="13" t="inlineStr">
        <is>
          <t>기간집계 B18 = (B13 / 입력 C18) x 365 / B17 — ③ 지시 대상 미확정이라 입력 C18 가 비어 있고 그동안 「미확정」. 대표 주석 「계산식 다시 확인해볼것」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2026-09-01T17:17:38Z</dcterms:created>
  <dcterms:modified xmlns:dcterms="http://purl.org/dc/terms/" xmlns:xsi="http://www.w3.org/2001/XMLSchema-instance" xsi:type="dcterms:W3CDTF">2026-09-01T17:17:38Z</dcterms:modified>
</cp:coreProperties>
</file>